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rard\Desktop\FeS GSAS\"/>
    </mc:Choice>
  </mc:AlternateContent>
  <bookViews>
    <workbookView xWindow="0" yWindow="0" windowWidth="19200" windowHeight="7050" tabRatio="771" activeTab="2"/>
  </bookViews>
  <sheets>
    <sheet name="SI_FeS1" sheetId="5" r:id="rId1"/>
    <sheet name="HV_FeS2_" sheetId="7" r:id="rId2"/>
    <sheet name="PK5_FeS3" sheetId="11" r:id="rId3"/>
    <sheet name="Phase diag FeS IV" sheetId="6" r:id="rId4"/>
    <sheet name="Phase Diag FeS V" sheetId="12" r:id="rId5"/>
    <sheet name="Phase Diag FeS VI" sheetId="14" r:id="rId6"/>
    <sheet name="Phase Diag FeS X" sheetId="13" r:id="rId7"/>
    <sheet name="Feuil1" sheetId="8" r:id="rId8"/>
    <sheet name="Feuil2" sheetId="9" r:id="rId9"/>
    <sheet name="Feuil3" sheetId="10" r:id="rId10"/>
    <sheet name="Feuil4" sheetId="15" r:id="rId1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6" i="5" l="1"/>
  <c r="G15" i="5"/>
  <c r="E5" i="5"/>
  <c r="L2" i="5" l="1"/>
  <c r="G3" i="5"/>
  <c r="K2" i="5"/>
  <c r="E2" i="5"/>
  <c r="E131" i="5" l="1"/>
  <c r="L74" i="11" l="1"/>
  <c r="K74" i="11"/>
  <c r="F74" i="11" s="1"/>
  <c r="G74" i="11"/>
  <c r="E74" i="11"/>
  <c r="L73" i="11"/>
  <c r="K73" i="11"/>
  <c r="G73" i="11" s="1"/>
  <c r="L72" i="11"/>
  <c r="K72" i="11"/>
  <c r="G72" i="11" s="1"/>
  <c r="L71" i="11"/>
  <c r="K71" i="11"/>
  <c r="E71" i="11" s="1"/>
  <c r="L70" i="11"/>
  <c r="K70" i="11"/>
  <c r="E70" i="11" s="1"/>
  <c r="L69" i="11"/>
  <c r="K69" i="11"/>
  <c r="L68" i="11"/>
  <c r="K68" i="11"/>
  <c r="L67" i="11"/>
  <c r="K67" i="11"/>
  <c r="E67" i="11" s="1"/>
  <c r="L66" i="11"/>
  <c r="K66" i="11"/>
  <c r="L65" i="11"/>
  <c r="K65" i="11"/>
  <c r="L64" i="11"/>
  <c r="K64" i="11"/>
  <c r="L63" i="11"/>
  <c r="K63" i="11"/>
  <c r="E63" i="11"/>
  <c r="L62" i="11"/>
  <c r="K62" i="11"/>
  <c r="E62" i="11" s="1"/>
  <c r="L61" i="11"/>
  <c r="K61" i="11"/>
  <c r="L60" i="11"/>
  <c r="K60" i="11"/>
  <c r="L59" i="11"/>
  <c r="K59" i="11"/>
  <c r="E59" i="11" s="1"/>
  <c r="L58" i="11"/>
  <c r="K58" i="11"/>
  <c r="E58" i="11" s="1"/>
  <c r="L57" i="11"/>
  <c r="K57" i="11"/>
  <c r="L56" i="11"/>
  <c r="K56" i="11"/>
  <c r="L55" i="11"/>
  <c r="K55" i="11"/>
  <c r="E55" i="11" s="1"/>
  <c r="L54" i="11"/>
  <c r="K54" i="11"/>
  <c r="E54" i="11"/>
  <c r="L53" i="11"/>
  <c r="K53" i="11"/>
  <c r="G53" i="11" s="1"/>
  <c r="L52" i="11"/>
  <c r="K52" i="11"/>
  <c r="G52" i="11" s="1"/>
  <c r="L51" i="11"/>
  <c r="K51" i="11"/>
  <c r="E51" i="11" s="1"/>
  <c r="L50" i="11"/>
  <c r="K50" i="11"/>
  <c r="F50" i="11" s="1"/>
  <c r="L49" i="11"/>
  <c r="K49" i="11"/>
  <c r="L48" i="11"/>
  <c r="K48" i="11"/>
  <c r="L47" i="11"/>
  <c r="K47" i="11"/>
  <c r="E47" i="11" s="1"/>
  <c r="L46" i="11"/>
  <c r="K46" i="11"/>
  <c r="L45" i="11"/>
  <c r="K45" i="11"/>
  <c r="E45" i="11" s="1"/>
  <c r="L44" i="11"/>
  <c r="K44" i="11"/>
  <c r="L43" i="11"/>
  <c r="K43" i="11"/>
  <c r="E43" i="11" s="1"/>
  <c r="L42" i="11"/>
  <c r="K42" i="11"/>
  <c r="L41" i="11"/>
  <c r="K41" i="11"/>
  <c r="E41" i="11"/>
  <c r="L40" i="11"/>
  <c r="K40" i="11"/>
  <c r="F40" i="11" s="1"/>
  <c r="L39" i="11"/>
  <c r="K39" i="11"/>
  <c r="E39" i="11" s="1"/>
  <c r="L38" i="11"/>
  <c r="K38" i="11"/>
  <c r="L37" i="11"/>
  <c r="K37" i="11"/>
  <c r="E37" i="11" s="1"/>
  <c r="L36" i="11"/>
  <c r="K36" i="11"/>
  <c r="L35" i="11"/>
  <c r="K35" i="11"/>
  <c r="E35" i="11" s="1"/>
  <c r="L34" i="11"/>
  <c r="K34" i="11"/>
  <c r="L33" i="11"/>
  <c r="K33" i="11"/>
  <c r="E33" i="11" s="1"/>
  <c r="L32" i="11"/>
  <c r="K32" i="11"/>
  <c r="L31" i="11"/>
  <c r="K31" i="11"/>
  <c r="E31" i="11"/>
  <c r="L30" i="11"/>
  <c r="K30" i="11"/>
  <c r="L29" i="11"/>
  <c r="K29" i="11"/>
  <c r="E29" i="11" s="1"/>
  <c r="L28" i="11"/>
  <c r="K28" i="11"/>
  <c r="L27" i="11"/>
  <c r="K27" i="11"/>
  <c r="E27" i="11" s="1"/>
  <c r="L26" i="11"/>
  <c r="K26" i="11"/>
  <c r="L25" i="11"/>
  <c r="K25" i="11"/>
  <c r="E25" i="11" s="1"/>
  <c r="L24" i="11"/>
  <c r="K24" i="11"/>
  <c r="L23" i="11"/>
  <c r="K23" i="11"/>
  <c r="E23" i="11" s="1"/>
  <c r="L22" i="11"/>
  <c r="K22" i="11"/>
  <c r="L21" i="11"/>
  <c r="K21" i="11"/>
  <c r="E21" i="11"/>
  <c r="L20" i="11"/>
  <c r="K20" i="11"/>
  <c r="F20" i="11" s="1"/>
  <c r="L19" i="11"/>
  <c r="K19" i="11"/>
  <c r="E19" i="11" s="1"/>
  <c r="L18" i="11"/>
  <c r="K18" i="11"/>
  <c r="F18" i="11" s="1"/>
  <c r="L17" i="11"/>
  <c r="K17" i="11"/>
  <c r="E17" i="11" s="1"/>
  <c r="L16" i="11"/>
  <c r="K16" i="11"/>
  <c r="L15" i="11"/>
  <c r="K15" i="11"/>
  <c r="E15" i="11" s="1"/>
  <c r="L14" i="11"/>
  <c r="K14" i="11"/>
  <c r="L13" i="11"/>
  <c r="K13" i="11"/>
  <c r="E13" i="11" s="1"/>
  <c r="L12" i="11"/>
  <c r="K12" i="11"/>
  <c r="L11" i="11"/>
  <c r="K11" i="11"/>
  <c r="E11" i="11" s="1"/>
  <c r="L10" i="11"/>
  <c r="K10" i="11"/>
  <c r="L9" i="11"/>
  <c r="K9" i="11"/>
  <c r="E9" i="11"/>
  <c r="L8" i="11"/>
  <c r="K8" i="11"/>
  <c r="F8" i="11" s="1"/>
  <c r="L7" i="11"/>
  <c r="K7" i="11"/>
  <c r="E7" i="11" s="1"/>
  <c r="L6" i="11"/>
  <c r="K6" i="11"/>
  <c r="L5" i="11"/>
  <c r="K5" i="11"/>
  <c r="E5" i="11" s="1"/>
  <c r="L4" i="11"/>
  <c r="K4" i="11"/>
  <c r="F34" i="11" l="1"/>
  <c r="F36" i="11"/>
  <c r="G56" i="11"/>
  <c r="G69" i="11"/>
  <c r="F4" i="11"/>
  <c r="F24" i="11"/>
  <c r="G57" i="11"/>
  <c r="F66" i="11"/>
  <c r="G68" i="11"/>
  <c r="F10" i="11"/>
  <c r="F12" i="11"/>
  <c r="F32" i="11"/>
  <c r="H32" i="11" s="1"/>
  <c r="F42" i="11"/>
  <c r="F44" i="11"/>
  <c r="G49" i="11"/>
  <c r="G61" i="11"/>
  <c r="G64" i="11"/>
  <c r="E66" i="11"/>
  <c r="F16" i="11"/>
  <c r="F26" i="11"/>
  <c r="F28" i="11"/>
  <c r="G48" i="11"/>
  <c r="E50" i="11"/>
  <c r="F58" i="11"/>
  <c r="G60" i="11"/>
  <c r="G65" i="11"/>
  <c r="H74" i="11"/>
  <c r="F6" i="11"/>
  <c r="F14" i="11"/>
  <c r="F22" i="11"/>
  <c r="F30" i="11"/>
  <c r="F38" i="11"/>
  <c r="F46" i="11"/>
  <c r="F54" i="11"/>
  <c r="F62" i="11"/>
  <c r="F70" i="11"/>
  <c r="E6" i="11"/>
  <c r="G7" i="11"/>
  <c r="E10" i="11"/>
  <c r="G11" i="11"/>
  <c r="E14" i="11"/>
  <c r="G15" i="11"/>
  <c r="E18" i="11"/>
  <c r="G19" i="11"/>
  <c r="E22" i="11"/>
  <c r="G23" i="11"/>
  <c r="E26" i="11"/>
  <c r="G27" i="11"/>
  <c r="E30" i="11"/>
  <c r="G31" i="11"/>
  <c r="E34" i="11"/>
  <c r="G35" i="11"/>
  <c r="E38" i="11"/>
  <c r="G39" i="11"/>
  <c r="E42" i="11"/>
  <c r="G43" i="11"/>
  <c r="E46" i="11"/>
  <c r="G47" i="11"/>
  <c r="G50" i="11"/>
  <c r="G51" i="11"/>
  <c r="G54" i="11"/>
  <c r="G55" i="11"/>
  <c r="G58" i="11"/>
  <c r="G59" i="11"/>
  <c r="G62" i="11"/>
  <c r="G63" i="11"/>
  <c r="G66" i="11"/>
  <c r="G67" i="11"/>
  <c r="G70" i="11"/>
  <c r="G71" i="11"/>
  <c r="H50" i="11"/>
  <c r="E4" i="11"/>
  <c r="G5" i="11"/>
  <c r="E8" i="11"/>
  <c r="G9" i="11"/>
  <c r="E12" i="11"/>
  <c r="G13" i="11"/>
  <c r="E16" i="11"/>
  <c r="G17" i="11"/>
  <c r="E20" i="11"/>
  <c r="G21" i="11"/>
  <c r="E24" i="11"/>
  <c r="G25" i="11"/>
  <c r="H25" i="11" s="1"/>
  <c r="E28" i="11"/>
  <c r="G29" i="11"/>
  <c r="E32" i="11"/>
  <c r="G33" i="11"/>
  <c r="E36" i="11"/>
  <c r="G37" i="11"/>
  <c r="E40" i="11"/>
  <c r="G41" i="11"/>
  <c r="E44" i="11"/>
  <c r="G45" i="11"/>
  <c r="E48" i="11"/>
  <c r="E52" i="11"/>
  <c r="E56" i="11"/>
  <c r="E60" i="11"/>
  <c r="E64" i="11"/>
  <c r="E68" i="11"/>
  <c r="E72" i="11"/>
  <c r="G4" i="11"/>
  <c r="F5" i="11"/>
  <c r="G6" i="11"/>
  <c r="F7" i="11"/>
  <c r="G8" i="11"/>
  <c r="F9" i="11"/>
  <c r="G10" i="11"/>
  <c r="H10" i="11" s="1"/>
  <c r="F11" i="11"/>
  <c r="G12" i="11"/>
  <c r="H12" i="11" s="1"/>
  <c r="F13" i="11"/>
  <c r="G14" i="11"/>
  <c r="F15" i="11"/>
  <c r="G16" i="11"/>
  <c r="F17" i="11"/>
  <c r="G18" i="11"/>
  <c r="H18" i="11" s="1"/>
  <c r="F19" i="11"/>
  <c r="G20" i="11"/>
  <c r="H20" i="11" s="1"/>
  <c r="F21" i="11"/>
  <c r="G22" i="11"/>
  <c r="F23" i="11"/>
  <c r="G24" i="11"/>
  <c r="F25" i="11"/>
  <c r="G26" i="11"/>
  <c r="F27" i="11"/>
  <c r="G28" i="11"/>
  <c r="F29" i="11"/>
  <c r="G30" i="11"/>
  <c r="H30" i="11" s="1"/>
  <c r="F31" i="11"/>
  <c r="G32" i="11"/>
  <c r="F33" i="11"/>
  <c r="G34" i="11"/>
  <c r="H34" i="11" s="1"/>
  <c r="F35" i="11"/>
  <c r="G36" i="11"/>
  <c r="H36" i="11" s="1"/>
  <c r="F37" i="11"/>
  <c r="G38" i="11"/>
  <c r="F39" i="11"/>
  <c r="G40" i="11"/>
  <c r="F41" i="11"/>
  <c r="G42" i="11"/>
  <c r="H42" i="11" s="1"/>
  <c r="F43" i="11"/>
  <c r="G44" i="11"/>
  <c r="F45" i="11"/>
  <c r="G46" i="11"/>
  <c r="H46" i="11" s="1"/>
  <c r="F47" i="11"/>
  <c r="F48" i="11"/>
  <c r="H48" i="11" s="1"/>
  <c r="F51" i="11"/>
  <c r="F52" i="11"/>
  <c r="H52" i="11" s="1"/>
  <c r="F55" i="11"/>
  <c r="F56" i="11"/>
  <c r="H56" i="11" s="1"/>
  <c r="F59" i="11"/>
  <c r="F60" i="11"/>
  <c r="H60" i="11" s="1"/>
  <c r="F63" i="11"/>
  <c r="F64" i="11"/>
  <c r="H64" i="11" s="1"/>
  <c r="F67" i="11"/>
  <c r="F68" i="11"/>
  <c r="H68" i="11" s="1"/>
  <c r="F71" i="11"/>
  <c r="F72" i="11"/>
  <c r="H72" i="11" s="1"/>
  <c r="H44" i="11"/>
  <c r="E61" i="11"/>
  <c r="E69" i="11"/>
  <c r="E73" i="11"/>
  <c r="H4" i="11"/>
  <c r="H8" i="11"/>
  <c r="H16" i="11"/>
  <c r="H24" i="11"/>
  <c r="H28" i="11"/>
  <c r="H40" i="11"/>
  <c r="E49" i="11"/>
  <c r="E53" i="11"/>
  <c r="E57" i="11"/>
  <c r="E65" i="11"/>
  <c r="F49" i="11"/>
  <c r="H49" i="11" s="1"/>
  <c r="F53" i="11"/>
  <c r="H53" i="11" s="1"/>
  <c r="F57" i="11"/>
  <c r="H57" i="11" s="1"/>
  <c r="F61" i="11"/>
  <c r="H61" i="11" s="1"/>
  <c r="F65" i="11"/>
  <c r="H65" i="11" s="1"/>
  <c r="F69" i="11"/>
  <c r="F73" i="11"/>
  <c r="H73" i="11" s="1"/>
  <c r="H5" i="11"/>
  <c r="H37" i="11"/>
  <c r="H38" i="11" l="1"/>
  <c r="H26" i="11"/>
  <c r="H6" i="11"/>
  <c r="H66" i="11"/>
  <c r="H41" i="11"/>
  <c r="H69" i="11"/>
  <c r="H70" i="11"/>
  <c r="H62" i="11"/>
  <c r="H14" i="11"/>
  <c r="H45" i="11"/>
  <c r="H29" i="11"/>
  <c r="H21" i="11"/>
  <c r="H13" i="11"/>
  <c r="H9" i="11"/>
  <c r="H58" i="11"/>
  <c r="H54" i="11"/>
  <c r="H22" i="11"/>
  <c r="H33" i="11"/>
  <c r="H17" i="11"/>
  <c r="H71" i="11"/>
  <c r="H63" i="11"/>
  <c r="H55" i="11"/>
  <c r="H47" i="11"/>
  <c r="H39" i="11"/>
  <c r="H31" i="11"/>
  <c r="H23" i="11"/>
  <c r="H15" i="11"/>
  <c r="H7" i="11"/>
  <c r="H59" i="11"/>
  <c r="H67" i="11"/>
  <c r="H51" i="11"/>
  <c r="H43" i="11"/>
  <c r="H35" i="11"/>
  <c r="H27" i="11"/>
  <c r="H19" i="11"/>
  <c r="H11" i="11"/>
  <c r="H35" i="7"/>
  <c r="H36" i="7"/>
  <c r="H37" i="7"/>
  <c r="H38" i="7"/>
  <c r="H39" i="7"/>
  <c r="H40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G35" i="7"/>
  <c r="G36" i="7"/>
  <c r="G37" i="7"/>
  <c r="G38" i="7"/>
  <c r="G39" i="7"/>
  <c r="G40" i="7"/>
  <c r="G41" i="7"/>
  <c r="H41" i="7" s="1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AS6" i="7"/>
  <c r="AS7" i="7"/>
  <c r="AS8" i="7"/>
  <c r="AS9" i="7"/>
  <c r="AS10" i="7"/>
  <c r="AS11" i="7"/>
  <c r="AS12" i="7"/>
  <c r="AS13" i="7"/>
  <c r="AS14" i="7"/>
  <c r="AS15" i="7"/>
  <c r="AS16" i="7"/>
  <c r="AS17" i="7"/>
  <c r="AS18" i="7"/>
  <c r="AS19" i="7"/>
  <c r="AS20" i="7"/>
  <c r="AS21" i="7"/>
  <c r="AS22" i="7"/>
  <c r="AS23" i="7"/>
  <c r="AS24" i="7"/>
  <c r="AS25" i="7"/>
  <c r="AS26" i="7"/>
  <c r="AS27" i="7"/>
  <c r="AS28" i="7"/>
  <c r="AS29" i="7"/>
  <c r="AS30" i="7"/>
  <c r="AS31" i="7"/>
  <c r="AS32" i="7"/>
  <c r="AS33" i="7"/>
  <c r="AS34" i="7"/>
  <c r="AS35" i="7"/>
  <c r="AS36" i="7"/>
  <c r="AS37" i="7"/>
  <c r="AS38" i="7"/>
  <c r="AS39" i="7"/>
  <c r="AS40" i="7"/>
  <c r="AS42" i="7"/>
  <c r="AS43" i="7"/>
  <c r="AS44" i="7"/>
  <c r="AS45" i="7"/>
  <c r="AS46" i="7"/>
  <c r="AS47" i="7"/>
  <c r="AS48" i="7"/>
  <c r="AS49" i="7"/>
  <c r="AS50" i="7"/>
  <c r="AS51" i="7"/>
  <c r="AS52" i="7"/>
  <c r="AS53" i="7"/>
  <c r="AS54" i="7"/>
  <c r="AS55" i="7"/>
  <c r="AS56" i="7"/>
  <c r="AS57" i="7"/>
  <c r="AS58" i="7"/>
  <c r="AS59" i="7"/>
  <c r="AS60" i="7"/>
  <c r="AS61" i="7"/>
  <c r="AS62" i="7"/>
  <c r="AS63" i="7"/>
  <c r="AS5" i="7"/>
  <c r="AL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56" i="7"/>
  <c r="AL57" i="7"/>
  <c r="AL58" i="7"/>
  <c r="AL59" i="7"/>
  <c r="AL60" i="7"/>
  <c r="AL61" i="7"/>
  <c r="AL62" i="7"/>
  <c r="AL63" i="7"/>
  <c r="AL2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Z35" i="7"/>
  <c r="Z36" i="7"/>
  <c r="Z37" i="7"/>
  <c r="Z38" i="7"/>
  <c r="Z39" i="7"/>
  <c r="Z40" i="7"/>
  <c r="Z41" i="7"/>
  <c r="Z42" i="7"/>
  <c r="Z43" i="7"/>
  <c r="Z44" i="7"/>
  <c r="Z45" i="7"/>
  <c r="Z46" i="7"/>
  <c r="Z47" i="7"/>
  <c r="Z48" i="7"/>
  <c r="Z49" i="7"/>
  <c r="Z50" i="7"/>
  <c r="Z51" i="7"/>
  <c r="Z52" i="7"/>
  <c r="Z53" i="7"/>
  <c r="Z54" i="7"/>
  <c r="Z55" i="7"/>
  <c r="Z56" i="7"/>
  <c r="Z57" i="7"/>
  <c r="Z58" i="7"/>
  <c r="Z59" i="7"/>
  <c r="Z60" i="7"/>
  <c r="Z61" i="7"/>
  <c r="Z62" i="7"/>
  <c r="Z63" i="7"/>
  <c r="Z3" i="7"/>
  <c r="Z2" i="7"/>
  <c r="AM73" i="5"/>
  <c r="AT72" i="5"/>
  <c r="AM72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65" i="5"/>
  <c r="AT66" i="5"/>
  <c r="AT67" i="5"/>
  <c r="AT68" i="5"/>
  <c r="AT69" i="5"/>
  <c r="AT70" i="5"/>
  <c r="AT71" i="5"/>
  <c r="AT74" i="5"/>
  <c r="AT75" i="5"/>
  <c r="AT76" i="5"/>
  <c r="AT77" i="5"/>
  <c r="AT78" i="5"/>
  <c r="AT79" i="5"/>
  <c r="AT80" i="5"/>
  <c r="AT81" i="5"/>
  <c r="AT82" i="5"/>
  <c r="AT83" i="5"/>
  <c r="AT84" i="5"/>
  <c r="AT85" i="5"/>
  <c r="AT86" i="5"/>
  <c r="AT87" i="5"/>
  <c r="AT88" i="5"/>
  <c r="AT89" i="5"/>
  <c r="AT90" i="5"/>
  <c r="AT91" i="5"/>
  <c r="AT92" i="5"/>
  <c r="AT93" i="5"/>
  <c r="AT94" i="5"/>
  <c r="AT95" i="5"/>
  <c r="AT96" i="5"/>
  <c r="AT97" i="5"/>
  <c r="AT98" i="5"/>
  <c r="AT99" i="5"/>
  <c r="AT100" i="5"/>
  <c r="AT101" i="5"/>
  <c r="AT102" i="5"/>
  <c r="AT103" i="5"/>
  <c r="AT104" i="5"/>
  <c r="AT105" i="5"/>
  <c r="AT106" i="5"/>
  <c r="AT107" i="5"/>
  <c r="AT108" i="5"/>
  <c r="AT109" i="5"/>
  <c r="AT110" i="5"/>
  <c r="AT111" i="5"/>
  <c r="AT112" i="5"/>
  <c r="AT113" i="5"/>
  <c r="AT114" i="5"/>
  <c r="AT115" i="5"/>
  <c r="AT116" i="5"/>
  <c r="AT117" i="5"/>
  <c r="AT118" i="5"/>
  <c r="AT119" i="5"/>
  <c r="AT120" i="5"/>
  <c r="AT121" i="5"/>
  <c r="AT122" i="5"/>
  <c r="AT123" i="5"/>
  <c r="AT124" i="5"/>
  <c r="AT125" i="5"/>
  <c r="AT126" i="5"/>
  <c r="AT127" i="5"/>
  <c r="AT128" i="5"/>
  <c r="AT129" i="5"/>
  <c r="AT130" i="5"/>
  <c r="AT131" i="5"/>
  <c r="AT132" i="5"/>
  <c r="AT133" i="5"/>
  <c r="AT134" i="5"/>
  <c r="AT135" i="5"/>
  <c r="AT7" i="5"/>
  <c r="AM3" i="5"/>
  <c r="AM4" i="5"/>
  <c r="AM5" i="5"/>
  <c r="AM6" i="5"/>
  <c r="AM7" i="5"/>
  <c r="AM8" i="5"/>
  <c r="AM9" i="5"/>
  <c r="AM10" i="5"/>
  <c r="AM11" i="5"/>
  <c r="AM12" i="5"/>
  <c r="AM13" i="5"/>
  <c r="AM14" i="5"/>
  <c r="AM15" i="5"/>
  <c r="AM16" i="5"/>
  <c r="AM17" i="5"/>
  <c r="AM18" i="5"/>
  <c r="AM19" i="5"/>
  <c r="AM20" i="5"/>
  <c r="AM21" i="5"/>
  <c r="AM22" i="5"/>
  <c r="AM23" i="5"/>
  <c r="AM24" i="5"/>
  <c r="AM25" i="5"/>
  <c r="AM26" i="5"/>
  <c r="AM27" i="5"/>
  <c r="AM28" i="5"/>
  <c r="AM29" i="5"/>
  <c r="AM30" i="5"/>
  <c r="AM31" i="5"/>
  <c r="AM32" i="5"/>
  <c r="AM33" i="5"/>
  <c r="AM34" i="5"/>
  <c r="AM35" i="5"/>
  <c r="AM36" i="5"/>
  <c r="AM37" i="5"/>
  <c r="AM38" i="5"/>
  <c r="AM39" i="5"/>
  <c r="AM40" i="5"/>
  <c r="AM41" i="5"/>
  <c r="AM42" i="5"/>
  <c r="AM43" i="5"/>
  <c r="AM44" i="5"/>
  <c r="AM45" i="5"/>
  <c r="AM46" i="5"/>
  <c r="AM47" i="5"/>
  <c r="AM48" i="5"/>
  <c r="AM50" i="5"/>
  <c r="AM51" i="5"/>
  <c r="AM52" i="5"/>
  <c r="AM53" i="5"/>
  <c r="AM54" i="5"/>
  <c r="AM55" i="5"/>
  <c r="AM56" i="5"/>
  <c r="AM57" i="5"/>
  <c r="AM58" i="5"/>
  <c r="AM59" i="5"/>
  <c r="AM60" i="5"/>
  <c r="AM61" i="5"/>
  <c r="AM62" i="5"/>
  <c r="AM63" i="5"/>
  <c r="AM64" i="5"/>
  <c r="AM65" i="5"/>
  <c r="AM66" i="5"/>
  <c r="AM67" i="5"/>
  <c r="AM68" i="5"/>
  <c r="AM69" i="5"/>
  <c r="AM70" i="5"/>
  <c r="AM71" i="5"/>
  <c r="AM74" i="5"/>
  <c r="AM75" i="5"/>
  <c r="AM76" i="5"/>
  <c r="AM77" i="5"/>
  <c r="AM78" i="5"/>
  <c r="AM79" i="5"/>
  <c r="AM80" i="5"/>
  <c r="AM81" i="5"/>
  <c r="AM82" i="5"/>
  <c r="AM83" i="5"/>
  <c r="AM84" i="5"/>
  <c r="AM85" i="5"/>
  <c r="AM86" i="5"/>
  <c r="AM87" i="5"/>
  <c r="AM88" i="5"/>
  <c r="AM89" i="5"/>
  <c r="AM90" i="5"/>
  <c r="AM91" i="5"/>
  <c r="AM92" i="5"/>
  <c r="AM93" i="5"/>
  <c r="AM94" i="5"/>
  <c r="AM95" i="5"/>
  <c r="AM96" i="5"/>
  <c r="AM97" i="5"/>
  <c r="AM98" i="5"/>
  <c r="AM99" i="5"/>
  <c r="AM100" i="5"/>
  <c r="AM101" i="5"/>
  <c r="AM102" i="5"/>
  <c r="AM103" i="5"/>
  <c r="AM104" i="5"/>
  <c r="AM105" i="5"/>
  <c r="AM106" i="5"/>
  <c r="AM107" i="5"/>
  <c r="AM108" i="5"/>
  <c r="AM109" i="5"/>
  <c r="AM110" i="5"/>
  <c r="AM111" i="5"/>
  <c r="AM112" i="5"/>
  <c r="AM113" i="5"/>
  <c r="AM114" i="5"/>
  <c r="AM115" i="5"/>
  <c r="AM116" i="5"/>
  <c r="AM117" i="5"/>
  <c r="AM118" i="5"/>
  <c r="AM119" i="5"/>
  <c r="AM120" i="5"/>
  <c r="AM121" i="5"/>
  <c r="AM122" i="5"/>
  <c r="AM123" i="5"/>
  <c r="AM124" i="5"/>
  <c r="AM125" i="5"/>
  <c r="AM126" i="5"/>
  <c r="AM127" i="5"/>
  <c r="AM128" i="5"/>
  <c r="AM129" i="5"/>
  <c r="AM130" i="5"/>
  <c r="AM131" i="5"/>
  <c r="AM132" i="5"/>
  <c r="AM133" i="5"/>
  <c r="AM134" i="5"/>
  <c r="AM135" i="5"/>
  <c r="AM2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5" i="5"/>
  <c r="AF66" i="5"/>
  <c r="AF67" i="5"/>
  <c r="AF68" i="5"/>
  <c r="AF69" i="5"/>
  <c r="AF70" i="5"/>
  <c r="AF71" i="5"/>
  <c r="AF72" i="5"/>
  <c r="AF73" i="5"/>
  <c r="AF74" i="5"/>
  <c r="AF75" i="5"/>
  <c r="AF76" i="5"/>
  <c r="AF77" i="5"/>
  <c r="AF78" i="5"/>
  <c r="AF79" i="5"/>
  <c r="AF80" i="5"/>
  <c r="AF81" i="5"/>
  <c r="AF82" i="5"/>
  <c r="AF83" i="5"/>
  <c r="AF84" i="5"/>
  <c r="AF85" i="5"/>
  <c r="AF86" i="5"/>
  <c r="AF87" i="5"/>
  <c r="AF88" i="5"/>
  <c r="AF89" i="5"/>
  <c r="AF90" i="5"/>
  <c r="AF91" i="5"/>
  <c r="AF92" i="5"/>
  <c r="AF93" i="5"/>
  <c r="AF94" i="5"/>
  <c r="AF95" i="5"/>
  <c r="AF96" i="5"/>
  <c r="AF97" i="5"/>
  <c r="AF98" i="5"/>
  <c r="AF99" i="5"/>
  <c r="AF100" i="5"/>
  <c r="AF101" i="5"/>
  <c r="AF102" i="5"/>
  <c r="AF103" i="5"/>
  <c r="AF104" i="5"/>
  <c r="AF105" i="5"/>
  <c r="AF106" i="5"/>
  <c r="AF107" i="5"/>
  <c r="AF108" i="5"/>
  <c r="AF109" i="5"/>
  <c r="AF110" i="5"/>
  <c r="AF111" i="5"/>
  <c r="AF112" i="5"/>
  <c r="AF113" i="5"/>
  <c r="AF114" i="5"/>
  <c r="AF115" i="5"/>
  <c r="AF116" i="5"/>
  <c r="AF117" i="5"/>
  <c r="AF118" i="5"/>
  <c r="AF119" i="5"/>
  <c r="AF120" i="5"/>
  <c r="AF121" i="5"/>
  <c r="AF122" i="5"/>
  <c r="AF123" i="5"/>
  <c r="AF124" i="5"/>
  <c r="AF125" i="5"/>
  <c r="AF126" i="5"/>
  <c r="AF127" i="5"/>
  <c r="AF128" i="5"/>
  <c r="AF129" i="5"/>
  <c r="AF130" i="5"/>
  <c r="AF131" i="5"/>
  <c r="AF132" i="5"/>
  <c r="AF133" i="5"/>
  <c r="AF134" i="5"/>
  <c r="AF135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2" i="5"/>
  <c r="AA93" i="5"/>
  <c r="AA94" i="5"/>
  <c r="AA95" i="5"/>
  <c r="AA96" i="5"/>
  <c r="AA97" i="5"/>
  <c r="AA98" i="5"/>
  <c r="AA99" i="5"/>
  <c r="AA100" i="5"/>
  <c r="AA101" i="5"/>
  <c r="AA102" i="5"/>
  <c r="AA103" i="5"/>
  <c r="AA104" i="5"/>
  <c r="AA105" i="5"/>
  <c r="AA106" i="5"/>
  <c r="AA107" i="5"/>
  <c r="AA108" i="5"/>
  <c r="AA109" i="5"/>
  <c r="AA110" i="5"/>
  <c r="AA111" i="5"/>
  <c r="AA112" i="5"/>
  <c r="AA113" i="5"/>
  <c r="AA114" i="5"/>
  <c r="AA115" i="5"/>
  <c r="AA116" i="5"/>
  <c r="AA117" i="5"/>
  <c r="AA118" i="5"/>
  <c r="AA119" i="5"/>
  <c r="AA120" i="5"/>
  <c r="AA121" i="5"/>
  <c r="AA122" i="5"/>
  <c r="AA123" i="5"/>
  <c r="AA124" i="5"/>
  <c r="AA125" i="5"/>
  <c r="AA126" i="5"/>
  <c r="AA127" i="5"/>
  <c r="AA128" i="5"/>
  <c r="AA129" i="5"/>
  <c r="AA130" i="5"/>
  <c r="AA131" i="5"/>
  <c r="AA132" i="5"/>
  <c r="AA133" i="5"/>
  <c r="AA134" i="5"/>
  <c r="AA135" i="5"/>
  <c r="AF3" i="5"/>
  <c r="AF4" i="5"/>
  <c r="AF5" i="5"/>
  <c r="AF6" i="5"/>
  <c r="AF7" i="5"/>
  <c r="AF8" i="5"/>
  <c r="AF9" i="5"/>
  <c r="AF10" i="5"/>
  <c r="AF2" i="5"/>
  <c r="AA2" i="5"/>
  <c r="AF135" i="10"/>
  <c r="AE135" i="10"/>
  <c r="AD135" i="10"/>
  <c r="AC135" i="10"/>
  <c r="AF3" i="10"/>
  <c r="AF4" i="10"/>
  <c r="AF5" i="10"/>
  <c r="AF6" i="10"/>
  <c r="AF7" i="10"/>
  <c r="AF8" i="10"/>
  <c r="AF9" i="10"/>
  <c r="AF10" i="10"/>
  <c r="AF11" i="10"/>
  <c r="AF12" i="10"/>
  <c r="AF13" i="10"/>
  <c r="AF14" i="10"/>
  <c r="AF15" i="10"/>
  <c r="AF16" i="10"/>
  <c r="AF17" i="10"/>
  <c r="AF18" i="10"/>
  <c r="AF19" i="10"/>
  <c r="AF20" i="10"/>
  <c r="AF21" i="10"/>
  <c r="AF22" i="10"/>
  <c r="AF23" i="10"/>
  <c r="AF24" i="10"/>
  <c r="AF25" i="10"/>
  <c r="AF26" i="10"/>
  <c r="AF27" i="10"/>
  <c r="AF28" i="10"/>
  <c r="AF29" i="10"/>
  <c r="AF30" i="10"/>
  <c r="AF31" i="10"/>
  <c r="AF32" i="10"/>
  <c r="AF33" i="10"/>
  <c r="AF34" i="10"/>
  <c r="AF35" i="10"/>
  <c r="AF36" i="10"/>
  <c r="AF37" i="10"/>
  <c r="AF38" i="10"/>
  <c r="AF39" i="10"/>
  <c r="AF40" i="10"/>
  <c r="AF41" i="10"/>
  <c r="AF42" i="10"/>
  <c r="AF43" i="10"/>
  <c r="AF44" i="10"/>
  <c r="AF45" i="10"/>
  <c r="AF46" i="10"/>
  <c r="AF47" i="10"/>
  <c r="AF48" i="10"/>
  <c r="AF49" i="10"/>
  <c r="AF50" i="10"/>
  <c r="AF51" i="10"/>
  <c r="AF52" i="10"/>
  <c r="AF53" i="10"/>
  <c r="AF54" i="10"/>
  <c r="AF55" i="10"/>
  <c r="AF56" i="10"/>
  <c r="AF57" i="10"/>
  <c r="AF58" i="10"/>
  <c r="AF59" i="10"/>
  <c r="AF60" i="10"/>
  <c r="AF61" i="10"/>
  <c r="AF62" i="10"/>
  <c r="AF63" i="10"/>
  <c r="AF64" i="10"/>
  <c r="AF65" i="10"/>
  <c r="AF66" i="10"/>
  <c r="AF67" i="10"/>
  <c r="AF68" i="10"/>
  <c r="AF69" i="10"/>
  <c r="AF70" i="10"/>
  <c r="AF71" i="10"/>
  <c r="AF72" i="10"/>
  <c r="AF73" i="10"/>
  <c r="AF74" i="10"/>
  <c r="AF75" i="10"/>
  <c r="AF76" i="10"/>
  <c r="AF77" i="10"/>
  <c r="AF78" i="10"/>
  <c r="AF79" i="10"/>
  <c r="AF80" i="10"/>
  <c r="AF81" i="10"/>
  <c r="AF82" i="10"/>
  <c r="AF83" i="10"/>
  <c r="AF84" i="10"/>
  <c r="AF85" i="10"/>
  <c r="AF86" i="10"/>
  <c r="AF87" i="10"/>
  <c r="AF88" i="10"/>
  <c r="AF89" i="10"/>
  <c r="AF90" i="10"/>
  <c r="AF91" i="10"/>
  <c r="AF92" i="10"/>
  <c r="AF93" i="10"/>
  <c r="AF94" i="10"/>
  <c r="AF95" i="10"/>
  <c r="AF96" i="10"/>
  <c r="AF97" i="10"/>
  <c r="AF98" i="10"/>
  <c r="AF99" i="10"/>
  <c r="AF100" i="10"/>
  <c r="AF101" i="10"/>
  <c r="AF102" i="10"/>
  <c r="AF103" i="10"/>
  <c r="AF104" i="10"/>
  <c r="AF105" i="10"/>
  <c r="AF106" i="10"/>
  <c r="AF107" i="10"/>
  <c r="AF108" i="10"/>
  <c r="AF109" i="10"/>
  <c r="AF110" i="10"/>
  <c r="AF111" i="10"/>
  <c r="AF112" i="10"/>
  <c r="AF113" i="10"/>
  <c r="AF114" i="10"/>
  <c r="AF115" i="10"/>
  <c r="AF116" i="10"/>
  <c r="AF117" i="10"/>
  <c r="AF118" i="10"/>
  <c r="AF119" i="10"/>
  <c r="AF120" i="10"/>
  <c r="AF121" i="10"/>
  <c r="AF122" i="10"/>
  <c r="AF123" i="10"/>
  <c r="AF124" i="10"/>
  <c r="AF125" i="10"/>
  <c r="AF126" i="10"/>
  <c r="AF127" i="10"/>
  <c r="AF128" i="10"/>
  <c r="AF129" i="10"/>
  <c r="AF130" i="10"/>
  <c r="AF131" i="10"/>
  <c r="AF132" i="10"/>
  <c r="AF133" i="10"/>
  <c r="AF134" i="10"/>
  <c r="AF2" i="10"/>
  <c r="AE3" i="10"/>
  <c r="AE4" i="10"/>
  <c r="AE5" i="10"/>
  <c r="AE6" i="10"/>
  <c r="AE7" i="10"/>
  <c r="AE8" i="10"/>
  <c r="AE9" i="10"/>
  <c r="AE10" i="10"/>
  <c r="AE11" i="10"/>
  <c r="AE12" i="10"/>
  <c r="AE13" i="10"/>
  <c r="AE14" i="10"/>
  <c r="AE15" i="10"/>
  <c r="AE16" i="10"/>
  <c r="AE17" i="10"/>
  <c r="AE18" i="10"/>
  <c r="AE19" i="10"/>
  <c r="AE20" i="10"/>
  <c r="AE21" i="10"/>
  <c r="AE22" i="10"/>
  <c r="AE23" i="10"/>
  <c r="AE24" i="10"/>
  <c r="AE25" i="10"/>
  <c r="AE26" i="10"/>
  <c r="AE27" i="10"/>
  <c r="AE28" i="10"/>
  <c r="AE29" i="10"/>
  <c r="AE30" i="10"/>
  <c r="AE31" i="10"/>
  <c r="AE32" i="10"/>
  <c r="AE33" i="10"/>
  <c r="AE34" i="10"/>
  <c r="AE35" i="10"/>
  <c r="AE36" i="10"/>
  <c r="AE37" i="10"/>
  <c r="AE38" i="10"/>
  <c r="AE39" i="10"/>
  <c r="AE40" i="10"/>
  <c r="AE41" i="10"/>
  <c r="AE42" i="10"/>
  <c r="AE43" i="10"/>
  <c r="AE44" i="10"/>
  <c r="AE45" i="10"/>
  <c r="AE46" i="10"/>
  <c r="AE47" i="10"/>
  <c r="AE48" i="10"/>
  <c r="AE49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82" i="10"/>
  <c r="AE83" i="10"/>
  <c r="AE84" i="10"/>
  <c r="AE85" i="10"/>
  <c r="AE86" i="10"/>
  <c r="AE87" i="10"/>
  <c r="AE88" i="10"/>
  <c r="AE89" i="10"/>
  <c r="AE90" i="10"/>
  <c r="AE91" i="10"/>
  <c r="AE92" i="10"/>
  <c r="AE93" i="10"/>
  <c r="AE94" i="10"/>
  <c r="AE95" i="10"/>
  <c r="AE96" i="10"/>
  <c r="AE97" i="10"/>
  <c r="AE98" i="10"/>
  <c r="AE99" i="10"/>
  <c r="AE100" i="10"/>
  <c r="AE101" i="10"/>
  <c r="AE102" i="10"/>
  <c r="AE103" i="10"/>
  <c r="AE104" i="10"/>
  <c r="AE105" i="10"/>
  <c r="AE106" i="10"/>
  <c r="AE107" i="10"/>
  <c r="AE108" i="10"/>
  <c r="AE109" i="10"/>
  <c r="AE110" i="10"/>
  <c r="AE111" i="10"/>
  <c r="AE112" i="10"/>
  <c r="AE113" i="10"/>
  <c r="AE114" i="10"/>
  <c r="AE115" i="10"/>
  <c r="AE116" i="10"/>
  <c r="AE117" i="10"/>
  <c r="AE118" i="10"/>
  <c r="AE119" i="10"/>
  <c r="AE120" i="10"/>
  <c r="AE121" i="10"/>
  <c r="AE122" i="10"/>
  <c r="AE123" i="10"/>
  <c r="AE124" i="10"/>
  <c r="AE125" i="10"/>
  <c r="AE126" i="10"/>
  <c r="AE127" i="10"/>
  <c r="AE128" i="10"/>
  <c r="AE129" i="10"/>
  <c r="AE130" i="10"/>
  <c r="AE131" i="10"/>
  <c r="AE132" i="10"/>
  <c r="AE133" i="10"/>
  <c r="AE134" i="10"/>
  <c r="AE2" i="10"/>
  <c r="AD9" i="10"/>
  <c r="AD10" i="10"/>
  <c r="AD11" i="10"/>
  <c r="AD12" i="10"/>
  <c r="AD13" i="10"/>
  <c r="AD14" i="10"/>
  <c r="AD15" i="10"/>
  <c r="AD16" i="10"/>
  <c r="AD17" i="10"/>
  <c r="AD18" i="10"/>
  <c r="AD19" i="10"/>
  <c r="AD20" i="10"/>
  <c r="AD21" i="10"/>
  <c r="AD22" i="10"/>
  <c r="AD23" i="10"/>
  <c r="AD24" i="10"/>
  <c r="AD25" i="10"/>
  <c r="AD26" i="10"/>
  <c r="AD27" i="10"/>
  <c r="AD28" i="10"/>
  <c r="AD29" i="10"/>
  <c r="AD30" i="10"/>
  <c r="AD31" i="10"/>
  <c r="AD32" i="10"/>
  <c r="AD33" i="10"/>
  <c r="AD34" i="10"/>
  <c r="AD35" i="10"/>
  <c r="AD36" i="10"/>
  <c r="AD37" i="10"/>
  <c r="AD38" i="10"/>
  <c r="AD39" i="10"/>
  <c r="AD40" i="10"/>
  <c r="AD41" i="10"/>
  <c r="AD42" i="10"/>
  <c r="AD43" i="10"/>
  <c r="AD44" i="10"/>
  <c r="AD45" i="10"/>
  <c r="AD46" i="10"/>
  <c r="AD47" i="10"/>
  <c r="AD48" i="10"/>
  <c r="AD49" i="10"/>
  <c r="AD50" i="10"/>
  <c r="AD51" i="10"/>
  <c r="AD52" i="10"/>
  <c r="AD53" i="10"/>
  <c r="AD54" i="10"/>
  <c r="AD55" i="10"/>
  <c r="AD56" i="10"/>
  <c r="AD57" i="10"/>
  <c r="AD58" i="10"/>
  <c r="AD59" i="10"/>
  <c r="AD60" i="10"/>
  <c r="AD61" i="10"/>
  <c r="AD62" i="10"/>
  <c r="AD63" i="10"/>
  <c r="AD64" i="10"/>
  <c r="AD65" i="10"/>
  <c r="AD66" i="10"/>
  <c r="AD67" i="10"/>
  <c r="AD68" i="10"/>
  <c r="AD69" i="10"/>
  <c r="AD70" i="10"/>
  <c r="AD71" i="10"/>
  <c r="AD72" i="10"/>
  <c r="AD73" i="10"/>
  <c r="AD74" i="10"/>
  <c r="AD75" i="10"/>
  <c r="AD76" i="10"/>
  <c r="AD77" i="10"/>
  <c r="AD78" i="10"/>
  <c r="AD79" i="10"/>
  <c r="AD80" i="10"/>
  <c r="AD81" i="10"/>
  <c r="AD82" i="10"/>
  <c r="AD83" i="10"/>
  <c r="AD84" i="10"/>
  <c r="AD85" i="10"/>
  <c r="AD86" i="10"/>
  <c r="AD87" i="10"/>
  <c r="AD88" i="10"/>
  <c r="AD89" i="10"/>
  <c r="AD90" i="10"/>
  <c r="AD91" i="10"/>
  <c r="AD92" i="10"/>
  <c r="AD93" i="10"/>
  <c r="AD94" i="10"/>
  <c r="AD95" i="10"/>
  <c r="AD96" i="10"/>
  <c r="AD97" i="10"/>
  <c r="AD98" i="10"/>
  <c r="AD99" i="10"/>
  <c r="AD100" i="10"/>
  <c r="AD101" i="10"/>
  <c r="AD102" i="10"/>
  <c r="AD103" i="10"/>
  <c r="AD104" i="10"/>
  <c r="AD105" i="10"/>
  <c r="AD106" i="10"/>
  <c r="AD107" i="10"/>
  <c r="AD108" i="10"/>
  <c r="AD109" i="10"/>
  <c r="AD110" i="10"/>
  <c r="AD111" i="10"/>
  <c r="AD112" i="10"/>
  <c r="AD113" i="10"/>
  <c r="AD114" i="10"/>
  <c r="AD115" i="10"/>
  <c r="AD116" i="10"/>
  <c r="AD117" i="10"/>
  <c r="AD118" i="10"/>
  <c r="AD119" i="10"/>
  <c r="AD120" i="10"/>
  <c r="AD121" i="10"/>
  <c r="AD122" i="10"/>
  <c r="AD123" i="10"/>
  <c r="AD124" i="10"/>
  <c r="AD125" i="10"/>
  <c r="AD126" i="10"/>
  <c r="AD127" i="10"/>
  <c r="AD128" i="10"/>
  <c r="AD129" i="10"/>
  <c r="AD130" i="10"/>
  <c r="AD131" i="10"/>
  <c r="AD132" i="10"/>
  <c r="AD133" i="10"/>
  <c r="AD134" i="10"/>
  <c r="AD2" i="10"/>
  <c r="AD3" i="10"/>
  <c r="AD4" i="10"/>
  <c r="AD5" i="10"/>
  <c r="AD6" i="10"/>
  <c r="AD7" i="10"/>
  <c r="AD8" i="10"/>
  <c r="AC131" i="10"/>
  <c r="AC132" i="10"/>
  <c r="AC133" i="10"/>
  <c r="AC134" i="10"/>
  <c r="AC3" i="10"/>
  <c r="AC4" i="10"/>
  <c r="AC5" i="10"/>
  <c r="AC6" i="10"/>
  <c r="AC7" i="10"/>
  <c r="AC8" i="10"/>
  <c r="AC9" i="10"/>
  <c r="AC10" i="10"/>
  <c r="AC11" i="10"/>
  <c r="AC12" i="10"/>
  <c r="AC13" i="10"/>
  <c r="AC14" i="10"/>
  <c r="AC15" i="10"/>
  <c r="AC16" i="10"/>
  <c r="AC17" i="10"/>
  <c r="AC18" i="10"/>
  <c r="AC19" i="10"/>
  <c r="AC20" i="10"/>
  <c r="AC21" i="10"/>
  <c r="AC22" i="10"/>
  <c r="AC23" i="10"/>
  <c r="AC24" i="10"/>
  <c r="AC25" i="10"/>
  <c r="AC26" i="10"/>
  <c r="AC27" i="10"/>
  <c r="AC28" i="10"/>
  <c r="AC29" i="10"/>
  <c r="AC30" i="10"/>
  <c r="AC31" i="10"/>
  <c r="AC32" i="10"/>
  <c r="AC33" i="10"/>
  <c r="AC34" i="10"/>
  <c r="AC35" i="10"/>
  <c r="AC36" i="10"/>
  <c r="AC37" i="10"/>
  <c r="AC38" i="10"/>
  <c r="AC39" i="10"/>
  <c r="AC40" i="10"/>
  <c r="AC41" i="10"/>
  <c r="AC42" i="10"/>
  <c r="AC43" i="10"/>
  <c r="AC44" i="10"/>
  <c r="AC45" i="10"/>
  <c r="AC46" i="10"/>
  <c r="AC47" i="10"/>
  <c r="AC48" i="10"/>
  <c r="AC49" i="10"/>
  <c r="AC50" i="10"/>
  <c r="AC51" i="10"/>
  <c r="AC52" i="10"/>
  <c r="AC53" i="10"/>
  <c r="AC54" i="10"/>
  <c r="AC55" i="10"/>
  <c r="AC56" i="10"/>
  <c r="AC57" i="10"/>
  <c r="AC58" i="10"/>
  <c r="AC59" i="10"/>
  <c r="AC60" i="10"/>
  <c r="AC61" i="10"/>
  <c r="AC62" i="10"/>
  <c r="AC63" i="10"/>
  <c r="AC64" i="10"/>
  <c r="AC65" i="10"/>
  <c r="AC66" i="10"/>
  <c r="AC67" i="10"/>
  <c r="AC68" i="10"/>
  <c r="AC69" i="10"/>
  <c r="AC70" i="10"/>
  <c r="AC71" i="10"/>
  <c r="AC72" i="10"/>
  <c r="AC73" i="10"/>
  <c r="AC74" i="10"/>
  <c r="AC75" i="10"/>
  <c r="AC76" i="10"/>
  <c r="AC77" i="10"/>
  <c r="AC78" i="10"/>
  <c r="AC79" i="10"/>
  <c r="AC80" i="10"/>
  <c r="AC81" i="10"/>
  <c r="AC82" i="10"/>
  <c r="AC83" i="10"/>
  <c r="AC84" i="10"/>
  <c r="AC85" i="10"/>
  <c r="AC86" i="10"/>
  <c r="AC87" i="10"/>
  <c r="AC88" i="10"/>
  <c r="AC89" i="10"/>
  <c r="AC90" i="10"/>
  <c r="AC91" i="10"/>
  <c r="AC92" i="10"/>
  <c r="AC93" i="10"/>
  <c r="AC94" i="10"/>
  <c r="AC95" i="10"/>
  <c r="AC96" i="10"/>
  <c r="AC97" i="10"/>
  <c r="AC98" i="10"/>
  <c r="AC99" i="10"/>
  <c r="AC100" i="10"/>
  <c r="AC101" i="10"/>
  <c r="AC102" i="10"/>
  <c r="AC103" i="10"/>
  <c r="AC104" i="10"/>
  <c r="AC105" i="10"/>
  <c r="AC106" i="10"/>
  <c r="AC107" i="10"/>
  <c r="AC108" i="10"/>
  <c r="AC109" i="10"/>
  <c r="AC110" i="10"/>
  <c r="AC111" i="10"/>
  <c r="AC112" i="10"/>
  <c r="AC113" i="10"/>
  <c r="AC114" i="10"/>
  <c r="AC115" i="10"/>
  <c r="AC116" i="10"/>
  <c r="AC117" i="10"/>
  <c r="AC118" i="10"/>
  <c r="AC119" i="10"/>
  <c r="AC120" i="10"/>
  <c r="AC121" i="10"/>
  <c r="AC122" i="10"/>
  <c r="AC123" i="10"/>
  <c r="AC124" i="10"/>
  <c r="AC125" i="10"/>
  <c r="AC126" i="10"/>
  <c r="AC127" i="10"/>
  <c r="AC128" i="10"/>
  <c r="AC129" i="10"/>
  <c r="AC130" i="10"/>
  <c r="AC2" i="10"/>
  <c r="S12" i="9"/>
  <c r="S13" i="9"/>
  <c r="S14" i="9"/>
  <c r="S15" i="9"/>
  <c r="S16" i="9"/>
  <c r="S11" i="9"/>
  <c r="S18" i="9"/>
  <c r="S17" i="9"/>
  <c r="S2" i="9"/>
  <c r="S3" i="9"/>
  <c r="S4" i="9"/>
  <c r="S5" i="9"/>
  <c r="S6" i="9"/>
  <c r="S7" i="9"/>
  <c r="S8" i="9"/>
  <c r="S9" i="9"/>
  <c r="S10" i="9"/>
  <c r="S1" i="9"/>
  <c r="E28" i="7"/>
  <c r="E29" i="7"/>
  <c r="E30" i="7"/>
  <c r="E31" i="7"/>
  <c r="E32" i="7"/>
  <c r="E33" i="7"/>
  <c r="E34" i="7"/>
  <c r="G28" i="7"/>
  <c r="H28" i="7" s="1"/>
  <c r="G29" i="7"/>
  <c r="G30" i="7"/>
  <c r="G31" i="7"/>
  <c r="G32" i="7"/>
  <c r="H32" i="7" s="1"/>
  <c r="G33" i="7"/>
  <c r="G34" i="7"/>
  <c r="F28" i="7"/>
  <c r="F29" i="7"/>
  <c r="H29" i="7" s="1"/>
  <c r="F30" i="7"/>
  <c r="F31" i="7"/>
  <c r="F32" i="7"/>
  <c r="F33" i="7"/>
  <c r="H33" i="7" s="1"/>
  <c r="F34" i="7"/>
  <c r="H30" i="7"/>
  <c r="H34" i="7"/>
  <c r="G22" i="7"/>
  <c r="G23" i="7"/>
  <c r="G24" i="7"/>
  <c r="G25" i="7"/>
  <c r="G26" i="7"/>
  <c r="G27" i="7"/>
  <c r="F22" i="7"/>
  <c r="F23" i="7"/>
  <c r="H23" i="7" s="1"/>
  <c r="F24" i="7"/>
  <c r="F25" i="7"/>
  <c r="F26" i="7"/>
  <c r="H26" i="7" s="1"/>
  <c r="F27" i="7"/>
  <c r="H27" i="7" s="1"/>
  <c r="E22" i="7"/>
  <c r="E23" i="7"/>
  <c r="E24" i="7"/>
  <c r="E25" i="7"/>
  <c r="E26" i="7"/>
  <c r="E27" i="7"/>
  <c r="G10" i="7"/>
  <c r="G11" i="7"/>
  <c r="G12" i="7"/>
  <c r="G13" i="7"/>
  <c r="G14" i="7"/>
  <c r="G15" i="7"/>
  <c r="G16" i="7"/>
  <c r="G17" i="7"/>
  <c r="G18" i="7"/>
  <c r="G19" i="7"/>
  <c r="G20" i="7"/>
  <c r="G21" i="7"/>
  <c r="F10" i="7"/>
  <c r="F11" i="7"/>
  <c r="F12" i="7"/>
  <c r="F13" i="7"/>
  <c r="F14" i="7"/>
  <c r="F15" i="7"/>
  <c r="F16" i="7"/>
  <c r="F17" i="7"/>
  <c r="F18" i="7"/>
  <c r="F19" i="7"/>
  <c r="F20" i="7"/>
  <c r="F21" i="7"/>
  <c r="E10" i="7"/>
  <c r="E11" i="7"/>
  <c r="E12" i="7"/>
  <c r="E13" i="7"/>
  <c r="E14" i="7"/>
  <c r="E15" i="7"/>
  <c r="E16" i="7"/>
  <c r="E17" i="7"/>
  <c r="E18" i="7"/>
  <c r="E19" i="7"/>
  <c r="E20" i="7"/>
  <c r="E21" i="7"/>
  <c r="H129" i="5"/>
  <c r="H130" i="5"/>
  <c r="H131" i="5"/>
  <c r="H132" i="5"/>
  <c r="H133" i="5"/>
  <c r="H134" i="5"/>
  <c r="H135" i="5"/>
  <c r="G129" i="5"/>
  <c r="G130" i="5"/>
  <c r="G131" i="5"/>
  <c r="G132" i="5"/>
  <c r="G133" i="5"/>
  <c r="G134" i="5"/>
  <c r="G135" i="5"/>
  <c r="F129" i="5"/>
  <c r="F130" i="5"/>
  <c r="F131" i="5"/>
  <c r="F132" i="5"/>
  <c r="F133" i="5"/>
  <c r="F134" i="5"/>
  <c r="F135" i="5"/>
  <c r="E129" i="5"/>
  <c r="E130" i="5"/>
  <c r="E132" i="5"/>
  <c r="E133" i="5"/>
  <c r="E134" i="5"/>
  <c r="E135" i="5"/>
  <c r="H24" i="7" l="1"/>
  <c r="H25" i="7"/>
  <c r="H22" i="7"/>
  <c r="H31" i="7"/>
  <c r="H114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F111" i="5"/>
  <c r="H111" i="5" s="1"/>
  <c r="F112" i="5"/>
  <c r="F113" i="5"/>
  <c r="H113" i="5" s="1"/>
  <c r="F114" i="5"/>
  <c r="F115" i="5"/>
  <c r="H115" i="5" s="1"/>
  <c r="F116" i="5"/>
  <c r="H116" i="5" s="1"/>
  <c r="F117" i="5"/>
  <c r="F118" i="5"/>
  <c r="H118" i="5" s="1"/>
  <c r="F119" i="5"/>
  <c r="H119" i="5" s="1"/>
  <c r="F120" i="5"/>
  <c r="H120" i="5" s="1"/>
  <c r="F121" i="5"/>
  <c r="H121" i="5" s="1"/>
  <c r="F122" i="5"/>
  <c r="H122" i="5" s="1"/>
  <c r="F123" i="5"/>
  <c r="H123" i="5" s="1"/>
  <c r="F124" i="5"/>
  <c r="H124" i="5" s="1"/>
  <c r="F125" i="5"/>
  <c r="H125" i="5" s="1"/>
  <c r="F126" i="5"/>
  <c r="H126" i="5" s="1"/>
  <c r="F127" i="5"/>
  <c r="H127" i="5" s="1"/>
  <c r="F128" i="5"/>
  <c r="H128" i="5" s="1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K60" i="5"/>
  <c r="F60" i="5" s="1"/>
  <c r="E60" i="5"/>
  <c r="L60" i="5"/>
  <c r="G60" i="5" s="1"/>
  <c r="E74" i="5"/>
  <c r="E77" i="5"/>
  <c r="E80" i="5"/>
  <c r="E83" i="5"/>
  <c r="E84" i="5"/>
  <c r="E87" i="5"/>
  <c r="E88" i="5"/>
  <c r="E89" i="5"/>
  <c r="F74" i="5"/>
  <c r="F87" i="5"/>
  <c r="F91" i="5"/>
  <c r="F92" i="5"/>
  <c r="F96" i="5"/>
  <c r="F97" i="5"/>
  <c r="F98" i="5"/>
  <c r="F99" i="5"/>
  <c r="F100" i="5"/>
  <c r="F101" i="5"/>
  <c r="F102" i="5"/>
  <c r="F103" i="5"/>
  <c r="F105" i="5"/>
  <c r="H105" i="5" s="1"/>
  <c r="F106" i="5"/>
  <c r="F108" i="5"/>
  <c r="F109" i="5"/>
  <c r="G74" i="5"/>
  <c r="G76" i="5"/>
  <c r="G77" i="5"/>
  <c r="G85" i="5"/>
  <c r="G86" i="5"/>
  <c r="G89" i="5"/>
  <c r="G92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L52" i="5"/>
  <c r="L53" i="5"/>
  <c r="L54" i="5"/>
  <c r="L55" i="5"/>
  <c r="L56" i="5"/>
  <c r="L57" i="5"/>
  <c r="L58" i="5"/>
  <c r="L59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G73" i="5" s="1"/>
  <c r="L74" i="5"/>
  <c r="L75" i="5"/>
  <c r="L76" i="5"/>
  <c r="L77" i="5"/>
  <c r="F77" i="5" s="1"/>
  <c r="L78" i="5"/>
  <c r="G78" i="5" s="1"/>
  <c r="L79" i="5"/>
  <c r="L80" i="5"/>
  <c r="G80" i="5" s="1"/>
  <c r="L81" i="5"/>
  <c r="L82" i="5"/>
  <c r="L83" i="5"/>
  <c r="L84" i="5"/>
  <c r="L85" i="5"/>
  <c r="L86" i="5"/>
  <c r="L87" i="5"/>
  <c r="G87" i="5" s="1"/>
  <c r="L88" i="5"/>
  <c r="G88" i="5" s="1"/>
  <c r="L89" i="5"/>
  <c r="L90" i="5"/>
  <c r="L91" i="5"/>
  <c r="L92" i="5"/>
  <c r="L93" i="5"/>
  <c r="F93" i="5" s="1"/>
  <c r="L94" i="5"/>
  <c r="L95" i="5"/>
  <c r="L96" i="5"/>
  <c r="L97" i="5"/>
  <c r="L98" i="5"/>
  <c r="L99" i="5"/>
  <c r="L100" i="5"/>
  <c r="L101" i="5"/>
  <c r="L102" i="5"/>
  <c r="L103" i="5"/>
  <c r="L104" i="5"/>
  <c r="F104" i="5" s="1"/>
  <c r="L105" i="5"/>
  <c r="L106" i="5"/>
  <c r="L107" i="5"/>
  <c r="L108" i="5"/>
  <c r="L109" i="5"/>
  <c r="L110" i="5"/>
  <c r="G110" i="5" s="1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K52" i="5"/>
  <c r="K53" i="5"/>
  <c r="K54" i="5"/>
  <c r="K55" i="5"/>
  <c r="K56" i="5"/>
  <c r="K57" i="5"/>
  <c r="K58" i="5"/>
  <c r="K59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F73" i="5" s="1"/>
  <c r="H73" i="5" s="1"/>
  <c r="K74" i="5"/>
  <c r="K75" i="5"/>
  <c r="F75" i="5" s="1"/>
  <c r="K76" i="5"/>
  <c r="F76" i="5" s="1"/>
  <c r="K77" i="5"/>
  <c r="K78" i="5"/>
  <c r="F78" i="5" s="1"/>
  <c r="K79" i="5"/>
  <c r="G79" i="5" s="1"/>
  <c r="K80" i="5"/>
  <c r="K81" i="5"/>
  <c r="G81" i="5" s="1"/>
  <c r="K82" i="5"/>
  <c r="G82" i="5" s="1"/>
  <c r="K83" i="5"/>
  <c r="F83" i="5" s="1"/>
  <c r="K84" i="5"/>
  <c r="G84" i="5" s="1"/>
  <c r="K85" i="5"/>
  <c r="E85" i="5" s="1"/>
  <c r="K86" i="5"/>
  <c r="E86" i="5" s="1"/>
  <c r="K87" i="5"/>
  <c r="K88" i="5"/>
  <c r="F88" i="5" s="1"/>
  <c r="K89" i="5"/>
  <c r="F89" i="5" s="1"/>
  <c r="K90" i="5"/>
  <c r="E90" i="5" s="1"/>
  <c r="K91" i="5"/>
  <c r="E91" i="5" s="1"/>
  <c r="K92" i="5"/>
  <c r="E92" i="5" s="1"/>
  <c r="K93" i="5"/>
  <c r="E93" i="5" s="1"/>
  <c r="K94" i="5"/>
  <c r="G94" i="5" s="1"/>
  <c r="K95" i="5"/>
  <c r="F95" i="5" s="1"/>
  <c r="K96" i="5"/>
  <c r="E96" i="5" s="1"/>
  <c r="K97" i="5"/>
  <c r="E97" i="5" s="1"/>
  <c r="K98" i="5"/>
  <c r="E98" i="5" s="1"/>
  <c r="K99" i="5"/>
  <c r="E99" i="5" s="1"/>
  <c r="K100" i="5"/>
  <c r="E100" i="5" s="1"/>
  <c r="K101" i="5"/>
  <c r="E101" i="5" s="1"/>
  <c r="K102" i="5"/>
  <c r="E102" i="5" s="1"/>
  <c r="K103" i="5"/>
  <c r="E103" i="5" s="1"/>
  <c r="K104" i="5"/>
  <c r="E104" i="5" s="1"/>
  <c r="K105" i="5"/>
  <c r="E105" i="5" s="1"/>
  <c r="K106" i="5"/>
  <c r="E106" i="5" s="1"/>
  <c r="K107" i="5"/>
  <c r="E107" i="5" s="1"/>
  <c r="K108" i="5"/>
  <c r="E108" i="5" s="1"/>
  <c r="K109" i="5"/>
  <c r="E109" i="5" s="1"/>
  <c r="K110" i="5"/>
  <c r="E110" i="5" s="1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H112" i="5" l="1"/>
  <c r="H109" i="5"/>
  <c r="H96" i="5"/>
  <c r="H78" i="5"/>
  <c r="H117" i="5"/>
  <c r="H76" i="5"/>
  <c r="H102" i="5"/>
  <c r="H77" i="5"/>
  <c r="H100" i="5"/>
  <c r="H74" i="5"/>
  <c r="H95" i="5"/>
  <c r="H108" i="5"/>
  <c r="H106" i="5"/>
  <c r="H104" i="5"/>
  <c r="H103" i="5"/>
  <c r="H101" i="5"/>
  <c r="H99" i="5"/>
  <c r="H98" i="5"/>
  <c r="H97" i="5"/>
  <c r="H92" i="5"/>
  <c r="H89" i="5"/>
  <c r="H88" i="5"/>
  <c r="F110" i="5"/>
  <c r="H110" i="5" s="1"/>
  <c r="F107" i="5"/>
  <c r="H107" i="5" s="1"/>
  <c r="E95" i="5"/>
  <c r="E94" i="5"/>
  <c r="F94" i="5"/>
  <c r="H94" i="5" s="1"/>
  <c r="G93" i="5"/>
  <c r="H93" i="5" s="1"/>
  <c r="G91" i="5"/>
  <c r="H91" i="5" s="1"/>
  <c r="G90" i="5"/>
  <c r="F90" i="5"/>
  <c r="H90" i="5" s="1"/>
  <c r="H87" i="5"/>
  <c r="F86" i="5"/>
  <c r="H86" i="5" s="1"/>
  <c r="F85" i="5"/>
  <c r="H85" i="5" s="1"/>
  <c r="F84" i="5"/>
  <c r="H84" i="5" s="1"/>
  <c r="G83" i="5"/>
  <c r="H83" i="5" s="1"/>
  <c r="E82" i="5"/>
  <c r="F82" i="5"/>
  <c r="H82" i="5" s="1"/>
  <c r="F81" i="5"/>
  <c r="H81" i="5" s="1"/>
  <c r="E81" i="5"/>
  <c r="F80" i="5"/>
  <c r="H80" i="5" s="1"/>
  <c r="F79" i="5"/>
  <c r="H79" i="5" s="1"/>
  <c r="E79" i="5"/>
  <c r="E78" i="5"/>
  <c r="E76" i="5"/>
  <c r="G75" i="5"/>
  <c r="H75" i="5" s="1"/>
  <c r="E75" i="5"/>
  <c r="E73" i="5"/>
  <c r="H60" i="5"/>
  <c r="K63" i="7"/>
  <c r="L63" i="7"/>
  <c r="K60" i="7"/>
  <c r="L60" i="7"/>
  <c r="K61" i="7"/>
  <c r="L61" i="7"/>
  <c r="K62" i="7"/>
  <c r="L62" i="7"/>
  <c r="E52" i="5"/>
  <c r="F52" i="5"/>
  <c r="G52" i="5"/>
  <c r="H52" i="5" s="1"/>
  <c r="E53" i="5"/>
  <c r="F53" i="5"/>
  <c r="G53" i="5"/>
  <c r="E54" i="5"/>
  <c r="F54" i="5"/>
  <c r="G54" i="5"/>
  <c r="E55" i="5"/>
  <c r="F55" i="5"/>
  <c r="G55" i="5"/>
  <c r="E56" i="5"/>
  <c r="F56" i="5"/>
  <c r="G56" i="5"/>
  <c r="E57" i="5"/>
  <c r="F57" i="5"/>
  <c r="G57" i="5"/>
  <c r="E58" i="5"/>
  <c r="E59" i="5"/>
  <c r="E61" i="5"/>
  <c r="F61" i="5"/>
  <c r="E62" i="5"/>
  <c r="E63" i="5"/>
  <c r="E64" i="5"/>
  <c r="G64" i="5"/>
  <c r="E65" i="5"/>
  <c r="F65" i="5"/>
  <c r="G65" i="5"/>
  <c r="L59" i="7"/>
  <c r="K59" i="7"/>
  <c r="L58" i="7"/>
  <c r="K58" i="7"/>
  <c r="L57" i="7"/>
  <c r="K57" i="7"/>
  <c r="L56" i="7"/>
  <c r="K56" i="7"/>
  <c r="L55" i="7"/>
  <c r="K55" i="7"/>
  <c r="L54" i="7"/>
  <c r="K54" i="7"/>
  <c r="L53" i="7"/>
  <c r="K53" i="7"/>
  <c r="L52" i="7"/>
  <c r="K52" i="7"/>
  <c r="L51" i="7"/>
  <c r="K51" i="7"/>
  <c r="L50" i="7"/>
  <c r="K50" i="7"/>
  <c r="L49" i="7"/>
  <c r="K49" i="7"/>
  <c r="L48" i="7"/>
  <c r="K48" i="7"/>
  <c r="L47" i="7"/>
  <c r="K47" i="7"/>
  <c r="L46" i="7"/>
  <c r="K46" i="7"/>
  <c r="L45" i="7"/>
  <c r="K45" i="7"/>
  <c r="L44" i="7"/>
  <c r="K44" i="7"/>
  <c r="L43" i="7"/>
  <c r="K43" i="7"/>
  <c r="L42" i="7"/>
  <c r="K42" i="7"/>
  <c r="L41" i="7"/>
  <c r="K41" i="7"/>
  <c r="L40" i="7"/>
  <c r="K40" i="7"/>
  <c r="L39" i="7"/>
  <c r="K39" i="7"/>
  <c r="L38" i="7"/>
  <c r="K38" i="7"/>
  <c r="L37" i="7"/>
  <c r="K37" i="7"/>
  <c r="L36" i="7"/>
  <c r="K36" i="7"/>
  <c r="L35" i="7"/>
  <c r="K35" i="7"/>
  <c r="L34" i="7"/>
  <c r="K34" i="7"/>
  <c r="L33" i="7"/>
  <c r="K33" i="7"/>
  <c r="L32" i="7"/>
  <c r="K32" i="7"/>
  <c r="L31" i="7"/>
  <c r="K31" i="7"/>
  <c r="L30" i="7"/>
  <c r="K30" i="7"/>
  <c r="L29" i="7"/>
  <c r="K29" i="7"/>
  <c r="L28" i="7"/>
  <c r="K28" i="7"/>
  <c r="L27" i="7"/>
  <c r="K27" i="7"/>
  <c r="L26" i="7"/>
  <c r="K26" i="7"/>
  <c r="L25" i="7"/>
  <c r="K25" i="7"/>
  <c r="L24" i="7"/>
  <c r="K24" i="7"/>
  <c r="L23" i="7"/>
  <c r="K23" i="7"/>
  <c r="L22" i="7"/>
  <c r="K22" i="7"/>
  <c r="L21" i="7"/>
  <c r="K21" i="7"/>
  <c r="L20" i="7"/>
  <c r="K20" i="7"/>
  <c r="L19" i="7"/>
  <c r="K19" i="7"/>
  <c r="L18" i="7"/>
  <c r="K18" i="7"/>
  <c r="L17" i="7"/>
  <c r="K17" i="7"/>
  <c r="L16" i="7"/>
  <c r="K16" i="7"/>
  <c r="L15" i="7"/>
  <c r="K15" i="7"/>
  <c r="L14" i="7"/>
  <c r="K14" i="7"/>
  <c r="L13" i="7"/>
  <c r="K13" i="7"/>
  <c r="L12" i="7"/>
  <c r="K12" i="7"/>
  <c r="L11" i="7"/>
  <c r="K11" i="7"/>
  <c r="L10" i="7"/>
  <c r="K10" i="7"/>
  <c r="L9" i="7"/>
  <c r="K9" i="7"/>
  <c r="E9" i="7" s="1"/>
  <c r="L8" i="7"/>
  <c r="K8" i="7"/>
  <c r="L7" i="7"/>
  <c r="K7" i="7"/>
  <c r="E7" i="7" s="1"/>
  <c r="L6" i="7"/>
  <c r="K6" i="7"/>
  <c r="L5" i="7"/>
  <c r="K5" i="7"/>
  <c r="E5" i="7" s="1"/>
  <c r="L4" i="7"/>
  <c r="K4" i="7"/>
  <c r="E4" i="7" s="1"/>
  <c r="L3" i="7"/>
  <c r="K3" i="7"/>
  <c r="L2" i="7"/>
  <c r="K2" i="7"/>
  <c r="E2" i="7" s="1"/>
  <c r="H54" i="5" l="1"/>
  <c r="H56" i="5"/>
  <c r="H57" i="5"/>
  <c r="H53" i="5"/>
  <c r="H55" i="5"/>
  <c r="H65" i="5"/>
  <c r="G59" i="5"/>
  <c r="G66" i="5"/>
  <c r="F64" i="5"/>
  <c r="H64" i="5" s="1"/>
  <c r="F59" i="5"/>
  <c r="G61" i="5"/>
  <c r="H61" i="5" s="1"/>
  <c r="F6" i="7"/>
  <c r="G7" i="7"/>
  <c r="G6" i="7"/>
  <c r="G9" i="7"/>
  <c r="G62" i="5"/>
  <c r="F66" i="5"/>
  <c r="H66" i="5" s="1"/>
  <c r="F62" i="5"/>
  <c r="E66" i="5"/>
  <c r="G63" i="5"/>
  <c r="G58" i="5"/>
  <c r="F63" i="5"/>
  <c r="F58" i="5"/>
  <c r="F7" i="7"/>
  <c r="G5" i="7"/>
  <c r="E6" i="7"/>
  <c r="G3" i="7"/>
  <c r="F3" i="7"/>
  <c r="G2" i="7"/>
  <c r="F2" i="7"/>
  <c r="F5" i="7"/>
  <c r="F9" i="7"/>
  <c r="G8" i="7"/>
  <c r="F8" i="7"/>
  <c r="E8" i="7"/>
  <c r="E3" i="7"/>
  <c r="G4" i="7"/>
  <c r="F4" i="7"/>
  <c r="H59" i="5" l="1"/>
  <c r="H63" i="5"/>
  <c r="H10" i="7"/>
  <c r="H21" i="7"/>
  <c r="H17" i="7"/>
  <c r="H6" i="7"/>
  <c r="H7" i="7"/>
  <c r="H14" i="7"/>
  <c r="H11" i="7"/>
  <c r="H16" i="7"/>
  <c r="H18" i="7"/>
  <c r="H19" i="7"/>
  <c r="H15" i="7"/>
  <c r="H8" i="7"/>
  <c r="H9" i="7"/>
  <c r="H13" i="7"/>
  <c r="H12" i="7"/>
  <c r="H5" i="7"/>
  <c r="H62" i="5"/>
  <c r="H58" i="5"/>
  <c r="H20" i="7"/>
  <c r="H4" i="7"/>
  <c r="H2" i="7"/>
  <c r="H3" i="7"/>
  <c r="E72" i="5"/>
  <c r="E70" i="5"/>
  <c r="F70" i="5"/>
  <c r="E69" i="5"/>
  <c r="E68" i="5"/>
  <c r="E67" i="5"/>
  <c r="K51" i="5"/>
  <c r="E51" i="5" s="1"/>
  <c r="L51" i="5"/>
  <c r="K50" i="5"/>
  <c r="L50" i="5"/>
  <c r="K49" i="5"/>
  <c r="E49" i="5" s="1"/>
  <c r="L49" i="5"/>
  <c r="G49" i="5"/>
  <c r="K48" i="5"/>
  <c r="L48" i="5"/>
  <c r="K47" i="5"/>
  <c r="E47" i="5" s="1"/>
  <c r="L47" i="5"/>
  <c r="K46" i="5"/>
  <c r="E46" i="5" s="1"/>
  <c r="L46" i="5"/>
  <c r="K45" i="5"/>
  <c r="E45" i="5" s="1"/>
  <c r="L45" i="5"/>
  <c r="K44" i="5"/>
  <c r="F44" i="5" s="1"/>
  <c r="L44" i="5"/>
  <c r="K43" i="5"/>
  <c r="E43" i="5" s="1"/>
  <c r="L43" i="5"/>
  <c r="K42" i="5"/>
  <c r="E42" i="5" s="1"/>
  <c r="L42" i="5"/>
  <c r="F42" i="5" s="1"/>
  <c r="K41" i="5"/>
  <c r="E41" i="5" s="1"/>
  <c r="L41" i="5"/>
  <c r="K40" i="5"/>
  <c r="L40" i="5"/>
  <c r="K39" i="5"/>
  <c r="L39" i="5"/>
  <c r="K38" i="5"/>
  <c r="L38" i="5"/>
  <c r="G38" i="5" s="1"/>
  <c r="K37" i="5"/>
  <c r="L37" i="5"/>
  <c r="K36" i="5"/>
  <c r="E36" i="5" s="1"/>
  <c r="L36" i="5"/>
  <c r="K35" i="5"/>
  <c r="L35" i="5"/>
  <c r="K34" i="5"/>
  <c r="E34" i="5" s="1"/>
  <c r="L34" i="5"/>
  <c r="F34" i="5" s="1"/>
  <c r="K33" i="5"/>
  <c r="L33" i="5"/>
  <c r="K32" i="5"/>
  <c r="L32" i="5"/>
  <c r="K31" i="5"/>
  <c r="L31" i="5"/>
  <c r="E35" i="5"/>
  <c r="E39" i="5"/>
  <c r="K30" i="5"/>
  <c r="E30" i="5" s="1"/>
  <c r="L30" i="5"/>
  <c r="K29" i="5"/>
  <c r="L29" i="5"/>
  <c r="K28" i="5"/>
  <c r="L28" i="5"/>
  <c r="K27" i="5"/>
  <c r="L27" i="5"/>
  <c r="K26" i="5"/>
  <c r="L26" i="5"/>
  <c r="K25" i="5"/>
  <c r="L25" i="5"/>
  <c r="K24" i="5"/>
  <c r="L24" i="5"/>
  <c r="K23" i="5"/>
  <c r="L23" i="5"/>
  <c r="K22" i="5"/>
  <c r="E22" i="5" s="1"/>
  <c r="L22" i="5"/>
  <c r="K21" i="5"/>
  <c r="E21" i="5" s="1"/>
  <c r="L21" i="5"/>
  <c r="K20" i="5"/>
  <c r="L20" i="5"/>
  <c r="K19" i="5"/>
  <c r="E19" i="5" s="1"/>
  <c r="L19" i="5"/>
  <c r="K18" i="5"/>
  <c r="L18" i="5"/>
  <c r="K17" i="5"/>
  <c r="E17" i="5" s="1"/>
  <c r="L17" i="5"/>
  <c r="K16" i="5"/>
  <c r="L16" i="5"/>
  <c r="K15" i="5"/>
  <c r="E15" i="5" s="1"/>
  <c r="L15" i="5"/>
  <c r="K14" i="5"/>
  <c r="E14" i="5" s="1"/>
  <c r="L14" i="5"/>
  <c r="K13" i="5"/>
  <c r="E13" i="5" s="1"/>
  <c r="L13" i="5"/>
  <c r="K12" i="5"/>
  <c r="E12" i="5" s="1"/>
  <c r="L12" i="5"/>
  <c r="K11" i="5"/>
  <c r="L11" i="5"/>
  <c r="K10" i="5"/>
  <c r="E10" i="5" s="1"/>
  <c r="L10" i="5"/>
  <c r="K4" i="5"/>
  <c r="E4" i="5" s="1"/>
  <c r="K5" i="5"/>
  <c r="K6" i="5"/>
  <c r="K7" i="5"/>
  <c r="K8" i="5"/>
  <c r="K9" i="5"/>
  <c r="E9" i="5" s="1"/>
  <c r="L4" i="5"/>
  <c r="L5" i="5"/>
  <c r="L6" i="5"/>
  <c r="L7" i="5"/>
  <c r="L8" i="5"/>
  <c r="L9" i="5"/>
  <c r="E26" i="5" l="1"/>
  <c r="F26" i="5"/>
  <c r="G26" i="5"/>
  <c r="F7" i="5"/>
  <c r="G28" i="5"/>
  <c r="E28" i="5"/>
  <c r="F28" i="5"/>
  <c r="F25" i="5"/>
  <c r="G25" i="5"/>
  <c r="E25" i="5"/>
  <c r="E27" i="5"/>
  <c r="G27" i="5"/>
  <c r="F27" i="5"/>
  <c r="F29" i="5"/>
  <c r="H29" i="5" s="1"/>
  <c r="G29" i="5"/>
  <c r="E29" i="5"/>
  <c r="E44" i="5"/>
  <c r="G48" i="5"/>
  <c r="F17" i="5"/>
  <c r="G21" i="5"/>
  <c r="G11" i="5"/>
  <c r="F20" i="5"/>
  <c r="G17" i="5"/>
  <c r="H17" i="5" s="1"/>
  <c r="F6" i="5"/>
  <c r="G50" i="5"/>
  <c r="G72" i="5"/>
  <c r="F5" i="5"/>
  <c r="F51" i="5"/>
  <c r="F69" i="5"/>
  <c r="H27" i="5"/>
  <c r="F30" i="5"/>
  <c r="E11" i="5"/>
  <c r="F18" i="5"/>
  <c r="G37" i="5"/>
  <c r="G71" i="5"/>
  <c r="G42" i="5"/>
  <c r="H42" i="5" s="1"/>
  <c r="F38" i="5"/>
  <c r="H38" i="5" s="1"/>
  <c r="F49" i="5"/>
  <c r="H49" i="5" s="1"/>
  <c r="G70" i="5"/>
  <c r="H70" i="5" s="1"/>
  <c r="F67" i="5"/>
  <c r="F33" i="5"/>
  <c r="G68" i="5"/>
  <c r="F11" i="5"/>
  <c r="F50" i="5"/>
  <c r="F68" i="5"/>
  <c r="G8" i="5"/>
  <c r="G14" i="5"/>
  <c r="F23" i="5"/>
  <c r="E50" i="5"/>
  <c r="G24" i="5"/>
  <c r="F48" i="5"/>
  <c r="H48" i="5" s="1"/>
  <c r="E38" i="5"/>
  <c r="F31" i="5"/>
  <c r="F12" i="5"/>
  <c r="G4" i="5"/>
  <c r="G23" i="5"/>
  <c r="H23" i="5" s="1"/>
  <c r="F32" i="5"/>
  <c r="G40" i="5"/>
  <c r="G47" i="5"/>
  <c r="G67" i="5"/>
  <c r="H28" i="5"/>
  <c r="G34" i="5"/>
  <c r="H34" i="5" s="1"/>
  <c r="G12" i="5"/>
  <c r="F35" i="5"/>
  <c r="G39" i="5"/>
  <c r="G19" i="5"/>
  <c r="G22" i="5"/>
  <c r="G43" i="5"/>
  <c r="E20" i="5"/>
  <c r="G30" i="5"/>
  <c r="F37" i="5"/>
  <c r="E48" i="5"/>
  <c r="E33" i="5"/>
  <c r="G33" i="5"/>
  <c r="H33" i="5" s="1"/>
  <c r="E31" i="5"/>
  <c r="G31" i="5"/>
  <c r="H25" i="5"/>
  <c r="E24" i="5"/>
  <c r="F19" i="5"/>
  <c r="G18" i="5"/>
  <c r="H18" i="5" s="1"/>
  <c r="G13" i="5"/>
  <c r="G5" i="5"/>
  <c r="E32" i="5"/>
  <c r="F8" i="5"/>
  <c r="F36" i="5"/>
  <c r="G7" i="5"/>
  <c r="H7" i="5" s="1"/>
  <c r="E8" i="5"/>
  <c r="F13" i="5"/>
  <c r="H13" i="5" s="1"/>
  <c r="G20" i="5"/>
  <c r="F22" i="5"/>
  <c r="F40" i="5"/>
  <c r="H40" i="5" s="1"/>
  <c r="G36" i="5"/>
  <c r="F43" i="5"/>
  <c r="F71" i="5"/>
  <c r="G6" i="5"/>
  <c r="E7" i="5"/>
  <c r="E18" i="5"/>
  <c r="F24" i="5"/>
  <c r="F39" i="5"/>
  <c r="G35" i="5"/>
  <c r="G32" i="5"/>
  <c r="E71" i="5"/>
  <c r="E40" i="5"/>
  <c r="G41" i="5"/>
  <c r="F15" i="5"/>
  <c r="E23" i="5"/>
  <c r="E37" i="5"/>
  <c r="F72" i="5"/>
  <c r="F14" i="5"/>
  <c r="F47" i="5"/>
  <c r="F4" i="5"/>
  <c r="F41" i="5"/>
  <c r="H41" i="5" s="1"/>
  <c r="G44" i="5"/>
  <c r="H44" i="5" s="1"/>
  <c r="G69" i="5"/>
  <c r="G51" i="5"/>
  <c r="G46" i="5"/>
  <c r="F46" i="5"/>
  <c r="G45" i="5"/>
  <c r="F45" i="5"/>
  <c r="F21" i="5"/>
  <c r="H21" i="5" s="1"/>
  <c r="E16" i="5"/>
  <c r="G16" i="5"/>
  <c r="G10" i="5"/>
  <c r="F10" i="5"/>
  <c r="G9" i="5"/>
  <c r="F9" i="5"/>
  <c r="E6" i="5"/>
  <c r="L3" i="5"/>
  <c r="K3" i="5"/>
  <c r="E3" i="5" s="1"/>
  <c r="H4" i="5" l="1"/>
  <c r="H11" i="5"/>
  <c r="H12" i="5"/>
  <c r="H72" i="5"/>
  <c r="H20" i="5"/>
  <c r="H30" i="5"/>
  <c r="H68" i="5"/>
  <c r="H45" i="5"/>
  <c r="H6" i="5"/>
  <c r="H26" i="5"/>
  <c r="H50" i="5"/>
  <c r="H71" i="5"/>
  <c r="H51" i="5"/>
  <c r="H32" i="5"/>
  <c r="H69" i="5"/>
  <c r="H24" i="5"/>
  <c r="H67" i="5"/>
  <c r="H5" i="5"/>
  <c r="H37" i="5"/>
  <c r="H16" i="5"/>
  <c r="H14" i="5"/>
  <c r="H31" i="5"/>
  <c r="H35" i="5"/>
  <c r="H43" i="5"/>
  <c r="H19" i="5"/>
  <c r="H8" i="5"/>
  <c r="H39" i="5"/>
  <c r="H47" i="5"/>
  <c r="H22" i="5"/>
  <c r="H36" i="5"/>
  <c r="H15" i="5"/>
  <c r="H10" i="5"/>
  <c r="H46" i="5"/>
  <c r="H9" i="5"/>
  <c r="F2" i="5"/>
  <c r="G2" i="5"/>
  <c r="F3" i="5"/>
  <c r="H3" i="5" l="1"/>
  <c r="H2" i="5"/>
</calcChain>
</file>

<file path=xl/sharedStrings.xml><?xml version="1.0" encoding="utf-8"?>
<sst xmlns="http://schemas.openxmlformats.org/spreadsheetml/2006/main" count="310" uniqueCount="90">
  <si>
    <t>#</t>
  </si>
  <si>
    <t>P (GPa) from Dewaele</t>
  </si>
  <si>
    <t>dP1</t>
  </si>
  <si>
    <t>dP2</t>
  </si>
  <si>
    <t>dP</t>
  </si>
  <si>
    <t xml:space="preserve">T (K) meas </t>
  </si>
  <si>
    <t>T (K) KCl</t>
  </si>
  <si>
    <t>dT</t>
  </si>
  <si>
    <t>aKCl</t>
  </si>
  <si>
    <t xml:space="preserve">errore a </t>
  </si>
  <si>
    <t>V KCl</t>
  </si>
  <si>
    <t>VolFit</t>
  </si>
  <si>
    <t>ErrorVolFit</t>
  </si>
  <si>
    <t xml:space="preserve">V0 (A^3/f.u.) </t>
  </si>
  <si>
    <t xml:space="preserve">K0 (Gpa) </t>
  </si>
  <si>
    <t xml:space="preserve">K'0 </t>
  </si>
  <si>
    <t xml:space="preserve">αKT </t>
  </si>
  <si>
    <t xml:space="preserve">Note </t>
  </si>
  <si>
    <t>Pmb</t>
  </si>
  <si>
    <t>beam 1vert 2 horiz</t>
  </si>
  <si>
    <t>ct</t>
  </si>
  <si>
    <t>T online</t>
  </si>
  <si>
    <t>ESRF April 2017</t>
  </si>
  <si>
    <t>FeS_SI</t>
  </si>
  <si>
    <t>SHIT</t>
  </si>
  <si>
    <t>FeS2_HV</t>
  </si>
  <si>
    <t>ESRF April 2018</t>
  </si>
  <si>
    <t>error a</t>
  </si>
  <si>
    <t>error c</t>
  </si>
  <si>
    <t>double peak</t>
  </si>
  <si>
    <t>aFeS2</t>
  </si>
  <si>
    <t>error</t>
  </si>
  <si>
    <t>erro a</t>
  </si>
  <si>
    <t>cFeS IV</t>
  </si>
  <si>
    <t>aFeS IV</t>
  </si>
  <si>
    <t xml:space="preserve"> </t>
  </si>
  <si>
    <t>FeS V</t>
  </si>
  <si>
    <t>FeS IV</t>
  </si>
  <si>
    <t>aFeS V</t>
  </si>
  <si>
    <t>cFeS V</t>
  </si>
  <si>
    <t>aFeS VI</t>
  </si>
  <si>
    <t>bFeS VI</t>
  </si>
  <si>
    <t>error b</t>
  </si>
  <si>
    <t>cFeS VI</t>
  </si>
  <si>
    <t>FeS VI</t>
  </si>
  <si>
    <t>???</t>
  </si>
  <si>
    <t>fit bof</t>
  </si>
  <si>
    <t>aFeS VI HT</t>
  </si>
  <si>
    <t>bFeS VI HT</t>
  </si>
  <si>
    <t>cFeS VI HT</t>
  </si>
  <si>
    <t>SOL</t>
  </si>
  <si>
    <t>LIQ</t>
  </si>
  <si>
    <t>VFeIV</t>
  </si>
  <si>
    <t>VFeV</t>
  </si>
  <si>
    <t>VFeVI</t>
  </si>
  <si>
    <t>VFeVIHT</t>
  </si>
  <si>
    <t>VFeS IV</t>
  </si>
  <si>
    <t>VFeS V</t>
  </si>
  <si>
    <t>VFeS VI</t>
  </si>
  <si>
    <t>VFeS VI HT</t>
  </si>
  <si>
    <t>V FeS VI</t>
  </si>
  <si>
    <t>VFeSVI HT</t>
  </si>
  <si>
    <t xml:space="preserve">error a </t>
  </si>
  <si>
    <t>V from PD ind</t>
  </si>
  <si>
    <t>error V</t>
  </si>
  <si>
    <t>c FeS V</t>
  </si>
  <si>
    <t>a FeS VI</t>
  </si>
  <si>
    <t xml:space="preserve">b FeS VI </t>
  </si>
  <si>
    <t>Error b</t>
  </si>
  <si>
    <t>c FeS VI</t>
  </si>
  <si>
    <t>ESRF September 2018</t>
  </si>
  <si>
    <t>laser aligned</t>
  </si>
  <si>
    <t>…</t>
  </si>
  <si>
    <t>after further laser alignment</t>
  </si>
  <si>
    <t>quench</t>
  </si>
  <si>
    <t>quench because the pinhole moved so had to improve the intensity of peaks</t>
  </si>
  <si>
    <t>big spot</t>
  </si>
  <si>
    <t xml:space="preserve">new spot </t>
  </si>
  <si>
    <t>up in pressure</t>
  </si>
  <si>
    <t>PK5_S3</t>
  </si>
  <si>
    <t>pyrite</t>
  </si>
  <si>
    <t>FeS X</t>
  </si>
  <si>
    <t>FeSX</t>
  </si>
  <si>
    <t>HV_FeS2</t>
  </si>
  <si>
    <t>HV_FeS2_</t>
  </si>
  <si>
    <t>PK5_FeS3</t>
  </si>
  <si>
    <t>FeS dissapear</t>
  </si>
  <si>
    <t>FeSIII</t>
  </si>
  <si>
    <t>GSAS</t>
  </si>
  <si>
    <t>BOF, trop recristallisé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</si>
</sst>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top" wrapText="1"/>
    </xf>
    <xf numFmtId="164" fontId="0" fillId="0" borderId="0" xfId="0" applyNumberFormat="1" applyFill="1"/>
    <xf numFmtId="0" fontId="0" fillId="2" borderId="0" xfId="0" applyFill="1"/>
    <xf numFmtId="0" fontId="0" fillId="0" borderId="0" xfId="0" applyAlignment="1">
      <alignment vertical="top" wrapText="1"/>
    </xf>
    <xf numFmtId="1" fontId="0" fillId="0" borderId="0" xfId="0" applyNumberFormat="1"/>
    <xf numFmtId="0" fontId="0" fillId="3" borderId="0" xfId="0" applyFill="1"/>
    <xf numFmtId="2" fontId="0" fillId="3" borderId="0" xfId="0" applyNumberFormat="1" applyFill="1"/>
    <xf numFmtId="164" fontId="0" fillId="3" borderId="0" xfId="0" applyNumberForma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025371828521428E-2"/>
          <c:y val="3.2407407407407406E-2"/>
          <c:w val="0.84271084864391954"/>
          <c:h val="0.841674686497521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SI_FeS1!$E$2:$E$135</c:f>
              <c:numCache>
                <c:formatCode>0.00</c:formatCode>
                <c:ptCount val="134"/>
                <c:pt idx="0">
                  <c:v>28.991326907416749</c:v>
                </c:pt>
                <c:pt idx="1">
                  <c:v>27.848797237355971</c:v>
                </c:pt>
                <c:pt idx="2">
                  <c:v>29.214913231545133</c:v>
                </c:pt>
                <c:pt idx="3">
                  <c:v>29.191166035484319</c:v>
                </c:pt>
                <c:pt idx="4">
                  <c:v>29.169616062421447</c:v>
                </c:pt>
                <c:pt idx="5">
                  <c:v>29.134408193143877</c:v>
                </c:pt>
                <c:pt idx="6">
                  <c:v>29.367570085928797</c:v>
                </c:pt>
                <c:pt idx="7">
                  <c:v>29.635179361156258</c:v>
                </c:pt>
                <c:pt idx="8">
                  <c:v>26.97300819460143</c:v>
                </c:pt>
                <c:pt idx="9">
                  <c:v>33.021423622559148</c:v>
                </c:pt>
                <c:pt idx="10">
                  <c:v>32.962839877898482</c:v>
                </c:pt>
                <c:pt idx="11">
                  <c:v>33.097239877898481</c:v>
                </c:pt>
                <c:pt idx="12">
                  <c:v>33.142520300701605</c:v>
                </c:pt>
                <c:pt idx="13">
                  <c:v>33.23485137319966</c:v>
                </c:pt>
                <c:pt idx="14">
                  <c:v>33.141933795487347</c:v>
                </c:pt>
                <c:pt idx="15">
                  <c:v>33.197293321449948</c:v>
                </c:pt>
                <c:pt idx="16">
                  <c:v>33.353768944016785</c:v>
                </c:pt>
                <c:pt idx="17">
                  <c:v>33.615308381467294</c:v>
                </c:pt>
                <c:pt idx="18">
                  <c:v>33.792759935760415</c:v>
                </c:pt>
                <c:pt idx="19">
                  <c:v>0</c:v>
                </c:pt>
                <c:pt idx="20">
                  <c:v>30.372045556655021</c:v>
                </c:pt>
                <c:pt idx="21">
                  <c:v>42.117485575764412</c:v>
                </c:pt>
                <c:pt idx="22">
                  <c:v>41.417887420957648</c:v>
                </c:pt>
                <c:pt idx="23">
                  <c:v>41.105316467407079</c:v>
                </c:pt>
                <c:pt idx="24">
                  <c:v>41.440413777184496</c:v>
                </c:pt>
                <c:pt idx="25">
                  <c:v>41.442027572893899</c:v>
                </c:pt>
                <c:pt idx="26">
                  <c:v>40.587094833796826</c:v>
                </c:pt>
                <c:pt idx="27">
                  <c:v>40.928056980117574</c:v>
                </c:pt>
                <c:pt idx="28">
                  <c:v>41.242457925995616</c:v>
                </c:pt>
                <c:pt idx="29">
                  <c:v>41.417608138393504</c:v>
                </c:pt>
                <c:pt idx="30">
                  <c:v>41.930233176031024</c:v>
                </c:pt>
                <c:pt idx="31">
                  <c:v>41.724479215794858</c:v>
                </c:pt>
                <c:pt idx="32">
                  <c:v>43.659105618618121</c:v>
                </c:pt>
                <c:pt idx="33">
                  <c:v>43.485949897341307</c:v>
                </c:pt>
                <c:pt idx="34">
                  <c:v>42.45649075935733</c:v>
                </c:pt>
                <c:pt idx="35">
                  <c:v>44.405201933109694</c:v>
                </c:pt>
                <c:pt idx="36">
                  <c:v>44.16727486653015</c:v>
                </c:pt>
                <c:pt idx="37">
                  <c:v>44.02144964312636</c:v>
                </c:pt>
                <c:pt idx="38">
                  <c:v>44.081404219020918</c:v>
                </c:pt>
                <c:pt idx="39">
                  <c:v>43.865237544837484</c:v>
                </c:pt>
                <c:pt idx="40">
                  <c:v>44.067471675201688</c:v>
                </c:pt>
                <c:pt idx="41">
                  <c:v>44.219017598888748</c:v>
                </c:pt>
                <c:pt idx="42">
                  <c:v>44.203081070852704</c:v>
                </c:pt>
                <c:pt idx="43">
                  <c:v>44.20762793566125</c:v>
                </c:pt>
                <c:pt idx="44">
                  <c:v>44.359633217175123</c:v>
                </c:pt>
                <c:pt idx="45">
                  <c:v>44.305956423731345</c:v>
                </c:pt>
                <c:pt idx="46">
                  <c:v>44.441264590736814</c:v>
                </c:pt>
                <c:pt idx="47">
                  <c:v>43.066713739575022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45.898824856242989</c:v>
                </c:pt>
                <c:pt idx="52">
                  <c:v>0</c:v>
                </c:pt>
                <c:pt idx="53">
                  <c:v>0</c:v>
                </c:pt>
                <c:pt idx="54">
                  <c:v>53.32078081498431</c:v>
                </c:pt>
                <c:pt idx="55">
                  <c:v>54.418199165986451</c:v>
                </c:pt>
                <c:pt idx="56">
                  <c:v>54.196525503418414</c:v>
                </c:pt>
                <c:pt idx="57">
                  <c:v>54.652859651913012</c:v>
                </c:pt>
                <c:pt idx="58">
                  <c:v>54.54287091877876</c:v>
                </c:pt>
                <c:pt idx="59">
                  <c:v>54.364891038658158</c:v>
                </c:pt>
                <c:pt idx="60">
                  <c:v>54.104044169647736</c:v>
                </c:pt>
                <c:pt idx="61">
                  <c:v>54.184095478099835</c:v>
                </c:pt>
                <c:pt idx="62">
                  <c:v>54.154374818959283</c:v>
                </c:pt>
                <c:pt idx="63">
                  <c:v>54.065519619791019</c:v>
                </c:pt>
                <c:pt idx="64">
                  <c:v>54.167154853085627</c:v>
                </c:pt>
                <c:pt idx="65">
                  <c:v>54.034302284932032</c:v>
                </c:pt>
                <c:pt idx="66">
                  <c:v>54.079614800554729</c:v>
                </c:pt>
                <c:pt idx="67">
                  <c:v>54.353144907792796</c:v>
                </c:pt>
                <c:pt idx="68">
                  <c:v>54.035534439655102</c:v>
                </c:pt>
                <c:pt idx="69">
                  <c:v>53.971842692843872</c:v>
                </c:pt>
                <c:pt idx="70">
                  <c:v>54.525594642877024</c:v>
                </c:pt>
                <c:pt idx="71">
                  <c:v>55.979662205052357</c:v>
                </c:pt>
                <c:pt idx="72">
                  <c:v>56.614414936757541</c:v>
                </c:pt>
                <c:pt idx="73">
                  <c:v>57.952356247262045</c:v>
                </c:pt>
                <c:pt idx="74">
                  <c:v>58.021220650004075</c:v>
                </c:pt>
                <c:pt idx="75">
                  <c:v>57.903123201293731</c:v>
                </c:pt>
                <c:pt idx="76">
                  <c:v>58.302356121467646</c:v>
                </c:pt>
                <c:pt idx="77">
                  <c:v>58.108064959504269</c:v>
                </c:pt>
                <c:pt idx="78">
                  <c:v>58.145557051134688</c:v>
                </c:pt>
                <c:pt idx="79">
                  <c:v>58.413162808248067</c:v>
                </c:pt>
                <c:pt idx="80">
                  <c:v>58.477441052468443</c:v>
                </c:pt>
                <c:pt idx="81">
                  <c:v>58.535535118244198</c:v>
                </c:pt>
                <c:pt idx="82">
                  <c:v>58.533441999600733</c:v>
                </c:pt>
                <c:pt idx="83">
                  <c:v>58.671742492053042</c:v>
                </c:pt>
                <c:pt idx="84">
                  <c:v>58.843593363414435</c:v>
                </c:pt>
                <c:pt idx="85">
                  <c:v>58.75525984307437</c:v>
                </c:pt>
                <c:pt idx="86">
                  <c:v>58.956892753682858</c:v>
                </c:pt>
                <c:pt idx="87">
                  <c:v>58.032206075257506</c:v>
                </c:pt>
                <c:pt idx="88">
                  <c:v>62.717438472986402</c:v>
                </c:pt>
                <c:pt idx="89">
                  <c:v>63.554559125904262</c:v>
                </c:pt>
                <c:pt idx="90">
                  <c:v>63.473826094241318</c:v>
                </c:pt>
                <c:pt idx="91">
                  <c:v>63.35229680129563</c:v>
                </c:pt>
                <c:pt idx="92">
                  <c:v>63.683341509462913</c:v>
                </c:pt>
                <c:pt idx="93">
                  <c:v>63.310858314855714</c:v>
                </c:pt>
                <c:pt idx="94">
                  <c:v>63.503563436738332</c:v>
                </c:pt>
                <c:pt idx="95">
                  <c:v>63.567151008611006</c:v>
                </c:pt>
                <c:pt idx="96">
                  <c:v>63.219500882986019</c:v>
                </c:pt>
                <c:pt idx="97">
                  <c:v>63.255362101010661</c:v>
                </c:pt>
                <c:pt idx="98">
                  <c:v>63.200884626017235</c:v>
                </c:pt>
                <c:pt idx="99">
                  <c:v>63.091035513054791</c:v>
                </c:pt>
                <c:pt idx="100">
                  <c:v>63.034347149059208</c:v>
                </c:pt>
                <c:pt idx="101">
                  <c:v>63.455062590586415</c:v>
                </c:pt>
                <c:pt idx="102">
                  <c:v>63.012229125797475</c:v>
                </c:pt>
                <c:pt idx="103">
                  <c:v>63.606991249604157</c:v>
                </c:pt>
                <c:pt idx="104">
                  <c:v>63.430978445453057</c:v>
                </c:pt>
                <c:pt idx="105">
                  <c:v>63.863466026383918</c:v>
                </c:pt>
                <c:pt idx="106">
                  <c:v>63.241833612979384</c:v>
                </c:pt>
                <c:pt idx="107">
                  <c:v>62.154879744833394</c:v>
                </c:pt>
                <c:pt idx="108">
                  <c:v>0</c:v>
                </c:pt>
                <c:pt idx="109">
                  <c:v>0</c:v>
                </c:pt>
                <c:pt idx="110">
                  <c:v>64.169892438461801</c:v>
                </c:pt>
                <c:pt idx="111">
                  <c:v>0</c:v>
                </c:pt>
                <c:pt idx="112">
                  <c:v>68.847733418840519</c:v>
                </c:pt>
                <c:pt idx="113">
                  <c:v>68.943870737669272</c:v>
                </c:pt>
                <c:pt idx="114">
                  <c:v>68.917040877424398</c:v>
                </c:pt>
                <c:pt idx="115">
                  <c:v>68.929590747687399</c:v>
                </c:pt>
                <c:pt idx="116">
                  <c:v>69.200797776529811</c:v>
                </c:pt>
                <c:pt idx="117">
                  <c:v>69.199934397848139</c:v>
                </c:pt>
                <c:pt idx="118">
                  <c:v>69.07821241602214</c:v>
                </c:pt>
                <c:pt idx="119">
                  <c:v>69.069121957666255</c:v>
                </c:pt>
                <c:pt idx="120">
                  <c:v>69.144974727207597</c:v>
                </c:pt>
                <c:pt idx="121">
                  <c:v>69.275000654136264</c:v>
                </c:pt>
                <c:pt idx="122">
                  <c:v>69.147844478814619</c:v>
                </c:pt>
                <c:pt idx="123">
                  <c:v>69.145784634248272</c:v>
                </c:pt>
                <c:pt idx="124">
                  <c:v>69.268479434521154</c:v>
                </c:pt>
                <c:pt idx="125">
                  <c:v>69.035380019935374</c:v>
                </c:pt>
                <c:pt idx="126">
                  <c:v>69.187498262976902</c:v>
                </c:pt>
                <c:pt idx="127">
                  <c:v>69.453346168222197</c:v>
                </c:pt>
                <c:pt idx="128">
                  <c:v>69.442663997393566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xVal>
          <c:yVal>
            <c:numRef>
              <c:f>SI_FeS1!$J$2:$J$135</c:f>
              <c:numCache>
                <c:formatCode>General</c:formatCode>
                <c:ptCount val="134"/>
                <c:pt idx="0">
                  <c:v>1420</c:v>
                </c:pt>
                <c:pt idx="1">
                  <c:v>300</c:v>
                </c:pt>
                <c:pt idx="2">
                  <c:v>1450</c:v>
                </c:pt>
                <c:pt idx="3">
                  <c:v>1530</c:v>
                </c:pt>
                <c:pt idx="4">
                  <c:v>1610</c:v>
                </c:pt>
                <c:pt idx="5">
                  <c:v>1710</c:v>
                </c:pt>
                <c:pt idx="6">
                  <c:v>1840</c:v>
                </c:pt>
                <c:pt idx="7">
                  <c:v>2000</c:v>
                </c:pt>
                <c:pt idx="8">
                  <c:v>300</c:v>
                </c:pt>
                <c:pt idx="9">
                  <c:v>300</c:v>
                </c:pt>
                <c:pt idx="10">
                  <c:v>1270</c:v>
                </c:pt>
                <c:pt idx="11">
                  <c:v>1350</c:v>
                </c:pt>
                <c:pt idx="12">
                  <c:v>1470</c:v>
                </c:pt>
                <c:pt idx="13">
                  <c:v>1540</c:v>
                </c:pt>
                <c:pt idx="14">
                  <c:v>1620</c:v>
                </c:pt>
                <c:pt idx="15">
                  <c:v>1690</c:v>
                </c:pt>
                <c:pt idx="16">
                  <c:v>1790</c:v>
                </c:pt>
                <c:pt idx="17">
                  <c:v>1910</c:v>
                </c:pt>
                <c:pt idx="18">
                  <c:v>2030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1220</c:v>
                </c:pt>
                <c:pt idx="23">
                  <c:v>1330</c:v>
                </c:pt>
                <c:pt idx="24">
                  <c:v>1420</c:v>
                </c:pt>
                <c:pt idx="25">
                  <c:v>1510</c:v>
                </c:pt>
                <c:pt idx="26">
                  <c:v>1580</c:v>
                </c:pt>
                <c:pt idx="27">
                  <c:v>1640</c:v>
                </c:pt>
                <c:pt idx="28">
                  <c:v>1750</c:v>
                </c:pt>
                <c:pt idx="29">
                  <c:v>1890</c:v>
                </c:pt>
                <c:pt idx="30">
                  <c:v>1970</c:v>
                </c:pt>
                <c:pt idx="31">
                  <c:v>2050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1250</c:v>
                </c:pt>
                <c:pt idx="36">
                  <c:v>1340</c:v>
                </c:pt>
                <c:pt idx="37">
                  <c:v>1410</c:v>
                </c:pt>
                <c:pt idx="38">
                  <c:v>1530</c:v>
                </c:pt>
                <c:pt idx="39">
                  <c:v>1660</c:v>
                </c:pt>
                <c:pt idx="40">
                  <c:v>1760</c:v>
                </c:pt>
                <c:pt idx="41">
                  <c:v>1850</c:v>
                </c:pt>
                <c:pt idx="42">
                  <c:v>1940</c:v>
                </c:pt>
                <c:pt idx="43">
                  <c:v>2000</c:v>
                </c:pt>
                <c:pt idx="44">
                  <c:v>2100</c:v>
                </c:pt>
                <c:pt idx="45">
                  <c:v>2190</c:v>
                </c:pt>
                <c:pt idx="46">
                  <c:v>2290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1220</c:v>
                </c:pt>
                <c:pt idx="56">
                  <c:v>1260</c:v>
                </c:pt>
                <c:pt idx="57">
                  <c:v>1340</c:v>
                </c:pt>
                <c:pt idx="58">
                  <c:v>1340</c:v>
                </c:pt>
                <c:pt idx="59">
                  <c:v>1430</c:v>
                </c:pt>
                <c:pt idx="60">
                  <c:v>1480</c:v>
                </c:pt>
                <c:pt idx="61">
                  <c:v>1580</c:v>
                </c:pt>
                <c:pt idx="62">
                  <c:v>1680</c:v>
                </c:pt>
                <c:pt idx="63">
                  <c:v>1750</c:v>
                </c:pt>
                <c:pt idx="64">
                  <c:v>1810</c:v>
                </c:pt>
                <c:pt idx="65">
                  <c:v>1880</c:v>
                </c:pt>
                <c:pt idx="66">
                  <c:v>1940</c:v>
                </c:pt>
                <c:pt idx="67">
                  <c:v>2020</c:v>
                </c:pt>
                <c:pt idx="68">
                  <c:v>2120</c:v>
                </c:pt>
                <c:pt idx="69">
                  <c:v>2200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1300</c:v>
                </c:pt>
                <c:pt idx="74">
                  <c:v>1410</c:v>
                </c:pt>
                <c:pt idx="75">
                  <c:v>1460</c:v>
                </c:pt>
                <c:pt idx="76">
                  <c:v>1520</c:v>
                </c:pt>
                <c:pt idx="77">
                  <c:v>1630</c:v>
                </c:pt>
                <c:pt idx="78">
                  <c:v>1700</c:v>
                </c:pt>
                <c:pt idx="79">
                  <c:v>1770</c:v>
                </c:pt>
                <c:pt idx="80">
                  <c:v>1850</c:v>
                </c:pt>
                <c:pt idx="81">
                  <c:v>1930</c:v>
                </c:pt>
                <c:pt idx="82">
                  <c:v>2010</c:v>
                </c:pt>
                <c:pt idx="83">
                  <c:v>2070</c:v>
                </c:pt>
                <c:pt idx="84">
                  <c:v>2180</c:v>
                </c:pt>
                <c:pt idx="85">
                  <c:v>2250</c:v>
                </c:pt>
                <c:pt idx="86">
                  <c:v>2330</c:v>
                </c:pt>
                <c:pt idx="87">
                  <c:v>300</c:v>
                </c:pt>
                <c:pt idx="88">
                  <c:v>300</c:v>
                </c:pt>
                <c:pt idx="89">
                  <c:v>1300</c:v>
                </c:pt>
                <c:pt idx="90">
                  <c:v>1340</c:v>
                </c:pt>
                <c:pt idx="91">
                  <c:v>1420</c:v>
                </c:pt>
                <c:pt idx="92">
                  <c:v>1480</c:v>
                </c:pt>
                <c:pt idx="93">
                  <c:v>1550</c:v>
                </c:pt>
                <c:pt idx="94">
                  <c:v>1630</c:v>
                </c:pt>
                <c:pt idx="95">
                  <c:v>1680</c:v>
                </c:pt>
                <c:pt idx="96">
                  <c:v>1760</c:v>
                </c:pt>
                <c:pt idx="97">
                  <c:v>1830</c:v>
                </c:pt>
                <c:pt idx="98">
                  <c:v>1900</c:v>
                </c:pt>
                <c:pt idx="99">
                  <c:v>1980</c:v>
                </c:pt>
                <c:pt idx="100">
                  <c:v>2060</c:v>
                </c:pt>
                <c:pt idx="101">
                  <c:v>2180</c:v>
                </c:pt>
                <c:pt idx="102">
                  <c:v>2280</c:v>
                </c:pt>
                <c:pt idx="103">
                  <c:v>2370</c:v>
                </c:pt>
                <c:pt idx="104">
                  <c:v>2420</c:v>
                </c:pt>
                <c:pt idx="105">
                  <c:v>2510</c:v>
                </c:pt>
                <c:pt idx="106">
                  <c:v>2540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1290</c:v>
                </c:pt>
                <c:pt idx="113">
                  <c:v>1370</c:v>
                </c:pt>
                <c:pt idx="114">
                  <c:v>1440</c:v>
                </c:pt>
                <c:pt idx="115">
                  <c:v>1540</c:v>
                </c:pt>
                <c:pt idx="116">
                  <c:v>1610</c:v>
                </c:pt>
                <c:pt idx="117">
                  <c:v>1730</c:v>
                </c:pt>
                <c:pt idx="118">
                  <c:v>1850</c:v>
                </c:pt>
                <c:pt idx="119">
                  <c:v>1920</c:v>
                </c:pt>
                <c:pt idx="120">
                  <c:v>1990</c:v>
                </c:pt>
                <c:pt idx="121">
                  <c:v>2120</c:v>
                </c:pt>
                <c:pt idx="122">
                  <c:v>2190</c:v>
                </c:pt>
                <c:pt idx="123">
                  <c:v>2270</c:v>
                </c:pt>
                <c:pt idx="124">
                  <c:v>2360</c:v>
                </c:pt>
                <c:pt idx="125">
                  <c:v>2440</c:v>
                </c:pt>
                <c:pt idx="126">
                  <c:v>2500</c:v>
                </c:pt>
                <c:pt idx="127">
                  <c:v>2610</c:v>
                </c:pt>
                <c:pt idx="128">
                  <c:v>2670</c:v>
                </c:pt>
                <c:pt idx="129">
                  <c:v>2750</c:v>
                </c:pt>
                <c:pt idx="130">
                  <c:v>2840</c:v>
                </c:pt>
                <c:pt idx="131">
                  <c:v>2950</c:v>
                </c:pt>
                <c:pt idx="132">
                  <c:v>2960</c:v>
                </c:pt>
                <c:pt idx="133">
                  <c:v>300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HV_FeS2_!$E$2:$E$63</c:f>
              <c:numCache>
                <c:formatCode>0.00</c:formatCode>
                <c:ptCount val="62"/>
                <c:pt idx="0">
                  <c:v>81.689810438767807</c:v>
                </c:pt>
                <c:pt idx="1">
                  <c:v>81.000497476202625</c:v>
                </c:pt>
                <c:pt idx="2">
                  <c:v>81.168179026903275</c:v>
                </c:pt>
                <c:pt idx="3">
                  <c:v>82.470484542744813</c:v>
                </c:pt>
                <c:pt idx="4">
                  <c:v>82.498295213764663</c:v>
                </c:pt>
                <c:pt idx="5">
                  <c:v>82.536452384218052</c:v>
                </c:pt>
                <c:pt idx="6">
                  <c:v>82.604989496241529</c:v>
                </c:pt>
                <c:pt idx="7">
                  <c:v>82.723212644032827</c:v>
                </c:pt>
                <c:pt idx="8">
                  <c:v>83.006413133572323</c:v>
                </c:pt>
                <c:pt idx="9">
                  <c:v>83.57962793427032</c:v>
                </c:pt>
                <c:pt idx="10">
                  <c:v>83.675099287151937</c:v>
                </c:pt>
                <c:pt idx="11">
                  <c:v>83.742562876815683</c:v>
                </c:pt>
                <c:pt idx="12">
                  <c:v>83.573985140226256</c:v>
                </c:pt>
                <c:pt idx="13">
                  <c:v>83.922228045151599</c:v>
                </c:pt>
                <c:pt idx="14">
                  <c:v>83.776205775804058</c:v>
                </c:pt>
                <c:pt idx="15">
                  <c:v>83.727069930842475</c:v>
                </c:pt>
                <c:pt idx="16">
                  <c:v>83.228067611629882</c:v>
                </c:pt>
                <c:pt idx="17">
                  <c:v>83.432109774872842</c:v>
                </c:pt>
                <c:pt idx="18">
                  <c:v>83.347776731882902</c:v>
                </c:pt>
                <c:pt idx="19">
                  <c:v>84.151867983977425</c:v>
                </c:pt>
                <c:pt idx="20">
                  <c:v>82.620587774785946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91.164511613372184</c:v>
                </c:pt>
                <c:pt idx="26">
                  <c:v>90.827803727349689</c:v>
                </c:pt>
                <c:pt idx="27">
                  <c:v>90.951999793869831</c:v>
                </c:pt>
                <c:pt idx="28">
                  <c:v>91.549171349610702</c:v>
                </c:pt>
                <c:pt idx="29">
                  <c:v>90.996307371820947</c:v>
                </c:pt>
                <c:pt idx="30">
                  <c:v>91.320203263104474</c:v>
                </c:pt>
                <c:pt idx="31">
                  <c:v>91.663944343882861</c:v>
                </c:pt>
                <c:pt idx="32">
                  <c:v>92.705429096646057</c:v>
                </c:pt>
                <c:pt idx="33">
                  <c:v>93.178583234357276</c:v>
                </c:pt>
                <c:pt idx="34">
                  <c:v>93.44760607616098</c:v>
                </c:pt>
                <c:pt idx="35">
                  <c:v>93.36196591228429</c:v>
                </c:pt>
                <c:pt idx="36">
                  <c:v>93.587371414847823</c:v>
                </c:pt>
                <c:pt idx="37">
                  <c:v>93.618819213577453</c:v>
                </c:pt>
                <c:pt idx="38">
                  <c:v>93.391057354655644</c:v>
                </c:pt>
                <c:pt idx="39">
                  <c:v>93.996193726193937</c:v>
                </c:pt>
                <c:pt idx="40">
                  <c:v>0</c:v>
                </c:pt>
                <c:pt idx="41">
                  <c:v>104.75903960198185</c:v>
                </c:pt>
                <c:pt idx="42">
                  <c:v>105.1223868681255</c:v>
                </c:pt>
                <c:pt idx="43">
                  <c:v>106.20632104454715</c:v>
                </c:pt>
                <c:pt idx="44">
                  <c:v>107.93799488665216</c:v>
                </c:pt>
                <c:pt idx="45">
                  <c:v>107.1962788598495</c:v>
                </c:pt>
                <c:pt idx="46">
                  <c:v>107.35219845822768</c:v>
                </c:pt>
                <c:pt idx="47">
                  <c:v>107.37308650438732</c:v>
                </c:pt>
                <c:pt idx="48">
                  <c:v>107.46407163664585</c:v>
                </c:pt>
                <c:pt idx="49">
                  <c:v>107.48441681678139</c:v>
                </c:pt>
                <c:pt idx="50">
                  <c:v>108.10597438372487</c:v>
                </c:pt>
                <c:pt idx="51">
                  <c:v>108.20975034866407</c:v>
                </c:pt>
                <c:pt idx="52">
                  <c:v>108.33363681764186</c:v>
                </c:pt>
                <c:pt idx="53">
                  <c:v>108.23461946740204</c:v>
                </c:pt>
                <c:pt idx="54">
                  <c:v>108.18976576416247</c:v>
                </c:pt>
                <c:pt idx="55">
                  <c:v>110.15107269267875</c:v>
                </c:pt>
                <c:pt idx="56">
                  <c:v>109.47894966341408</c:v>
                </c:pt>
                <c:pt idx="57">
                  <c:v>110.86897090635257</c:v>
                </c:pt>
                <c:pt idx="58">
                  <c:v>110.60617796554436</c:v>
                </c:pt>
                <c:pt idx="59">
                  <c:v>110.83982021697925</c:v>
                </c:pt>
                <c:pt idx="60">
                  <c:v>110.81982655376923</c:v>
                </c:pt>
                <c:pt idx="61">
                  <c:v>109.84995073811072</c:v>
                </c:pt>
              </c:numCache>
            </c:numRef>
          </c:xVal>
          <c:yVal>
            <c:numRef>
              <c:f>HV_FeS2_!$J$2:$J$63</c:f>
              <c:numCache>
                <c:formatCode>General</c:formatCode>
                <c:ptCount val="62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1280</c:v>
                </c:pt>
                <c:pt idx="4">
                  <c:v>1350</c:v>
                </c:pt>
                <c:pt idx="5">
                  <c:v>1440</c:v>
                </c:pt>
                <c:pt idx="6">
                  <c:v>1420</c:v>
                </c:pt>
                <c:pt idx="7">
                  <c:v>1490</c:v>
                </c:pt>
                <c:pt idx="8">
                  <c:v>1560</c:v>
                </c:pt>
                <c:pt idx="9">
                  <c:v>1680</c:v>
                </c:pt>
                <c:pt idx="10">
                  <c:v>1740</c:v>
                </c:pt>
                <c:pt idx="11">
                  <c:v>1810</c:v>
                </c:pt>
                <c:pt idx="12">
                  <c:v>1880</c:v>
                </c:pt>
                <c:pt idx="13">
                  <c:v>1960</c:v>
                </c:pt>
                <c:pt idx="14">
                  <c:v>2060</c:v>
                </c:pt>
                <c:pt idx="15">
                  <c:v>2170</c:v>
                </c:pt>
                <c:pt idx="16">
                  <c:v>2240</c:v>
                </c:pt>
                <c:pt idx="17">
                  <c:v>2330</c:v>
                </c:pt>
                <c:pt idx="18">
                  <c:v>2440</c:v>
                </c:pt>
                <c:pt idx="19">
                  <c:v>2510</c:v>
                </c:pt>
                <c:pt idx="20">
                  <c:v>300</c:v>
                </c:pt>
                <c:pt idx="21">
                  <c:v>300</c:v>
                </c:pt>
                <c:pt idx="22">
                  <c:v>1240</c:v>
                </c:pt>
                <c:pt idx="23">
                  <c:v>1400</c:v>
                </c:pt>
                <c:pt idx="24">
                  <c:v>1460</c:v>
                </c:pt>
                <c:pt idx="25">
                  <c:v>1540</c:v>
                </c:pt>
                <c:pt idx="26">
                  <c:v>1610</c:v>
                </c:pt>
                <c:pt idx="27">
                  <c:v>1810</c:v>
                </c:pt>
                <c:pt idx="28">
                  <c:v>1910</c:v>
                </c:pt>
                <c:pt idx="29">
                  <c:v>1700</c:v>
                </c:pt>
                <c:pt idx="30">
                  <c:v>1600</c:v>
                </c:pt>
                <c:pt idx="31">
                  <c:v>1860</c:v>
                </c:pt>
                <c:pt idx="32">
                  <c:v>1940</c:v>
                </c:pt>
                <c:pt idx="33">
                  <c:v>2040</c:v>
                </c:pt>
                <c:pt idx="34">
                  <c:v>2120</c:v>
                </c:pt>
                <c:pt idx="35">
                  <c:v>2230</c:v>
                </c:pt>
                <c:pt idx="36">
                  <c:v>2390</c:v>
                </c:pt>
                <c:pt idx="37">
                  <c:v>2480</c:v>
                </c:pt>
                <c:pt idx="38">
                  <c:v>2550</c:v>
                </c:pt>
                <c:pt idx="39">
                  <c:v>300</c:v>
                </c:pt>
                <c:pt idx="40">
                  <c:v>300</c:v>
                </c:pt>
                <c:pt idx="41">
                  <c:v>1730</c:v>
                </c:pt>
                <c:pt idx="42">
                  <c:v>1800</c:v>
                </c:pt>
                <c:pt idx="43">
                  <c:v>1970</c:v>
                </c:pt>
                <c:pt idx="44">
                  <c:v>1740</c:v>
                </c:pt>
                <c:pt idx="45">
                  <c:v>1630</c:v>
                </c:pt>
                <c:pt idx="46">
                  <c:v>1540</c:v>
                </c:pt>
                <c:pt idx="47">
                  <c:v>1440</c:v>
                </c:pt>
                <c:pt idx="48">
                  <c:v>1340</c:v>
                </c:pt>
                <c:pt idx="49">
                  <c:v>1340</c:v>
                </c:pt>
                <c:pt idx="50">
                  <c:v>1700</c:v>
                </c:pt>
                <c:pt idx="51">
                  <c:v>1800</c:v>
                </c:pt>
                <c:pt idx="52">
                  <c:v>1850</c:v>
                </c:pt>
                <c:pt idx="53">
                  <c:v>1990</c:v>
                </c:pt>
                <c:pt idx="54">
                  <c:v>2070</c:v>
                </c:pt>
                <c:pt idx="55">
                  <c:v>2160</c:v>
                </c:pt>
                <c:pt idx="56">
                  <c:v>2250</c:v>
                </c:pt>
                <c:pt idx="57">
                  <c:v>2320</c:v>
                </c:pt>
                <c:pt idx="58">
                  <c:v>2410</c:v>
                </c:pt>
                <c:pt idx="59">
                  <c:v>2520</c:v>
                </c:pt>
                <c:pt idx="60">
                  <c:v>2590</c:v>
                </c:pt>
                <c:pt idx="61">
                  <c:v>300</c:v>
                </c:pt>
              </c:numCache>
            </c:numRef>
          </c:yVal>
          <c:smooth val="0"/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PK5_FeS3!$E$4:$E$62</c:f>
              <c:numCache>
                <c:formatCode>0</c:formatCode>
                <c:ptCount val="59"/>
                <c:pt idx="0">
                  <c:v>66.312035308611911</c:v>
                </c:pt>
                <c:pt idx="1">
                  <c:v>87.735488747759831</c:v>
                </c:pt>
                <c:pt idx="2">
                  <c:v>106.76875603067552</c:v>
                </c:pt>
                <c:pt idx="3">
                  <c:v>111.91420092621874</c:v>
                </c:pt>
                <c:pt idx="4">
                  <c:v>115.25499990174377</c:v>
                </c:pt>
                <c:pt idx="5">
                  <c:v>117.85918080015134</c:v>
                </c:pt>
                <c:pt idx="6">
                  <c:v>119.0399849806174</c:v>
                </c:pt>
                <c:pt idx="7">
                  <c:v>118.89369971388678</c:v>
                </c:pt>
                <c:pt idx="8">
                  <c:v>119.14226441933623</c:v>
                </c:pt>
                <c:pt idx="9">
                  <c:v>120.10993054291919</c:v>
                </c:pt>
                <c:pt idx="10">
                  <c:v>120.48865253774865</c:v>
                </c:pt>
                <c:pt idx="11">
                  <c:v>120.38587522786368</c:v>
                </c:pt>
                <c:pt idx="12">
                  <c:v>120.67890279076209</c:v>
                </c:pt>
                <c:pt idx="13">
                  <c:v>120.27831311033876</c:v>
                </c:pt>
                <c:pt idx="14">
                  <c:v>120.22729830952069</c:v>
                </c:pt>
                <c:pt idx="15">
                  <c:v>120.17286844551229</c:v>
                </c:pt>
                <c:pt idx="16">
                  <c:v>120.33426800323842</c:v>
                </c:pt>
                <c:pt idx="17">
                  <c:v>120.32134143333759</c:v>
                </c:pt>
                <c:pt idx="18">
                  <c:v>120.25839345429847</c:v>
                </c:pt>
                <c:pt idx="19">
                  <c:v>119.51517260746211</c:v>
                </c:pt>
                <c:pt idx="20">
                  <c:v>119.63498621615256</c:v>
                </c:pt>
                <c:pt idx="21">
                  <c:v>124.72308704731846</c:v>
                </c:pt>
                <c:pt idx="22">
                  <c:v>125.03215547634252</c:v>
                </c:pt>
                <c:pt idx="23">
                  <c:v>126.59422035609747</c:v>
                </c:pt>
                <c:pt idx="24">
                  <c:v>129.40783120719701</c:v>
                </c:pt>
                <c:pt idx="25">
                  <c:v>127.44223120719701</c:v>
                </c:pt>
                <c:pt idx="26">
                  <c:v>129.55549791833664</c:v>
                </c:pt>
                <c:pt idx="27">
                  <c:v>129.94920839284993</c:v>
                </c:pt>
                <c:pt idx="28">
                  <c:v>130.21125616613978</c:v>
                </c:pt>
                <c:pt idx="29">
                  <c:v>130.87117374299564</c:v>
                </c:pt>
                <c:pt idx="30">
                  <c:v>131.66336740236883</c:v>
                </c:pt>
                <c:pt idx="31">
                  <c:v>132.72795397932666</c:v>
                </c:pt>
                <c:pt idx="32">
                  <c:v>133.62678759926465</c:v>
                </c:pt>
                <c:pt idx="33">
                  <c:v>134.66610128027534</c:v>
                </c:pt>
                <c:pt idx="34">
                  <c:v>134.08688965895976</c:v>
                </c:pt>
                <c:pt idx="35">
                  <c:v>132.63135652535317</c:v>
                </c:pt>
                <c:pt idx="36">
                  <c:v>137.49274629012805</c:v>
                </c:pt>
                <c:pt idx="37">
                  <c:v>142.16526891459998</c:v>
                </c:pt>
                <c:pt idx="38">
                  <c:v>142.60772366934796</c:v>
                </c:pt>
                <c:pt idx="39">
                  <c:v>145.28783272893338</c:v>
                </c:pt>
                <c:pt idx="40">
                  <c:v>146.3604631958876</c:v>
                </c:pt>
                <c:pt idx="41">
                  <c:v>147.21828577127025</c:v>
                </c:pt>
                <c:pt idx="42">
                  <c:v>147.28941696366402</c:v>
                </c:pt>
                <c:pt idx="43">
                  <c:v>149.44883864867839</c:v>
                </c:pt>
                <c:pt idx="44">
                  <c:v>149.50351400926252</c:v>
                </c:pt>
                <c:pt idx="45">
                  <c:v>149.75485290737586</c:v>
                </c:pt>
                <c:pt idx="46">
                  <c:v>148.5193259260206</c:v>
                </c:pt>
                <c:pt idx="47">
                  <c:v>148.62718303323163</c:v>
                </c:pt>
                <c:pt idx="48">
                  <c:v>148.61294387798569</c:v>
                </c:pt>
                <c:pt idx="49">
                  <c:v>150.82949007591395</c:v>
                </c:pt>
                <c:pt idx="50">
                  <c:v>151.19843848475946</c:v>
                </c:pt>
                <c:pt idx="51">
                  <c:v>151.63538169102281</c:v>
                </c:pt>
                <c:pt idx="52">
                  <c:v>152.02052267934596</c:v>
                </c:pt>
                <c:pt idx="53">
                  <c:v>152.55029432092368</c:v>
                </c:pt>
                <c:pt idx="54">
                  <c:v>152.81139456022373</c:v>
                </c:pt>
                <c:pt idx="55">
                  <c:v>153.22703389736367</c:v>
                </c:pt>
                <c:pt idx="56">
                  <c:v>153.55950390319896</c:v>
                </c:pt>
                <c:pt idx="57">
                  <c:v>151.18836731490887</c:v>
                </c:pt>
                <c:pt idx="58">
                  <c:v>69.766464896273618</c:v>
                </c:pt>
              </c:numCache>
            </c:numRef>
          </c:xVal>
          <c:yVal>
            <c:numRef>
              <c:f>PK5_FeS3!$J$4:$J$62</c:f>
              <c:numCache>
                <c:formatCode>General</c:formatCode>
                <c:ptCount val="59"/>
                <c:pt idx="0">
                  <c:v>300</c:v>
                </c:pt>
                <c:pt idx="1">
                  <c:v>300</c:v>
                </c:pt>
                <c:pt idx="2">
                  <c:v>300</c:v>
                </c:pt>
                <c:pt idx="3">
                  <c:v>300</c:v>
                </c:pt>
                <c:pt idx="4">
                  <c:v>300</c:v>
                </c:pt>
                <c:pt idx="5">
                  <c:v>1530</c:v>
                </c:pt>
                <c:pt idx="6">
                  <c:v>1820</c:v>
                </c:pt>
                <c:pt idx="7">
                  <c:v>1830</c:v>
                </c:pt>
                <c:pt idx="8">
                  <c:v>2000</c:v>
                </c:pt>
                <c:pt idx="9">
                  <c:v>2060</c:v>
                </c:pt>
                <c:pt idx="10">
                  <c:v>2200</c:v>
                </c:pt>
                <c:pt idx="11">
                  <c:v>2350</c:v>
                </c:pt>
                <c:pt idx="12">
                  <c:v>2430</c:v>
                </c:pt>
                <c:pt idx="13">
                  <c:v>2000</c:v>
                </c:pt>
                <c:pt idx="14">
                  <c:v>1900</c:v>
                </c:pt>
                <c:pt idx="15">
                  <c:v>1800</c:v>
                </c:pt>
                <c:pt idx="16">
                  <c:v>1700</c:v>
                </c:pt>
                <c:pt idx="17">
                  <c:v>1600</c:v>
                </c:pt>
                <c:pt idx="18">
                  <c:v>1400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300</c:v>
                </c:pt>
                <c:pt idx="23">
                  <c:v>1380</c:v>
                </c:pt>
                <c:pt idx="24">
                  <c:v>1470</c:v>
                </c:pt>
                <c:pt idx="25">
                  <c:v>300</c:v>
                </c:pt>
                <c:pt idx="26">
                  <c:v>1330</c:v>
                </c:pt>
                <c:pt idx="27">
                  <c:v>1489</c:v>
                </c:pt>
                <c:pt idx="28">
                  <c:v>1660</c:v>
                </c:pt>
                <c:pt idx="29">
                  <c:v>1790</c:v>
                </c:pt>
                <c:pt idx="30">
                  <c:v>1920</c:v>
                </c:pt>
                <c:pt idx="31">
                  <c:v>2100</c:v>
                </c:pt>
                <c:pt idx="32">
                  <c:v>2240</c:v>
                </c:pt>
                <c:pt idx="33">
                  <c:v>2440</c:v>
                </c:pt>
                <c:pt idx="34">
                  <c:v>2560</c:v>
                </c:pt>
                <c:pt idx="35">
                  <c:v>300</c:v>
                </c:pt>
                <c:pt idx="36">
                  <c:v>300</c:v>
                </c:pt>
                <c:pt idx="37">
                  <c:v>300</c:v>
                </c:pt>
                <c:pt idx="38">
                  <c:v>300</c:v>
                </c:pt>
                <c:pt idx="39">
                  <c:v>1300</c:v>
                </c:pt>
                <c:pt idx="40">
                  <c:v>1550</c:v>
                </c:pt>
                <c:pt idx="41">
                  <c:v>1730</c:v>
                </c:pt>
                <c:pt idx="42">
                  <c:v>1910</c:v>
                </c:pt>
                <c:pt idx="43">
                  <c:v>2060</c:v>
                </c:pt>
                <c:pt idx="44">
                  <c:v>2250</c:v>
                </c:pt>
                <c:pt idx="45">
                  <c:v>2450</c:v>
                </c:pt>
                <c:pt idx="46">
                  <c:v>300</c:v>
                </c:pt>
                <c:pt idx="47">
                  <c:v>300</c:v>
                </c:pt>
                <c:pt idx="48">
                  <c:v>300</c:v>
                </c:pt>
                <c:pt idx="49">
                  <c:v>1370</c:v>
                </c:pt>
                <c:pt idx="50">
                  <c:v>1570</c:v>
                </c:pt>
                <c:pt idx="51">
                  <c:v>1730</c:v>
                </c:pt>
                <c:pt idx="52">
                  <c:v>1900</c:v>
                </c:pt>
                <c:pt idx="53">
                  <c:v>2060</c:v>
                </c:pt>
                <c:pt idx="54">
                  <c:v>2200</c:v>
                </c:pt>
                <c:pt idx="55">
                  <c:v>2410</c:v>
                </c:pt>
                <c:pt idx="56">
                  <c:v>2580</c:v>
                </c:pt>
                <c:pt idx="57">
                  <c:v>300</c:v>
                </c:pt>
                <c:pt idx="58">
                  <c:v>300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182400"/>
        <c:axId val="1824833616"/>
      </c:scatterChart>
      <c:valAx>
        <c:axId val="1612182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833616"/>
        <c:crosses val="autoZero"/>
        <c:crossBetween val="midCat"/>
      </c:valAx>
      <c:valAx>
        <c:axId val="182483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12182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'Phase diag FeS IV'!$A$1</c:f>
              <c:strCache>
                <c:ptCount val="1"/>
                <c:pt idx="0">
                  <c:v>FeS IV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'Phase diag FeS IV'!$E:$E</c:f>
              <c:numCache>
                <c:formatCode>General</c:formatCode>
                <c:ptCount val="1048576"/>
                <c:pt idx="1">
                  <c:v>29.214913231545133</c:v>
                </c:pt>
                <c:pt idx="2">
                  <c:v>29.191166035484319</c:v>
                </c:pt>
                <c:pt idx="3">
                  <c:v>29.169616062421447</c:v>
                </c:pt>
                <c:pt idx="4">
                  <c:v>29.134408193143877</c:v>
                </c:pt>
                <c:pt idx="6">
                  <c:v>32.962839877898482</c:v>
                </c:pt>
                <c:pt idx="7">
                  <c:v>33.097239877898481</c:v>
                </c:pt>
                <c:pt idx="8">
                  <c:v>33.142520300701605</c:v>
                </c:pt>
                <c:pt idx="9">
                  <c:v>33.23485137319966</c:v>
                </c:pt>
                <c:pt idx="10">
                  <c:v>33.141933795487347</c:v>
                </c:pt>
                <c:pt idx="11">
                  <c:v>33.197293321449948</c:v>
                </c:pt>
                <c:pt idx="12">
                  <c:v>33.353768944016785</c:v>
                </c:pt>
                <c:pt idx="13" formatCode="0.00">
                  <c:v>33.615308381467294</c:v>
                </c:pt>
                <c:pt idx="15">
                  <c:v>41.442027572893899</c:v>
                </c:pt>
                <c:pt idx="16">
                  <c:v>40.587094833796826</c:v>
                </c:pt>
                <c:pt idx="17">
                  <c:v>40.928056980117574</c:v>
                </c:pt>
                <c:pt idx="18">
                  <c:v>41.242457925995616</c:v>
                </c:pt>
                <c:pt idx="19">
                  <c:v>41.417608138393504</c:v>
                </c:pt>
                <c:pt idx="20">
                  <c:v>41.930233176031024</c:v>
                </c:pt>
                <c:pt idx="21">
                  <c:v>41.724479215794858</c:v>
                </c:pt>
                <c:pt idx="23">
                  <c:v>43.865237544837484</c:v>
                </c:pt>
                <c:pt idx="24">
                  <c:v>44.067471675201688</c:v>
                </c:pt>
                <c:pt idx="25">
                  <c:v>44.219017598888748</c:v>
                </c:pt>
                <c:pt idx="26">
                  <c:v>44.203081070852704</c:v>
                </c:pt>
                <c:pt idx="27">
                  <c:v>44.20762793566125</c:v>
                </c:pt>
                <c:pt idx="29">
                  <c:v>54.154374818959283</c:v>
                </c:pt>
                <c:pt idx="30">
                  <c:v>54.065519619791019</c:v>
                </c:pt>
                <c:pt idx="31">
                  <c:v>54.167154853085627</c:v>
                </c:pt>
                <c:pt idx="32">
                  <c:v>54.034302284932032</c:v>
                </c:pt>
                <c:pt idx="34">
                  <c:v>58.535535118244198</c:v>
                </c:pt>
                <c:pt idx="35">
                  <c:v>58.533441999600733</c:v>
                </c:pt>
                <c:pt idx="37">
                  <c:v>63.455062590586415</c:v>
                </c:pt>
                <c:pt idx="39">
                  <c:v>69.144974727207597</c:v>
                </c:pt>
                <c:pt idx="40">
                  <c:v>69.275000654136264</c:v>
                </c:pt>
                <c:pt idx="43">
                  <c:v>83.922228045151599</c:v>
                </c:pt>
                <c:pt idx="44">
                  <c:v>83.776205775804058</c:v>
                </c:pt>
              </c:numCache>
            </c:numRef>
          </c:xVal>
          <c:yVal>
            <c:numRef>
              <c:f>'Phase diag FeS IV'!$J:$J</c:f>
              <c:numCache>
                <c:formatCode>General</c:formatCode>
                <c:ptCount val="1048576"/>
                <c:pt idx="1">
                  <c:v>1450</c:v>
                </c:pt>
                <c:pt idx="2">
                  <c:v>1530</c:v>
                </c:pt>
                <c:pt idx="3">
                  <c:v>1610</c:v>
                </c:pt>
                <c:pt idx="4">
                  <c:v>1710</c:v>
                </c:pt>
                <c:pt idx="6">
                  <c:v>1270</c:v>
                </c:pt>
                <c:pt idx="7">
                  <c:v>1350</c:v>
                </c:pt>
                <c:pt idx="8">
                  <c:v>1470</c:v>
                </c:pt>
                <c:pt idx="9">
                  <c:v>1540</c:v>
                </c:pt>
                <c:pt idx="10">
                  <c:v>1620</c:v>
                </c:pt>
                <c:pt idx="11">
                  <c:v>1690</c:v>
                </c:pt>
                <c:pt idx="12">
                  <c:v>1790</c:v>
                </c:pt>
                <c:pt idx="13" formatCode="0.00">
                  <c:v>1910</c:v>
                </c:pt>
                <c:pt idx="15">
                  <c:v>1510</c:v>
                </c:pt>
                <c:pt idx="16">
                  <c:v>1580</c:v>
                </c:pt>
                <c:pt idx="17">
                  <c:v>1640</c:v>
                </c:pt>
                <c:pt idx="18">
                  <c:v>1750</c:v>
                </c:pt>
                <c:pt idx="19">
                  <c:v>1890</c:v>
                </c:pt>
                <c:pt idx="20">
                  <c:v>1970</c:v>
                </c:pt>
                <c:pt idx="21">
                  <c:v>2050</c:v>
                </c:pt>
                <c:pt idx="23">
                  <c:v>1660</c:v>
                </c:pt>
                <c:pt idx="24">
                  <c:v>1760</c:v>
                </c:pt>
                <c:pt idx="25">
                  <c:v>1850</c:v>
                </c:pt>
                <c:pt idx="26">
                  <c:v>1940</c:v>
                </c:pt>
                <c:pt idx="27">
                  <c:v>2000</c:v>
                </c:pt>
                <c:pt idx="29">
                  <c:v>1680</c:v>
                </c:pt>
                <c:pt idx="30">
                  <c:v>1750</c:v>
                </c:pt>
                <c:pt idx="31">
                  <c:v>1810</c:v>
                </c:pt>
                <c:pt idx="32">
                  <c:v>1880</c:v>
                </c:pt>
                <c:pt idx="34">
                  <c:v>1930</c:v>
                </c:pt>
                <c:pt idx="35">
                  <c:v>2010</c:v>
                </c:pt>
                <c:pt idx="37">
                  <c:v>2180</c:v>
                </c:pt>
                <c:pt idx="39">
                  <c:v>1990</c:v>
                </c:pt>
                <c:pt idx="40">
                  <c:v>2120</c:v>
                </c:pt>
                <c:pt idx="43">
                  <c:v>1960</c:v>
                </c:pt>
                <c:pt idx="44">
                  <c:v>2060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'Phase Diag FeS V'!$A$1</c:f>
              <c:strCache>
                <c:ptCount val="1"/>
                <c:pt idx="0">
                  <c:v>FeS 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'Phase Diag FeS V'!$E$2:$E$5</c:f>
              <c:numCache>
                <c:formatCode>General</c:formatCode>
                <c:ptCount val="4"/>
                <c:pt idx="0">
                  <c:v>29.367570085928797</c:v>
                </c:pt>
                <c:pt idx="1">
                  <c:v>29.635179361156258</c:v>
                </c:pt>
                <c:pt idx="3">
                  <c:v>33.792759935760415</c:v>
                </c:pt>
              </c:numCache>
            </c:numRef>
          </c:xVal>
          <c:yVal>
            <c:numRef>
              <c:f>'Phase Diag FeS V'!$J$2:$J$5</c:f>
              <c:numCache>
                <c:formatCode>General</c:formatCode>
                <c:ptCount val="4"/>
                <c:pt idx="0">
                  <c:v>1840</c:v>
                </c:pt>
                <c:pt idx="1">
                  <c:v>2000</c:v>
                </c:pt>
                <c:pt idx="3">
                  <c:v>2030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'Phase Diag FeS VI'!$A$1</c:f>
              <c:strCache>
                <c:ptCount val="1"/>
                <c:pt idx="0">
                  <c:v>FeS VI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'Phase Diag FeS VI'!$E:$E</c:f>
              <c:numCache>
                <c:formatCode>General</c:formatCode>
                <c:ptCount val="1048576"/>
                <c:pt idx="1">
                  <c:v>41.417887420957648</c:v>
                </c:pt>
                <c:pt idx="2">
                  <c:v>41.105316467407079</c:v>
                </c:pt>
                <c:pt idx="4">
                  <c:v>44.405201933109694</c:v>
                </c:pt>
                <c:pt idx="5">
                  <c:v>44.16727486653015</c:v>
                </c:pt>
                <c:pt idx="6">
                  <c:v>44.02144964312636</c:v>
                </c:pt>
                <c:pt idx="8">
                  <c:v>54.418199165986451</c:v>
                </c:pt>
                <c:pt idx="9">
                  <c:v>54.196525503418414</c:v>
                </c:pt>
                <c:pt idx="10">
                  <c:v>54.652859651913012</c:v>
                </c:pt>
                <c:pt idx="11">
                  <c:v>54.54287091877876</c:v>
                </c:pt>
                <c:pt idx="12">
                  <c:v>54.364891038658158</c:v>
                </c:pt>
                <c:pt idx="13">
                  <c:v>54.104044169647736</c:v>
                </c:pt>
                <c:pt idx="15">
                  <c:v>57.952356247262045</c:v>
                </c:pt>
                <c:pt idx="16">
                  <c:v>58.021220650004075</c:v>
                </c:pt>
                <c:pt idx="17">
                  <c:v>57.903123201293731</c:v>
                </c:pt>
                <c:pt idx="18">
                  <c:v>58.302356121467646</c:v>
                </c:pt>
                <c:pt idx="19">
                  <c:v>58.108064959504269</c:v>
                </c:pt>
                <c:pt idx="20">
                  <c:v>58.145557051134688</c:v>
                </c:pt>
                <c:pt idx="21">
                  <c:v>58.413162808248067</c:v>
                </c:pt>
                <c:pt idx="22">
                  <c:v>58.477441052468443</c:v>
                </c:pt>
                <c:pt idx="24">
                  <c:v>63.554559125904262</c:v>
                </c:pt>
                <c:pt idx="25">
                  <c:v>63.473826094241318</c:v>
                </c:pt>
                <c:pt idx="26">
                  <c:v>63.35229680129563</c:v>
                </c:pt>
                <c:pt idx="27">
                  <c:v>63.683341509462913</c:v>
                </c:pt>
                <c:pt idx="28">
                  <c:v>63.310858314855714</c:v>
                </c:pt>
                <c:pt idx="29">
                  <c:v>63.503563436738332</c:v>
                </c:pt>
                <c:pt idx="30">
                  <c:v>63.567151008611006</c:v>
                </c:pt>
                <c:pt idx="31">
                  <c:v>63.219500882986019</c:v>
                </c:pt>
                <c:pt idx="32">
                  <c:v>63.255362101010661</c:v>
                </c:pt>
                <c:pt idx="33">
                  <c:v>63.200884626017235</c:v>
                </c:pt>
                <c:pt idx="34">
                  <c:v>63.091035513054791</c:v>
                </c:pt>
                <c:pt idx="35">
                  <c:v>63.034347149059208</c:v>
                </c:pt>
                <c:pt idx="37">
                  <c:v>68.847733418840519</c:v>
                </c:pt>
                <c:pt idx="38">
                  <c:v>68.943870737669272</c:v>
                </c:pt>
                <c:pt idx="39">
                  <c:v>68.917040877424398</c:v>
                </c:pt>
                <c:pt idx="40">
                  <c:v>68.929590747687399</c:v>
                </c:pt>
                <c:pt idx="41">
                  <c:v>69.200797776529811</c:v>
                </c:pt>
                <c:pt idx="42">
                  <c:v>69.199934397848139</c:v>
                </c:pt>
                <c:pt idx="43">
                  <c:v>69.07821241602214</c:v>
                </c:pt>
                <c:pt idx="46">
                  <c:v>82.470484542744813</c:v>
                </c:pt>
                <c:pt idx="47">
                  <c:v>82.498295213764663</c:v>
                </c:pt>
                <c:pt idx="48">
                  <c:v>82.536452384218052</c:v>
                </c:pt>
                <c:pt idx="49">
                  <c:v>82.604989496241529</c:v>
                </c:pt>
                <c:pt idx="50">
                  <c:v>82.723212644032827</c:v>
                </c:pt>
                <c:pt idx="51">
                  <c:v>83.006413133572323</c:v>
                </c:pt>
                <c:pt idx="52">
                  <c:v>83.57962793427032</c:v>
                </c:pt>
                <c:pt idx="53">
                  <c:v>83.675099287151937</c:v>
                </c:pt>
                <c:pt idx="54">
                  <c:v>83.742562876815683</c:v>
                </c:pt>
                <c:pt idx="55">
                  <c:v>83.573985140226256</c:v>
                </c:pt>
                <c:pt idx="57">
                  <c:v>91.164511613372184</c:v>
                </c:pt>
                <c:pt idx="58">
                  <c:v>90.827803727349689</c:v>
                </c:pt>
                <c:pt idx="59">
                  <c:v>90.951999793869831</c:v>
                </c:pt>
                <c:pt idx="60">
                  <c:v>91.549171349610702</c:v>
                </c:pt>
                <c:pt idx="61">
                  <c:v>90.996307371820947</c:v>
                </c:pt>
                <c:pt idx="62">
                  <c:v>91.320203263104474</c:v>
                </c:pt>
                <c:pt idx="63">
                  <c:v>91.663944343882861</c:v>
                </c:pt>
                <c:pt idx="64">
                  <c:v>92.705429096646057</c:v>
                </c:pt>
                <c:pt idx="66">
                  <c:v>104.75903960198185</c:v>
                </c:pt>
                <c:pt idx="67">
                  <c:v>105.1223868681255</c:v>
                </c:pt>
                <c:pt idx="68">
                  <c:v>106.20632104454715</c:v>
                </c:pt>
                <c:pt idx="69">
                  <c:v>107.93799488665216</c:v>
                </c:pt>
                <c:pt idx="70">
                  <c:v>107.1962788598495</c:v>
                </c:pt>
                <c:pt idx="71">
                  <c:v>107.35219845822768</c:v>
                </c:pt>
                <c:pt idx="72">
                  <c:v>107.37308650438732</c:v>
                </c:pt>
                <c:pt idx="73">
                  <c:v>107.46407163664585</c:v>
                </c:pt>
                <c:pt idx="74">
                  <c:v>107.48441681678139</c:v>
                </c:pt>
                <c:pt idx="75">
                  <c:v>108.10597438372487</c:v>
                </c:pt>
                <c:pt idx="76">
                  <c:v>108.20975034866407</c:v>
                </c:pt>
                <c:pt idx="77">
                  <c:v>108.33363681764186</c:v>
                </c:pt>
                <c:pt idx="78">
                  <c:v>108.23461946740204</c:v>
                </c:pt>
                <c:pt idx="79">
                  <c:v>108.18976576416247</c:v>
                </c:pt>
                <c:pt idx="80">
                  <c:v>110.15107269267875</c:v>
                </c:pt>
                <c:pt idx="81">
                  <c:v>109.47894966341408</c:v>
                </c:pt>
                <c:pt idx="84">
                  <c:v>117.85918080015134</c:v>
                </c:pt>
                <c:pt idx="85">
                  <c:v>119.0399849806174</c:v>
                </c:pt>
                <c:pt idx="86">
                  <c:v>118.89369971388678</c:v>
                </c:pt>
                <c:pt idx="87">
                  <c:v>119.14226441933623</c:v>
                </c:pt>
                <c:pt idx="88">
                  <c:v>120.10993054291919</c:v>
                </c:pt>
                <c:pt idx="89">
                  <c:v>120.48865253774865</c:v>
                </c:pt>
                <c:pt idx="90">
                  <c:v>120.38587522786368</c:v>
                </c:pt>
                <c:pt idx="91">
                  <c:v>120.67890279076209</c:v>
                </c:pt>
                <c:pt idx="92">
                  <c:v>120.27831311033876</c:v>
                </c:pt>
                <c:pt idx="93">
                  <c:v>120.22729830952069</c:v>
                </c:pt>
                <c:pt idx="94">
                  <c:v>120.17286844551229</c:v>
                </c:pt>
                <c:pt idx="95">
                  <c:v>120.33426800323842</c:v>
                </c:pt>
                <c:pt idx="96">
                  <c:v>120.32134143333759</c:v>
                </c:pt>
                <c:pt idx="97">
                  <c:v>120.25839345429847</c:v>
                </c:pt>
                <c:pt idx="99">
                  <c:v>129.55549791833664</c:v>
                </c:pt>
                <c:pt idx="100">
                  <c:v>129.94920839284993</c:v>
                </c:pt>
                <c:pt idx="101">
                  <c:v>130.21125616613978</c:v>
                </c:pt>
                <c:pt idx="102">
                  <c:v>130.87117374299564</c:v>
                </c:pt>
                <c:pt idx="103">
                  <c:v>131.66336740236883</c:v>
                </c:pt>
                <c:pt idx="104">
                  <c:v>132.72795397932666</c:v>
                </c:pt>
                <c:pt idx="105">
                  <c:v>133.62678759926465</c:v>
                </c:pt>
                <c:pt idx="106">
                  <c:v>134.66610128027534</c:v>
                </c:pt>
                <c:pt idx="107">
                  <c:v>134.08688965895976</c:v>
                </c:pt>
                <c:pt idx="109">
                  <c:v>150.82949007591395</c:v>
                </c:pt>
                <c:pt idx="110">
                  <c:v>151.19843848475946</c:v>
                </c:pt>
                <c:pt idx="111">
                  <c:v>151.63538169102281</c:v>
                </c:pt>
                <c:pt idx="112">
                  <c:v>152.02052267934596</c:v>
                </c:pt>
              </c:numCache>
            </c:numRef>
          </c:xVal>
          <c:yVal>
            <c:numRef>
              <c:f>'Phase Diag FeS VI'!$J:$J</c:f>
              <c:numCache>
                <c:formatCode>General</c:formatCode>
                <c:ptCount val="1048576"/>
                <c:pt idx="1">
                  <c:v>1220</c:v>
                </c:pt>
                <c:pt idx="2">
                  <c:v>1330</c:v>
                </c:pt>
                <c:pt idx="4">
                  <c:v>1250</c:v>
                </c:pt>
                <c:pt idx="5">
                  <c:v>1340</c:v>
                </c:pt>
                <c:pt idx="6">
                  <c:v>1410</c:v>
                </c:pt>
                <c:pt idx="8">
                  <c:v>1220</c:v>
                </c:pt>
                <c:pt idx="9">
                  <c:v>1260</c:v>
                </c:pt>
                <c:pt idx="10">
                  <c:v>1340</c:v>
                </c:pt>
                <c:pt idx="11">
                  <c:v>1340</c:v>
                </c:pt>
                <c:pt idx="12">
                  <c:v>1430</c:v>
                </c:pt>
                <c:pt idx="13">
                  <c:v>1480</c:v>
                </c:pt>
                <c:pt idx="15">
                  <c:v>1300</c:v>
                </c:pt>
                <c:pt idx="16">
                  <c:v>1410</c:v>
                </c:pt>
                <c:pt idx="17">
                  <c:v>1460</c:v>
                </c:pt>
                <c:pt idx="18">
                  <c:v>1520</c:v>
                </c:pt>
                <c:pt idx="19">
                  <c:v>1630</c:v>
                </c:pt>
                <c:pt idx="20">
                  <c:v>1700</c:v>
                </c:pt>
                <c:pt idx="21">
                  <c:v>1770</c:v>
                </c:pt>
                <c:pt idx="22">
                  <c:v>1850</c:v>
                </c:pt>
                <c:pt idx="24">
                  <c:v>1300</c:v>
                </c:pt>
                <c:pt idx="25">
                  <c:v>1340</c:v>
                </c:pt>
                <c:pt idx="26">
                  <c:v>1420</c:v>
                </c:pt>
                <c:pt idx="27">
                  <c:v>1480</c:v>
                </c:pt>
                <c:pt idx="28">
                  <c:v>1550</c:v>
                </c:pt>
                <c:pt idx="29">
                  <c:v>1630</c:v>
                </c:pt>
                <c:pt idx="30">
                  <c:v>1680</c:v>
                </c:pt>
                <c:pt idx="31">
                  <c:v>1760</c:v>
                </c:pt>
                <c:pt idx="32">
                  <c:v>1830</c:v>
                </c:pt>
                <c:pt idx="33">
                  <c:v>1900</c:v>
                </c:pt>
                <c:pt idx="34">
                  <c:v>1980</c:v>
                </c:pt>
                <c:pt idx="35">
                  <c:v>2060</c:v>
                </c:pt>
                <c:pt idx="37">
                  <c:v>1290</c:v>
                </c:pt>
                <c:pt idx="38">
                  <c:v>1370</c:v>
                </c:pt>
                <c:pt idx="39">
                  <c:v>1440</c:v>
                </c:pt>
                <c:pt idx="40">
                  <c:v>1540</c:v>
                </c:pt>
                <c:pt idx="41">
                  <c:v>1610</c:v>
                </c:pt>
                <c:pt idx="42">
                  <c:v>1730</c:v>
                </c:pt>
                <c:pt idx="43">
                  <c:v>1850</c:v>
                </c:pt>
                <c:pt idx="46">
                  <c:v>1280</c:v>
                </c:pt>
                <c:pt idx="47">
                  <c:v>1350</c:v>
                </c:pt>
                <c:pt idx="48">
                  <c:v>1440</c:v>
                </c:pt>
                <c:pt idx="49">
                  <c:v>1420</c:v>
                </c:pt>
                <c:pt idx="50">
                  <c:v>1490</c:v>
                </c:pt>
                <c:pt idx="51">
                  <c:v>1560</c:v>
                </c:pt>
                <c:pt idx="52">
                  <c:v>1680</c:v>
                </c:pt>
                <c:pt idx="53">
                  <c:v>1740</c:v>
                </c:pt>
                <c:pt idx="54">
                  <c:v>1810</c:v>
                </c:pt>
                <c:pt idx="55">
                  <c:v>1880</c:v>
                </c:pt>
                <c:pt idx="57">
                  <c:v>1540</c:v>
                </c:pt>
                <c:pt idx="58">
                  <c:v>1610</c:v>
                </c:pt>
                <c:pt idx="59">
                  <c:v>1810</c:v>
                </c:pt>
                <c:pt idx="60">
                  <c:v>1910</c:v>
                </c:pt>
                <c:pt idx="61">
                  <c:v>1700</c:v>
                </c:pt>
                <c:pt idx="62">
                  <c:v>1600</c:v>
                </c:pt>
                <c:pt idx="63">
                  <c:v>1860</c:v>
                </c:pt>
                <c:pt idx="64">
                  <c:v>1940</c:v>
                </c:pt>
                <c:pt idx="66">
                  <c:v>1730</c:v>
                </c:pt>
                <c:pt idx="67">
                  <c:v>1800</c:v>
                </c:pt>
                <c:pt idx="68">
                  <c:v>1970</c:v>
                </c:pt>
                <c:pt idx="69">
                  <c:v>1740</c:v>
                </c:pt>
                <c:pt idx="70">
                  <c:v>1630</c:v>
                </c:pt>
                <c:pt idx="71">
                  <c:v>1540</c:v>
                </c:pt>
                <c:pt idx="72">
                  <c:v>1440</c:v>
                </c:pt>
                <c:pt idx="73">
                  <c:v>1340</c:v>
                </c:pt>
                <c:pt idx="74">
                  <c:v>1340</c:v>
                </c:pt>
                <c:pt idx="75">
                  <c:v>1700</c:v>
                </c:pt>
                <c:pt idx="76">
                  <c:v>1800</c:v>
                </c:pt>
                <c:pt idx="77">
                  <c:v>1850</c:v>
                </c:pt>
                <c:pt idx="78">
                  <c:v>1990</c:v>
                </c:pt>
                <c:pt idx="79">
                  <c:v>2070</c:v>
                </c:pt>
                <c:pt idx="80">
                  <c:v>2160</c:v>
                </c:pt>
                <c:pt idx="81">
                  <c:v>2250</c:v>
                </c:pt>
                <c:pt idx="84">
                  <c:v>1530</c:v>
                </c:pt>
                <c:pt idx="85">
                  <c:v>1820</c:v>
                </c:pt>
                <c:pt idx="86">
                  <c:v>1830</c:v>
                </c:pt>
                <c:pt idx="87">
                  <c:v>2000</c:v>
                </c:pt>
                <c:pt idx="88">
                  <c:v>2060</c:v>
                </c:pt>
                <c:pt idx="89">
                  <c:v>2200</c:v>
                </c:pt>
                <c:pt idx="90">
                  <c:v>2350</c:v>
                </c:pt>
                <c:pt idx="91">
                  <c:v>2430</c:v>
                </c:pt>
                <c:pt idx="92">
                  <c:v>2000</c:v>
                </c:pt>
                <c:pt idx="93">
                  <c:v>1900</c:v>
                </c:pt>
                <c:pt idx="94">
                  <c:v>1800</c:v>
                </c:pt>
                <c:pt idx="95">
                  <c:v>1700</c:v>
                </c:pt>
                <c:pt idx="96">
                  <c:v>1600</c:v>
                </c:pt>
                <c:pt idx="97">
                  <c:v>1400</c:v>
                </c:pt>
                <c:pt idx="99">
                  <c:v>1330</c:v>
                </c:pt>
                <c:pt idx="100">
                  <c:v>1489</c:v>
                </c:pt>
                <c:pt idx="101">
                  <c:v>1660</c:v>
                </c:pt>
                <c:pt idx="102">
                  <c:v>1790</c:v>
                </c:pt>
                <c:pt idx="103">
                  <c:v>1920</c:v>
                </c:pt>
                <c:pt idx="104">
                  <c:v>2100</c:v>
                </c:pt>
                <c:pt idx="105">
                  <c:v>2240</c:v>
                </c:pt>
                <c:pt idx="106">
                  <c:v>2440</c:v>
                </c:pt>
                <c:pt idx="107">
                  <c:v>2560</c:v>
                </c:pt>
                <c:pt idx="109">
                  <c:v>1370</c:v>
                </c:pt>
                <c:pt idx="110">
                  <c:v>1570</c:v>
                </c:pt>
                <c:pt idx="111">
                  <c:v>1730</c:v>
                </c:pt>
                <c:pt idx="112">
                  <c:v>1900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'Phase Diag FeS X'!$A$1</c:f>
              <c:strCache>
                <c:ptCount val="1"/>
                <c:pt idx="0">
                  <c:v>FeS 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'Phase Diag FeS X'!$E:$E</c:f>
              <c:numCache>
                <c:formatCode>General</c:formatCode>
                <c:ptCount val="1048576"/>
                <c:pt idx="1">
                  <c:v>44.305956423731345</c:v>
                </c:pt>
                <c:pt idx="2">
                  <c:v>44.441264590736814</c:v>
                </c:pt>
                <c:pt idx="4">
                  <c:v>54.353144907792796</c:v>
                </c:pt>
                <c:pt idx="5">
                  <c:v>54.035534439655102</c:v>
                </c:pt>
                <c:pt idx="6">
                  <c:v>53.971842692843872</c:v>
                </c:pt>
                <c:pt idx="8">
                  <c:v>58.671742492053042</c:v>
                </c:pt>
                <c:pt idx="9">
                  <c:v>58.843593363414435</c:v>
                </c:pt>
                <c:pt idx="10">
                  <c:v>58.75525984307437</c:v>
                </c:pt>
                <c:pt idx="11">
                  <c:v>58.956892753682858</c:v>
                </c:pt>
                <c:pt idx="13">
                  <c:v>63.606991249604157</c:v>
                </c:pt>
                <c:pt idx="14">
                  <c:v>63.430978445453057</c:v>
                </c:pt>
                <c:pt idx="15">
                  <c:v>63.863466026383918</c:v>
                </c:pt>
                <c:pt idx="16">
                  <c:v>63.241833612979384</c:v>
                </c:pt>
                <c:pt idx="18">
                  <c:v>69.147844478814619</c:v>
                </c:pt>
                <c:pt idx="19">
                  <c:v>69.145784634248272</c:v>
                </c:pt>
                <c:pt idx="20">
                  <c:v>69.268479434521154</c:v>
                </c:pt>
                <c:pt idx="21">
                  <c:v>69.035380019935374</c:v>
                </c:pt>
                <c:pt idx="22">
                  <c:v>69.187498262976902</c:v>
                </c:pt>
                <c:pt idx="23">
                  <c:v>69.453346168222197</c:v>
                </c:pt>
                <c:pt idx="24">
                  <c:v>69.442663997393566</c:v>
                </c:pt>
                <c:pt idx="27">
                  <c:v>83.727069930842475</c:v>
                </c:pt>
                <c:pt idx="28">
                  <c:v>83.228067611629882</c:v>
                </c:pt>
                <c:pt idx="29">
                  <c:v>83.432109774872842</c:v>
                </c:pt>
                <c:pt idx="30">
                  <c:v>83.347776731882902</c:v>
                </c:pt>
                <c:pt idx="31">
                  <c:v>84.151867983977425</c:v>
                </c:pt>
                <c:pt idx="33">
                  <c:v>93.36196591228429</c:v>
                </c:pt>
                <c:pt idx="34">
                  <c:v>93.587371414847823</c:v>
                </c:pt>
                <c:pt idx="35">
                  <c:v>93.618819213577453</c:v>
                </c:pt>
                <c:pt idx="36">
                  <c:v>93.391057354655644</c:v>
                </c:pt>
                <c:pt idx="38">
                  <c:v>110.60617796554436</c:v>
                </c:pt>
                <c:pt idx="39">
                  <c:v>110.83982021697925</c:v>
                </c:pt>
                <c:pt idx="40">
                  <c:v>110.81982655376923</c:v>
                </c:pt>
              </c:numCache>
            </c:numRef>
          </c:xVal>
          <c:yVal>
            <c:numRef>
              <c:f>'Phase Diag FeS X'!$J:$J</c:f>
              <c:numCache>
                <c:formatCode>General</c:formatCode>
                <c:ptCount val="1048576"/>
                <c:pt idx="1">
                  <c:v>2190</c:v>
                </c:pt>
                <c:pt idx="2">
                  <c:v>2290</c:v>
                </c:pt>
                <c:pt idx="4">
                  <c:v>2020</c:v>
                </c:pt>
                <c:pt idx="5">
                  <c:v>2120</c:v>
                </c:pt>
                <c:pt idx="6">
                  <c:v>2200</c:v>
                </c:pt>
                <c:pt idx="8">
                  <c:v>2070</c:v>
                </c:pt>
                <c:pt idx="9">
                  <c:v>2180</c:v>
                </c:pt>
                <c:pt idx="10">
                  <c:v>2250</c:v>
                </c:pt>
                <c:pt idx="11">
                  <c:v>2330</c:v>
                </c:pt>
                <c:pt idx="13">
                  <c:v>2370</c:v>
                </c:pt>
                <c:pt idx="14">
                  <c:v>2420</c:v>
                </c:pt>
                <c:pt idx="15">
                  <c:v>2510</c:v>
                </c:pt>
                <c:pt idx="16">
                  <c:v>2540</c:v>
                </c:pt>
                <c:pt idx="18">
                  <c:v>2190</c:v>
                </c:pt>
                <c:pt idx="19">
                  <c:v>2270</c:v>
                </c:pt>
                <c:pt idx="20">
                  <c:v>2360</c:v>
                </c:pt>
                <c:pt idx="21">
                  <c:v>2440</c:v>
                </c:pt>
                <c:pt idx="22">
                  <c:v>2500</c:v>
                </c:pt>
                <c:pt idx="23">
                  <c:v>2610</c:v>
                </c:pt>
                <c:pt idx="24">
                  <c:v>2670</c:v>
                </c:pt>
                <c:pt idx="27">
                  <c:v>2170</c:v>
                </c:pt>
                <c:pt idx="28">
                  <c:v>2240</c:v>
                </c:pt>
                <c:pt idx="29">
                  <c:v>2330</c:v>
                </c:pt>
                <c:pt idx="30">
                  <c:v>2440</c:v>
                </c:pt>
                <c:pt idx="31">
                  <c:v>2510</c:v>
                </c:pt>
                <c:pt idx="33">
                  <c:v>2230</c:v>
                </c:pt>
                <c:pt idx="34">
                  <c:v>2390</c:v>
                </c:pt>
                <c:pt idx="35">
                  <c:v>2480</c:v>
                </c:pt>
                <c:pt idx="36">
                  <c:v>2550</c:v>
                </c:pt>
                <c:pt idx="38">
                  <c:v>2410</c:v>
                </c:pt>
                <c:pt idx="39">
                  <c:v>2520</c:v>
                </c:pt>
                <c:pt idx="40">
                  <c:v>2590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836336"/>
        <c:axId val="1824831984"/>
      </c:scatterChart>
      <c:valAx>
        <c:axId val="182483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831984"/>
        <c:crosses val="autoZero"/>
        <c:crossBetween val="midCat"/>
      </c:valAx>
      <c:valAx>
        <c:axId val="1824831984"/>
        <c:scaling>
          <c:orientation val="minMax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8363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Feuil1!$B$1:$B$19</c:f>
              <c:numCache>
                <c:formatCode>General</c:formatCode>
                <c:ptCount val="19"/>
                <c:pt idx="0">
                  <c:v>1730</c:v>
                </c:pt>
                <c:pt idx="1">
                  <c:v>1800</c:v>
                </c:pt>
                <c:pt idx="2">
                  <c:v>1970</c:v>
                </c:pt>
                <c:pt idx="3">
                  <c:v>1740</c:v>
                </c:pt>
                <c:pt idx="4">
                  <c:v>1630</c:v>
                </c:pt>
                <c:pt idx="5">
                  <c:v>1540</c:v>
                </c:pt>
                <c:pt idx="6">
                  <c:v>1440</c:v>
                </c:pt>
                <c:pt idx="7">
                  <c:v>1340</c:v>
                </c:pt>
                <c:pt idx="8">
                  <c:v>1340</c:v>
                </c:pt>
                <c:pt idx="9">
                  <c:v>1700</c:v>
                </c:pt>
                <c:pt idx="10">
                  <c:v>1800</c:v>
                </c:pt>
                <c:pt idx="11">
                  <c:v>1850</c:v>
                </c:pt>
                <c:pt idx="12">
                  <c:v>1990</c:v>
                </c:pt>
                <c:pt idx="13">
                  <c:v>2070</c:v>
                </c:pt>
                <c:pt idx="14">
                  <c:v>2160</c:v>
                </c:pt>
                <c:pt idx="15">
                  <c:v>2250</c:v>
                </c:pt>
                <c:pt idx="16">
                  <c:v>2410</c:v>
                </c:pt>
                <c:pt idx="17">
                  <c:v>2520</c:v>
                </c:pt>
                <c:pt idx="18">
                  <c:v>2590</c:v>
                </c:pt>
              </c:numCache>
            </c:numRef>
          </c:xVal>
          <c:yVal>
            <c:numRef>
              <c:f>Feuil1!$C$1:$C$19</c:f>
              <c:numCache>
                <c:formatCode>General</c:formatCode>
                <c:ptCount val="19"/>
                <c:pt idx="0">
                  <c:v>4.8123180000000003</c:v>
                </c:pt>
                <c:pt idx="1">
                  <c:v>4.8204989999999999</c:v>
                </c:pt>
                <c:pt idx="2">
                  <c:v>4.8334840000000003</c:v>
                </c:pt>
                <c:pt idx="3">
                  <c:v>4.8265760000000002</c:v>
                </c:pt>
                <c:pt idx="4">
                  <c:v>4.8227270000000004</c:v>
                </c:pt>
                <c:pt idx="5">
                  <c:v>4.8180249999999996</c:v>
                </c:pt>
                <c:pt idx="6">
                  <c:v>4.8149660000000001</c:v>
                </c:pt>
                <c:pt idx="7">
                  <c:v>4.8124399999999996</c:v>
                </c:pt>
                <c:pt idx="8">
                  <c:v>4.812589</c:v>
                </c:pt>
                <c:pt idx="9">
                  <c:v>4.8222690000000004</c:v>
                </c:pt>
                <c:pt idx="10">
                  <c:v>4.8291690000000003</c:v>
                </c:pt>
                <c:pt idx="11">
                  <c:v>4.8316359999999996</c:v>
                </c:pt>
                <c:pt idx="12">
                  <c:v>4.8380179999999999</c:v>
                </c:pt>
                <c:pt idx="13">
                  <c:v>4.8453869999999997</c:v>
                </c:pt>
                <c:pt idx="14">
                  <c:v>4.8576579999999998</c:v>
                </c:pt>
                <c:pt idx="15">
                  <c:v>4.8661070000000004</c:v>
                </c:pt>
                <c:pt idx="16">
                  <c:v>4.8856260000000002</c:v>
                </c:pt>
                <c:pt idx="17">
                  <c:v>4.8987319999999999</c:v>
                </c:pt>
                <c:pt idx="18">
                  <c:v>4.9059540000000004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835248"/>
        <c:axId val="1824836880"/>
      </c:scatterChart>
      <c:valAx>
        <c:axId val="1824835248"/>
        <c:scaling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836880"/>
        <c:crosses val="autoZero"/>
        <c:crossBetween val="midCat"/>
      </c:valAx>
      <c:valAx>
        <c:axId val="182483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835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Feuil1!$B$1:$B$19</c:f>
              <c:numCache>
                <c:formatCode>General</c:formatCode>
                <c:ptCount val="19"/>
                <c:pt idx="0">
                  <c:v>1730</c:v>
                </c:pt>
                <c:pt idx="1">
                  <c:v>1800</c:v>
                </c:pt>
                <c:pt idx="2">
                  <c:v>1970</c:v>
                </c:pt>
                <c:pt idx="3">
                  <c:v>1740</c:v>
                </c:pt>
                <c:pt idx="4">
                  <c:v>1630</c:v>
                </c:pt>
                <c:pt idx="5">
                  <c:v>1540</c:v>
                </c:pt>
                <c:pt idx="6">
                  <c:v>1440</c:v>
                </c:pt>
                <c:pt idx="7">
                  <c:v>1340</c:v>
                </c:pt>
                <c:pt idx="8">
                  <c:v>1340</c:v>
                </c:pt>
                <c:pt idx="9">
                  <c:v>1700</c:v>
                </c:pt>
                <c:pt idx="10">
                  <c:v>1800</c:v>
                </c:pt>
                <c:pt idx="11">
                  <c:v>1850</c:v>
                </c:pt>
                <c:pt idx="12">
                  <c:v>1990</c:v>
                </c:pt>
                <c:pt idx="13">
                  <c:v>2070</c:v>
                </c:pt>
                <c:pt idx="14">
                  <c:v>2160</c:v>
                </c:pt>
                <c:pt idx="15">
                  <c:v>2250</c:v>
                </c:pt>
                <c:pt idx="16">
                  <c:v>2410</c:v>
                </c:pt>
                <c:pt idx="17">
                  <c:v>2520</c:v>
                </c:pt>
                <c:pt idx="18">
                  <c:v>2590</c:v>
                </c:pt>
              </c:numCache>
            </c:numRef>
          </c:xVal>
          <c:yVal>
            <c:numRef>
              <c:f>Feuil1!$E$1:$E$19</c:f>
              <c:numCache>
                <c:formatCode>General</c:formatCode>
                <c:ptCount val="19"/>
                <c:pt idx="0">
                  <c:v>2.959308</c:v>
                </c:pt>
                <c:pt idx="1">
                  <c:v>2.955066</c:v>
                </c:pt>
                <c:pt idx="2">
                  <c:v>2.9459050000000002</c:v>
                </c:pt>
                <c:pt idx="3">
                  <c:v>2.950863</c:v>
                </c:pt>
                <c:pt idx="4">
                  <c:v>2.9531890000000001</c:v>
                </c:pt>
                <c:pt idx="5">
                  <c:v>2.9557540000000002</c:v>
                </c:pt>
                <c:pt idx="6">
                  <c:v>2.957322</c:v>
                </c:pt>
                <c:pt idx="7">
                  <c:v>2.958253</c:v>
                </c:pt>
                <c:pt idx="8">
                  <c:v>2.9583159999999999</c:v>
                </c:pt>
                <c:pt idx="9">
                  <c:v>2.953049</c:v>
                </c:pt>
                <c:pt idx="10">
                  <c:v>2.9492769999999999</c:v>
                </c:pt>
                <c:pt idx="11">
                  <c:v>2.9475069999999999</c:v>
                </c:pt>
                <c:pt idx="12">
                  <c:v>2.940731</c:v>
                </c:pt>
                <c:pt idx="13">
                  <c:v>2.9391340000000001</c:v>
                </c:pt>
                <c:pt idx="14">
                  <c:v>2.9310990000000001</c:v>
                </c:pt>
                <c:pt idx="15">
                  <c:v>2.9250400000000001</c:v>
                </c:pt>
                <c:pt idx="16">
                  <c:v>2.9204159999999999</c:v>
                </c:pt>
                <c:pt idx="17">
                  <c:v>2.914666</c:v>
                </c:pt>
                <c:pt idx="18">
                  <c:v>2.9097569999999999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838512"/>
        <c:axId val="1824833072"/>
      </c:scatterChart>
      <c:valAx>
        <c:axId val="182483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833072"/>
        <c:crosses val="autoZero"/>
        <c:crossBetween val="midCat"/>
      </c:valAx>
      <c:valAx>
        <c:axId val="1824833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83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Feuil1!$B$1:$B$19</c:f>
              <c:numCache>
                <c:formatCode>General</c:formatCode>
                <c:ptCount val="19"/>
                <c:pt idx="0">
                  <c:v>1730</c:v>
                </c:pt>
                <c:pt idx="1">
                  <c:v>1800</c:v>
                </c:pt>
                <c:pt idx="2">
                  <c:v>1970</c:v>
                </c:pt>
                <c:pt idx="3">
                  <c:v>1740</c:v>
                </c:pt>
                <c:pt idx="4">
                  <c:v>1630</c:v>
                </c:pt>
                <c:pt idx="5">
                  <c:v>1540</c:v>
                </c:pt>
                <c:pt idx="6">
                  <c:v>1440</c:v>
                </c:pt>
                <c:pt idx="7">
                  <c:v>1340</c:v>
                </c:pt>
                <c:pt idx="8">
                  <c:v>1340</c:v>
                </c:pt>
                <c:pt idx="9">
                  <c:v>1700</c:v>
                </c:pt>
                <c:pt idx="10">
                  <c:v>1800</c:v>
                </c:pt>
                <c:pt idx="11">
                  <c:v>1850</c:v>
                </c:pt>
                <c:pt idx="12">
                  <c:v>1990</c:v>
                </c:pt>
                <c:pt idx="13">
                  <c:v>2070</c:v>
                </c:pt>
                <c:pt idx="14">
                  <c:v>2160</c:v>
                </c:pt>
                <c:pt idx="15">
                  <c:v>2250</c:v>
                </c:pt>
                <c:pt idx="16">
                  <c:v>2410</c:v>
                </c:pt>
                <c:pt idx="17">
                  <c:v>2520</c:v>
                </c:pt>
                <c:pt idx="18">
                  <c:v>2590</c:v>
                </c:pt>
              </c:numCache>
            </c:numRef>
          </c:xVal>
          <c:yVal>
            <c:numRef>
              <c:f>Feuil1!$G$1:$G$19</c:f>
              <c:numCache>
                <c:formatCode>General</c:formatCode>
                <c:ptCount val="19"/>
                <c:pt idx="0">
                  <c:v>5.0312359999999998</c:v>
                </c:pt>
                <c:pt idx="1">
                  <c:v>5.033487</c:v>
                </c:pt>
                <c:pt idx="2">
                  <c:v>5.0473720000000002</c:v>
                </c:pt>
                <c:pt idx="3">
                  <c:v>5.0349880000000002</c:v>
                </c:pt>
                <c:pt idx="4">
                  <c:v>5.0307769999999996</c:v>
                </c:pt>
                <c:pt idx="5">
                  <c:v>5.0255660000000004</c:v>
                </c:pt>
                <c:pt idx="6">
                  <c:v>5.0223579999999997</c:v>
                </c:pt>
                <c:pt idx="7">
                  <c:v>5.0191699999999999</c:v>
                </c:pt>
                <c:pt idx="8">
                  <c:v>5.0181589999999998</c:v>
                </c:pt>
                <c:pt idx="9">
                  <c:v>5.0300739999999999</c:v>
                </c:pt>
                <c:pt idx="10">
                  <c:v>5.0337420000000002</c:v>
                </c:pt>
                <c:pt idx="11">
                  <c:v>5.0354640000000002</c:v>
                </c:pt>
                <c:pt idx="12">
                  <c:v>5.0534239999999997</c:v>
                </c:pt>
                <c:pt idx="13">
                  <c:v>5.0491809999999999</c:v>
                </c:pt>
                <c:pt idx="14">
                  <c:v>5.0657189999999996</c:v>
                </c:pt>
                <c:pt idx="15">
                  <c:v>5.0734839999999997</c:v>
                </c:pt>
                <c:pt idx="16">
                  <c:v>5.0840389999999998</c:v>
                </c:pt>
                <c:pt idx="17">
                  <c:v>5.0893540000000002</c:v>
                </c:pt>
                <c:pt idx="18">
                  <c:v>5.1001260000000004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835792"/>
        <c:axId val="1824837424"/>
      </c:scatterChart>
      <c:valAx>
        <c:axId val="1824835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837424"/>
        <c:crosses val="autoZero"/>
        <c:crossBetween val="midCat"/>
      </c:valAx>
      <c:valAx>
        <c:axId val="182483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83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Feuil2!$B$1:$B$18</c:f>
              <c:numCache>
                <c:formatCode>General</c:formatCode>
                <c:ptCount val="18"/>
                <c:pt idx="0">
                  <c:v>1300</c:v>
                </c:pt>
                <c:pt idx="1">
                  <c:v>1340</c:v>
                </c:pt>
                <c:pt idx="2">
                  <c:v>1420</c:v>
                </c:pt>
                <c:pt idx="3">
                  <c:v>1480</c:v>
                </c:pt>
                <c:pt idx="4">
                  <c:v>1550</c:v>
                </c:pt>
                <c:pt idx="5">
                  <c:v>1630</c:v>
                </c:pt>
                <c:pt idx="6">
                  <c:v>1680</c:v>
                </c:pt>
                <c:pt idx="7">
                  <c:v>1760</c:v>
                </c:pt>
                <c:pt idx="8">
                  <c:v>1830</c:v>
                </c:pt>
                <c:pt idx="9">
                  <c:v>1900</c:v>
                </c:pt>
                <c:pt idx="10">
                  <c:v>1980</c:v>
                </c:pt>
                <c:pt idx="11">
                  <c:v>2060</c:v>
                </c:pt>
                <c:pt idx="12">
                  <c:v>2180</c:v>
                </c:pt>
                <c:pt idx="13">
                  <c:v>2280</c:v>
                </c:pt>
                <c:pt idx="14">
                  <c:v>2370</c:v>
                </c:pt>
                <c:pt idx="15">
                  <c:v>2420</c:v>
                </c:pt>
                <c:pt idx="16">
                  <c:v>2510</c:v>
                </c:pt>
                <c:pt idx="17">
                  <c:v>2540</c:v>
                </c:pt>
              </c:numCache>
            </c:numRef>
          </c:xVal>
          <c:yVal>
            <c:numRef>
              <c:f>Feuil2!$S$1:$S$18</c:f>
              <c:numCache>
                <c:formatCode>General</c:formatCode>
                <c:ptCount val="18"/>
                <c:pt idx="0">
                  <c:v>79.297871170328264</c:v>
                </c:pt>
                <c:pt idx="1">
                  <c:v>79.343761386019622</c:v>
                </c:pt>
                <c:pt idx="2">
                  <c:v>79.394214360770974</c:v>
                </c:pt>
                <c:pt idx="3">
                  <c:v>79.432075775121419</c:v>
                </c:pt>
                <c:pt idx="4">
                  <c:v>79.492738448026699</c:v>
                </c:pt>
                <c:pt idx="5">
                  <c:v>79.511464077559069</c:v>
                </c:pt>
                <c:pt idx="6">
                  <c:v>79.649471074992533</c:v>
                </c:pt>
                <c:pt idx="7">
                  <c:v>79.755906304774015</c:v>
                </c:pt>
                <c:pt idx="8">
                  <c:v>79.834645736811552</c:v>
                </c:pt>
                <c:pt idx="9">
                  <c:v>79.950342219794038</c:v>
                </c:pt>
                <c:pt idx="10">
                  <c:v>80.087231888684059</c:v>
                </c:pt>
                <c:pt idx="11">
                  <c:v>80.280285285180625</c:v>
                </c:pt>
                <c:pt idx="12">
                  <c:v>80.456071706460136</c:v>
                </c:pt>
                <c:pt idx="13">
                  <c:v>80.661524140976482</c:v>
                </c:pt>
                <c:pt idx="14">
                  <c:v>80.800852512090671</c:v>
                </c:pt>
                <c:pt idx="15">
                  <c:v>81.182129793934337</c:v>
                </c:pt>
                <c:pt idx="16">
                  <c:v>81.45703018065619</c:v>
                </c:pt>
                <c:pt idx="17">
                  <c:v>81.52709496739871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832528"/>
        <c:axId val="1824837968"/>
      </c:scatterChart>
      <c:valAx>
        <c:axId val="182483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837968"/>
        <c:crosses val="autoZero"/>
        <c:crossBetween val="midCat"/>
      </c:valAx>
      <c:valAx>
        <c:axId val="182483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83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Feuil3!$AC$2:$AC$135</c:f>
              <c:numCache>
                <c:formatCode>General</c:formatCode>
                <c:ptCount val="134"/>
                <c:pt idx="0">
                  <c:v>90.856889844940895</c:v>
                </c:pt>
                <c:pt idx="1">
                  <c:v>0</c:v>
                </c:pt>
                <c:pt idx="2">
                  <c:v>91.019932060520816</c:v>
                </c:pt>
                <c:pt idx="3">
                  <c:v>91.412157644083564</c:v>
                </c:pt>
                <c:pt idx="4">
                  <c:v>91.730751609134231</c:v>
                </c:pt>
                <c:pt idx="5">
                  <c:v>92.366688514811571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88.7739340529873</c:v>
                </c:pt>
                <c:pt idx="11">
                  <c:v>88.959051886115532</c:v>
                </c:pt>
                <c:pt idx="12">
                  <c:v>89.380798184859898</c:v>
                </c:pt>
                <c:pt idx="13">
                  <c:v>89.678713705940567</c:v>
                </c:pt>
                <c:pt idx="14">
                  <c:v>89.999702000410025</c:v>
                </c:pt>
                <c:pt idx="15">
                  <c:v>90.231015420563651</c:v>
                </c:pt>
                <c:pt idx="16">
                  <c:v>90.644134658883175</c:v>
                </c:pt>
                <c:pt idx="17">
                  <c:v>91.04214377183969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85.520525288811129</c:v>
                </c:pt>
                <c:pt idx="25">
                  <c:v>85.858051191440509</c:v>
                </c:pt>
                <c:pt idx="26">
                  <c:v>86.107578954342287</c:v>
                </c:pt>
                <c:pt idx="27">
                  <c:v>86.371965926067546</c:v>
                </c:pt>
                <c:pt idx="28">
                  <c:v>86.555994693299567</c:v>
                </c:pt>
                <c:pt idx="29">
                  <c:v>86.868199172093924</c:v>
                </c:pt>
                <c:pt idx="30">
                  <c:v>87.201067362897291</c:v>
                </c:pt>
                <c:pt idx="31">
                  <c:v>87.486326068829371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84.753322013062956</c:v>
                </c:pt>
                <c:pt idx="39">
                  <c:v>85.154160624607087</c:v>
                </c:pt>
                <c:pt idx="40">
                  <c:v>85.3976289994811</c:v>
                </c:pt>
                <c:pt idx="41">
                  <c:v>85.744703406367137</c:v>
                </c:pt>
                <c:pt idx="42">
                  <c:v>86.098234766826593</c:v>
                </c:pt>
                <c:pt idx="43">
                  <c:v>86.303019623817747</c:v>
                </c:pt>
                <c:pt idx="44">
                  <c:v>86.826918501504437</c:v>
                </c:pt>
                <c:pt idx="45">
                  <c:v>87.023607701945537</c:v>
                </c:pt>
                <c:pt idx="46">
                  <c:v>87.429306198913523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81.976034999365027</c:v>
                </c:pt>
                <c:pt idx="62">
                  <c:v>82.219789363419267</c:v>
                </c:pt>
                <c:pt idx="63">
                  <c:v>82.434449640647983</c:v>
                </c:pt>
                <c:pt idx="64">
                  <c:v>82.592828227214085</c:v>
                </c:pt>
                <c:pt idx="65">
                  <c:v>82.847015281691384</c:v>
                </c:pt>
                <c:pt idx="66">
                  <c:v>82.989509133937474</c:v>
                </c:pt>
                <c:pt idx="67">
                  <c:v>83.240965227992604</c:v>
                </c:pt>
                <c:pt idx="68">
                  <c:v>83.390792413651567</c:v>
                </c:pt>
                <c:pt idx="69">
                  <c:v>83.684548147615203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81.078335490053732</c:v>
                </c:pt>
                <c:pt idx="81">
                  <c:v>81.199363919837509</c:v>
                </c:pt>
                <c:pt idx="82">
                  <c:v>81.443061584903489</c:v>
                </c:pt>
                <c:pt idx="83">
                  <c:v>81.649247764933747</c:v>
                </c:pt>
                <c:pt idx="84">
                  <c:v>81.78070732920051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80.087231888684059</c:v>
                </c:pt>
                <c:pt idx="100">
                  <c:v>80.280285285180625</c:v>
                </c:pt>
                <c:pt idx="101">
                  <c:v>80.456071706460136</c:v>
                </c:pt>
                <c:pt idx="102">
                  <c:v>80.661524140976482</c:v>
                </c:pt>
                <c:pt idx="103">
                  <c:v>80.800852512090671</c:v>
                </c:pt>
                <c:pt idx="104">
                  <c:v>81.182129793934337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78.868649806709882</c:v>
                </c:pt>
                <c:pt idx="121">
                  <c:v>79.09553821507761</c:v>
                </c:pt>
                <c:pt idx="122">
                  <c:v>79.219834743795104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xVal>
          <c:yVal>
            <c:numRef>
              <c:f>Feuil3!$B$2:$B$135</c:f>
              <c:numCache>
                <c:formatCode>General</c:formatCode>
                <c:ptCount val="134"/>
                <c:pt idx="0">
                  <c:v>1420</c:v>
                </c:pt>
                <c:pt idx="1">
                  <c:v>300</c:v>
                </c:pt>
                <c:pt idx="2">
                  <c:v>1450</c:v>
                </c:pt>
                <c:pt idx="3">
                  <c:v>1530</c:v>
                </c:pt>
                <c:pt idx="4">
                  <c:v>1610</c:v>
                </c:pt>
                <c:pt idx="5">
                  <c:v>1710</c:v>
                </c:pt>
                <c:pt idx="6">
                  <c:v>1840</c:v>
                </c:pt>
                <c:pt idx="7">
                  <c:v>2000</c:v>
                </c:pt>
                <c:pt idx="8">
                  <c:v>300</c:v>
                </c:pt>
                <c:pt idx="9">
                  <c:v>300</c:v>
                </c:pt>
                <c:pt idx="10">
                  <c:v>1270</c:v>
                </c:pt>
                <c:pt idx="11">
                  <c:v>1350</c:v>
                </c:pt>
                <c:pt idx="12">
                  <c:v>1470</c:v>
                </c:pt>
                <c:pt idx="13">
                  <c:v>1540</c:v>
                </c:pt>
                <c:pt idx="14">
                  <c:v>1620</c:v>
                </c:pt>
                <c:pt idx="15">
                  <c:v>1690</c:v>
                </c:pt>
                <c:pt idx="16">
                  <c:v>1790</c:v>
                </c:pt>
                <c:pt idx="17">
                  <c:v>1910</c:v>
                </c:pt>
                <c:pt idx="18">
                  <c:v>2030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1220</c:v>
                </c:pt>
                <c:pt idx="23">
                  <c:v>1330</c:v>
                </c:pt>
                <c:pt idx="24">
                  <c:v>1420</c:v>
                </c:pt>
                <c:pt idx="25">
                  <c:v>1510</c:v>
                </c:pt>
                <c:pt idx="26">
                  <c:v>1580</c:v>
                </c:pt>
                <c:pt idx="27">
                  <c:v>1640</c:v>
                </c:pt>
                <c:pt idx="28">
                  <c:v>1750</c:v>
                </c:pt>
                <c:pt idx="29">
                  <c:v>1890</c:v>
                </c:pt>
                <c:pt idx="30">
                  <c:v>1970</c:v>
                </c:pt>
                <c:pt idx="31">
                  <c:v>2050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1250</c:v>
                </c:pt>
                <c:pt idx="36">
                  <c:v>1340</c:v>
                </c:pt>
                <c:pt idx="37">
                  <c:v>1410</c:v>
                </c:pt>
                <c:pt idx="38">
                  <c:v>1530</c:v>
                </c:pt>
                <c:pt idx="39">
                  <c:v>1660</c:v>
                </c:pt>
                <c:pt idx="40">
                  <c:v>1760</c:v>
                </c:pt>
                <c:pt idx="41">
                  <c:v>1850</c:v>
                </c:pt>
                <c:pt idx="42">
                  <c:v>1940</c:v>
                </c:pt>
                <c:pt idx="43">
                  <c:v>2000</c:v>
                </c:pt>
                <c:pt idx="44">
                  <c:v>2100</c:v>
                </c:pt>
                <c:pt idx="45">
                  <c:v>2190</c:v>
                </c:pt>
                <c:pt idx="46">
                  <c:v>2290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1220</c:v>
                </c:pt>
                <c:pt idx="56">
                  <c:v>1260</c:v>
                </c:pt>
                <c:pt idx="57">
                  <c:v>1340</c:v>
                </c:pt>
                <c:pt idx="58">
                  <c:v>1340</c:v>
                </c:pt>
                <c:pt idx="59">
                  <c:v>1430</c:v>
                </c:pt>
                <c:pt idx="60">
                  <c:v>1480</c:v>
                </c:pt>
                <c:pt idx="61">
                  <c:v>1580</c:v>
                </c:pt>
                <c:pt idx="62">
                  <c:v>1680</c:v>
                </c:pt>
                <c:pt idx="63">
                  <c:v>1750</c:v>
                </c:pt>
                <c:pt idx="64">
                  <c:v>1810</c:v>
                </c:pt>
                <c:pt idx="65">
                  <c:v>1880</c:v>
                </c:pt>
                <c:pt idx="66">
                  <c:v>1940</c:v>
                </c:pt>
                <c:pt idx="67">
                  <c:v>2020</c:v>
                </c:pt>
                <c:pt idx="68">
                  <c:v>2120</c:v>
                </c:pt>
                <c:pt idx="69">
                  <c:v>2200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1300</c:v>
                </c:pt>
                <c:pt idx="74">
                  <c:v>1410</c:v>
                </c:pt>
                <c:pt idx="75">
                  <c:v>1460</c:v>
                </c:pt>
                <c:pt idx="76">
                  <c:v>1520</c:v>
                </c:pt>
                <c:pt idx="77">
                  <c:v>1630</c:v>
                </c:pt>
                <c:pt idx="78">
                  <c:v>1700</c:v>
                </c:pt>
                <c:pt idx="79">
                  <c:v>1770</c:v>
                </c:pt>
                <c:pt idx="80">
                  <c:v>1850</c:v>
                </c:pt>
                <c:pt idx="81">
                  <c:v>1930</c:v>
                </c:pt>
                <c:pt idx="82">
                  <c:v>2010</c:v>
                </c:pt>
                <c:pt idx="83">
                  <c:v>2070</c:v>
                </c:pt>
                <c:pt idx="84">
                  <c:v>2180</c:v>
                </c:pt>
                <c:pt idx="85">
                  <c:v>2250</c:v>
                </c:pt>
                <c:pt idx="86">
                  <c:v>2330</c:v>
                </c:pt>
                <c:pt idx="87">
                  <c:v>300</c:v>
                </c:pt>
                <c:pt idx="88">
                  <c:v>300</c:v>
                </c:pt>
                <c:pt idx="89">
                  <c:v>1300</c:v>
                </c:pt>
                <c:pt idx="90">
                  <c:v>1340</c:v>
                </c:pt>
                <c:pt idx="91">
                  <c:v>1420</c:v>
                </c:pt>
                <c:pt idx="92">
                  <c:v>1480</c:v>
                </c:pt>
                <c:pt idx="93">
                  <c:v>1550</c:v>
                </c:pt>
                <c:pt idx="94">
                  <c:v>1630</c:v>
                </c:pt>
                <c:pt idx="95">
                  <c:v>1680</c:v>
                </c:pt>
                <c:pt idx="96">
                  <c:v>1760</c:v>
                </c:pt>
                <c:pt idx="97">
                  <c:v>1830</c:v>
                </c:pt>
                <c:pt idx="98">
                  <c:v>1900</c:v>
                </c:pt>
                <c:pt idx="99">
                  <c:v>1980</c:v>
                </c:pt>
                <c:pt idx="100">
                  <c:v>2060</c:v>
                </c:pt>
                <c:pt idx="101">
                  <c:v>2180</c:v>
                </c:pt>
                <c:pt idx="102">
                  <c:v>2280</c:v>
                </c:pt>
                <c:pt idx="103">
                  <c:v>2370</c:v>
                </c:pt>
                <c:pt idx="104">
                  <c:v>2420</c:v>
                </c:pt>
                <c:pt idx="105">
                  <c:v>2510</c:v>
                </c:pt>
                <c:pt idx="106">
                  <c:v>2540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1290</c:v>
                </c:pt>
                <c:pt idx="113">
                  <c:v>1370</c:v>
                </c:pt>
                <c:pt idx="114">
                  <c:v>1440</c:v>
                </c:pt>
                <c:pt idx="115">
                  <c:v>1540</c:v>
                </c:pt>
                <c:pt idx="116">
                  <c:v>1610</c:v>
                </c:pt>
                <c:pt idx="117">
                  <c:v>1730</c:v>
                </c:pt>
                <c:pt idx="118">
                  <c:v>1850</c:v>
                </c:pt>
                <c:pt idx="119">
                  <c:v>1920</c:v>
                </c:pt>
                <c:pt idx="120">
                  <c:v>1990</c:v>
                </c:pt>
                <c:pt idx="121">
                  <c:v>2120</c:v>
                </c:pt>
                <c:pt idx="122">
                  <c:v>2190</c:v>
                </c:pt>
                <c:pt idx="123">
                  <c:v>2270</c:v>
                </c:pt>
                <c:pt idx="124">
                  <c:v>2360</c:v>
                </c:pt>
                <c:pt idx="125">
                  <c:v>2440</c:v>
                </c:pt>
                <c:pt idx="126">
                  <c:v>2500</c:v>
                </c:pt>
                <c:pt idx="127">
                  <c:v>2610</c:v>
                </c:pt>
                <c:pt idx="128">
                  <c:v>2670</c:v>
                </c:pt>
                <c:pt idx="129">
                  <c:v>2750</c:v>
                </c:pt>
                <c:pt idx="130">
                  <c:v>2840</c:v>
                </c:pt>
                <c:pt idx="131">
                  <c:v>2950</c:v>
                </c:pt>
                <c:pt idx="132">
                  <c:v>2960</c:v>
                </c:pt>
                <c:pt idx="133">
                  <c:v>300</c:v>
                </c:pt>
              </c:numCache>
            </c:numRef>
          </c:yVal>
          <c:smooth val="0"/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Feuil3!$AD$2:$AD$135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92.804404179558347</c:v>
                </c:pt>
                <c:pt idx="7">
                  <c:v>93.393788522376227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91.824902713379572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xVal>
          <c:yVal>
            <c:numRef>
              <c:f>Feuil3!$B$2:$B$135</c:f>
              <c:numCache>
                <c:formatCode>General</c:formatCode>
                <c:ptCount val="134"/>
                <c:pt idx="0">
                  <c:v>1420</c:v>
                </c:pt>
                <c:pt idx="1">
                  <c:v>300</c:v>
                </c:pt>
                <c:pt idx="2">
                  <c:v>1450</c:v>
                </c:pt>
                <c:pt idx="3">
                  <c:v>1530</c:v>
                </c:pt>
                <c:pt idx="4">
                  <c:v>1610</c:v>
                </c:pt>
                <c:pt idx="5">
                  <c:v>1710</c:v>
                </c:pt>
                <c:pt idx="6">
                  <c:v>1840</c:v>
                </c:pt>
                <c:pt idx="7">
                  <c:v>2000</c:v>
                </c:pt>
                <c:pt idx="8">
                  <c:v>300</c:v>
                </c:pt>
                <c:pt idx="9">
                  <c:v>300</c:v>
                </c:pt>
                <c:pt idx="10">
                  <c:v>1270</c:v>
                </c:pt>
                <c:pt idx="11">
                  <c:v>1350</c:v>
                </c:pt>
                <c:pt idx="12">
                  <c:v>1470</c:v>
                </c:pt>
                <c:pt idx="13">
                  <c:v>1540</c:v>
                </c:pt>
                <c:pt idx="14">
                  <c:v>1620</c:v>
                </c:pt>
                <c:pt idx="15">
                  <c:v>1690</c:v>
                </c:pt>
                <c:pt idx="16">
                  <c:v>1790</c:v>
                </c:pt>
                <c:pt idx="17">
                  <c:v>1910</c:v>
                </c:pt>
                <c:pt idx="18">
                  <c:v>2030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1220</c:v>
                </c:pt>
                <c:pt idx="23">
                  <c:v>1330</c:v>
                </c:pt>
                <c:pt idx="24">
                  <c:v>1420</c:v>
                </c:pt>
                <c:pt idx="25">
                  <c:v>1510</c:v>
                </c:pt>
                <c:pt idx="26">
                  <c:v>1580</c:v>
                </c:pt>
                <c:pt idx="27">
                  <c:v>1640</c:v>
                </c:pt>
                <c:pt idx="28">
                  <c:v>1750</c:v>
                </c:pt>
                <c:pt idx="29">
                  <c:v>1890</c:v>
                </c:pt>
                <c:pt idx="30">
                  <c:v>1970</c:v>
                </c:pt>
                <c:pt idx="31">
                  <c:v>2050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1250</c:v>
                </c:pt>
                <c:pt idx="36">
                  <c:v>1340</c:v>
                </c:pt>
                <c:pt idx="37">
                  <c:v>1410</c:v>
                </c:pt>
                <c:pt idx="38">
                  <c:v>1530</c:v>
                </c:pt>
                <c:pt idx="39">
                  <c:v>1660</c:v>
                </c:pt>
                <c:pt idx="40">
                  <c:v>1760</c:v>
                </c:pt>
                <c:pt idx="41">
                  <c:v>1850</c:v>
                </c:pt>
                <c:pt idx="42">
                  <c:v>1940</c:v>
                </c:pt>
                <c:pt idx="43">
                  <c:v>2000</c:v>
                </c:pt>
                <c:pt idx="44">
                  <c:v>2100</c:v>
                </c:pt>
                <c:pt idx="45">
                  <c:v>2190</c:v>
                </c:pt>
                <c:pt idx="46">
                  <c:v>2290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1220</c:v>
                </c:pt>
                <c:pt idx="56">
                  <c:v>1260</c:v>
                </c:pt>
                <c:pt idx="57">
                  <c:v>1340</c:v>
                </c:pt>
                <c:pt idx="58">
                  <c:v>1340</c:v>
                </c:pt>
                <c:pt idx="59">
                  <c:v>1430</c:v>
                </c:pt>
                <c:pt idx="60">
                  <c:v>1480</c:v>
                </c:pt>
                <c:pt idx="61">
                  <c:v>1580</c:v>
                </c:pt>
                <c:pt idx="62">
                  <c:v>1680</c:v>
                </c:pt>
                <c:pt idx="63">
                  <c:v>1750</c:v>
                </c:pt>
                <c:pt idx="64">
                  <c:v>1810</c:v>
                </c:pt>
                <c:pt idx="65">
                  <c:v>1880</c:v>
                </c:pt>
                <c:pt idx="66">
                  <c:v>1940</c:v>
                </c:pt>
                <c:pt idx="67">
                  <c:v>2020</c:v>
                </c:pt>
                <c:pt idx="68">
                  <c:v>2120</c:v>
                </c:pt>
                <c:pt idx="69">
                  <c:v>2200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1300</c:v>
                </c:pt>
                <c:pt idx="74">
                  <c:v>1410</c:v>
                </c:pt>
                <c:pt idx="75">
                  <c:v>1460</c:v>
                </c:pt>
                <c:pt idx="76">
                  <c:v>1520</c:v>
                </c:pt>
                <c:pt idx="77">
                  <c:v>1630</c:v>
                </c:pt>
                <c:pt idx="78">
                  <c:v>1700</c:v>
                </c:pt>
                <c:pt idx="79">
                  <c:v>1770</c:v>
                </c:pt>
                <c:pt idx="80">
                  <c:v>1850</c:v>
                </c:pt>
                <c:pt idx="81">
                  <c:v>1930</c:v>
                </c:pt>
                <c:pt idx="82">
                  <c:v>2010</c:v>
                </c:pt>
                <c:pt idx="83">
                  <c:v>2070</c:v>
                </c:pt>
                <c:pt idx="84">
                  <c:v>2180</c:v>
                </c:pt>
                <c:pt idx="85">
                  <c:v>2250</c:v>
                </c:pt>
                <c:pt idx="86">
                  <c:v>2330</c:v>
                </c:pt>
                <c:pt idx="87">
                  <c:v>300</c:v>
                </c:pt>
                <c:pt idx="88">
                  <c:v>300</c:v>
                </c:pt>
                <c:pt idx="89">
                  <c:v>1300</c:v>
                </c:pt>
                <c:pt idx="90">
                  <c:v>1340</c:v>
                </c:pt>
                <c:pt idx="91">
                  <c:v>1420</c:v>
                </c:pt>
                <c:pt idx="92">
                  <c:v>1480</c:v>
                </c:pt>
                <c:pt idx="93">
                  <c:v>1550</c:v>
                </c:pt>
                <c:pt idx="94">
                  <c:v>1630</c:v>
                </c:pt>
                <c:pt idx="95">
                  <c:v>1680</c:v>
                </c:pt>
                <c:pt idx="96">
                  <c:v>1760</c:v>
                </c:pt>
                <c:pt idx="97">
                  <c:v>1830</c:v>
                </c:pt>
                <c:pt idx="98">
                  <c:v>1900</c:v>
                </c:pt>
                <c:pt idx="99">
                  <c:v>1980</c:v>
                </c:pt>
                <c:pt idx="100">
                  <c:v>2060</c:v>
                </c:pt>
                <c:pt idx="101">
                  <c:v>2180</c:v>
                </c:pt>
                <c:pt idx="102">
                  <c:v>2280</c:v>
                </c:pt>
                <c:pt idx="103">
                  <c:v>2370</c:v>
                </c:pt>
                <c:pt idx="104">
                  <c:v>2420</c:v>
                </c:pt>
                <c:pt idx="105">
                  <c:v>2510</c:v>
                </c:pt>
                <c:pt idx="106">
                  <c:v>2540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1290</c:v>
                </c:pt>
                <c:pt idx="113">
                  <c:v>1370</c:v>
                </c:pt>
                <c:pt idx="114">
                  <c:v>1440</c:v>
                </c:pt>
                <c:pt idx="115">
                  <c:v>1540</c:v>
                </c:pt>
                <c:pt idx="116">
                  <c:v>1610</c:v>
                </c:pt>
                <c:pt idx="117">
                  <c:v>1730</c:v>
                </c:pt>
                <c:pt idx="118">
                  <c:v>1850</c:v>
                </c:pt>
                <c:pt idx="119">
                  <c:v>1920</c:v>
                </c:pt>
                <c:pt idx="120">
                  <c:v>1990</c:v>
                </c:pt>
                <c:pt idx="121">
                  <c:v>2120</c:v>
                </c:pt>
                <c:pt idx="122">
                  <c:v>2190</c:v>
                </c:pt>
                <c:pt idx="123">
                  <c:v>2270</c:v>
                </c:pt>
                <c:pt idx="124">
                  <c:v>2360</c:v>
                </c:pt>
                <c:pt idx="125">
                  <c:v>2440</c:v>
                </c:pt>
                <c:pt idx="126">
                  <c:v>2500</c:v>
                </c:pt>
                <c:pt idx="127">
                  <c:v>2610</c:v>
                </c:pt>
                <c:pt idx="128">
                  <c:v>2670</c:v>
                </c:pt>
                <c:pt idx="129">
                  <c:v>2750</c:v>
                </c:pt>
                <c:pt idx="130">
                  <c:v>2840</c:v>
                </c:pt>
                <c:pt idx="131">
                  <c:v>2950</c:v>
                </c:pt>
                <c:pt idx="132">
                  <c:v>2960</c:v>
                </c:pt>
                <c:pt idx="133">
                  <c:v>300</c:v>
                </c:pt>
              </c:numCache>
            </c:numRef>
          </c:yVal>
          <c:smooth val="0"/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Feuil3!$AE$2:$AE$135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85.264659027205738</c:v>
                </c:pt>
                <c:pt idx="23">
                  <c:v>85.265783019446275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84.219886046969179</c:v>
                </c:pt>
                <c:pt idx="36">
                  <c:v>84.42759945800762</c:v>
                </c:pt>
                <c:pt idx="37">
                  <c:v>84.51113746448317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81.137578353913383</c:v>
                </c:pt>
                <c:pt idx="56">
                  <c:v>81.227819565947044</c:v>
                </c:pt>
                <c:pt idx="57">
                  <c:v>81.45139710688585</c:v>
                </c:pt>
                <c:pt idx="58">
                  <c:v>81.366052607707104</c:v>
                </c:pt>
                <c:pt idx="59">
                  <c:v>81.614819749773318</c:v>
                </c:pt>
                <c:pt idx="60">
                  <c:v>81.869795700789396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80.385688098000912</c:v>
                </c:pt>
                <c:pt idx="71">
                  <c:v>79.94797235023519</c:v>
                </c:pt>
                <c:pt idx="72">
                  <c:v>79.77570930121351</c:v>
                </c:pt>
                <c:pt idx="73">
                  <c:v>80.392927378445648</c:v>
                </c:pt>
                <c:pt idx="74">
                  <c:v>80.357991508303613</c:v>
                </c:pt>
                <c:pt idx="75">
                  <c:v>80.615346858358279</c:v>
                </c:pt>
                <c:pt idx="76">
                  <c:v>80.886086525736445</c:v>
                </c:pt>
                <c:pt idx="77">
                  <c:v>80.581447660685143</c:v>
                </c:pt>
                <c:pt idx="78">
                  <c:v>80.74351616876443</c:v>
                </c:pt>
                <c:pt idx="79">
                  <c:v>81.170718939822947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79.457705591588294</c:v>
                </c:pt>
                <c:pt idx="88">
                  <c:v>0</c:v>
                </c:pt>
                <c:pt idx="89">
                  <c:v>79.297871170328264</c:v>
                </c:pt>
                <c:pt idx="90">
                  <c:v>79.343761386019622</c:v>
                </c:pt>
                <c:pt idx="91">
                  <c:v>79.394214360770974</c:v>
                </c:pt>
                <c:pt idx="92">
                  <c:v>79.432075775121419</c:v>
                </c:pt>
                <c:pt idx="93">
                  <c:v>79.492738448026699</c:v>
                </c:pt>
                <c:pt idx="94">
                  <c:v>79.511464077559069</c:v>
                </c:pt>
                <c:pt idx="95">
                  <c:v>79.649471074992533</c:v>
                </c:pt>
                <c:pt idx="96">
                  <c:v>79.755906304774015</c:v>
                </c:pt>
                <c:pt idx="97">
                  <c:v>79.834645736811552</c:v>
                </c:pt>
                <c:pt idx="98">
                  <c:v>79.950342219794038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77.443415925294417</c:v>
                </c:pt>
                <c:pt idx="113">
                  <c:v>78.410504220345558</c:v>
                </c:pt>
                <c:pt idx="114">
                  <c:v>78.402369549804916</c:v>
                </c:pt>
                <c:pt idx="115">
                  <c:v>78.44218304942865</c:v>
                </c:pt>
                <c:pt idx="116">
                  <c:v>78.511172204840975</c:v>
                </c:pt>
                <c:pt idx="117">
                  <c:v>78.599140125616586</c:v>
                </c:pt>
                <c:pt idx="118">
                  <c:v>78.709287711574959</c:v>
                </c:pt>
                <c:pt idx="119">
                  <c:v>78.840749802430992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xVal>
          <c:yVal>
            <c:numRef>
              <c:f>Feuil3!$B$2:$B$135</c:f>
              <c:numCache>
                <c:formatCode>General</c:formatCode>
                <c:ptCount val="134"/>
                <c:pt idx="0">
                  <c:v>1420</c:v>
                </c:pt>
                <c:pt idx="1">
                  <c:v>300</c:v>
                </c:pt>
                <c:pt idx="2">
                  <c:v>1450</c:v>
                </c:pt>
                <c:pt idx="3">
                  <c:v>1530</c:v>
                </c:pt>
                <c:pt idx="4">
                  <c:v>1610</c:v>
                </c:pt>
                <c:pt idx="5">
                  <c:v>1710</c:v>
                </c:pt>
                <c:pt idx="6">
                  <c:v>1840</c:v>
                </c:pt>
                <c:pt idx="7">
                  <c:v>2000</c:v>
                </c:pt>
                <c:pt idx="8">
                  <c:v>300</c:v>
                </c:pt>
                <c:pt idx="9">
                  <c:v>300</c:v>
                </c:pt>
                <c:pt idx="10">
                  <c:v>1270</c:v>
                </c:pt>
                <c:pt idx="11">
                  <c:v>1350</c:v>
                </c:pt>
                <c:pt idx="12">
                  <c:v>1470</c:v>
                </c:pt>
                <c:pt idx="13">
                  <c:v>1540</c:v>
                </c:pt>
                <c:pt idx="14">
                  <c:v>1620</c:v>
                </c:pt>
                <c:pt idx="15">
                  <c:v>1690</c:v>
                </c:pt>
                <c:pt idx="16">
                  <c:v>1790</c:v>
                </c:pt>
                <c:pt idx="17">
                  <c:v>1910</c:v>
                </c:pt>
                <c:pt idx="18">
                  <c:v>2030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1220</c:v>
                </c:pt>
                <c:pt idx="23">
                  <c:v>1330</c:v>
                </c:pt>
                <c:pt idx="24">
                  <c:v>1420</c:v>
                </c:pt>
                <c:pt idx="25">
                  <c:v>1510</c:v>
                </c:pt>
                <c:pt idx="26">
                  <c:v>1580</c:v>
                </c:pt>
                <c:pt idx="27">
                  <c:v>1640</c:v>
                </c:pt>
                <c:pt idx="28">
                  <c:v>1750</c:v>
                </c:pt>
                <c:pt idx="29">
                  <c:v>1890</c:v>
                </c:pt>
                <c:pt idx="30">
                  <c:v>1970</c:v>
                </c:pt>
                <c:pt idx="31">
                  <c:v>2050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1250</c:v>
                </c:pt>
                <c:pt idx="36">
                  <c:v>1340</c:v>
                </c:pt>
                <c:pt idx="37">
                  <c:v>1410</c:v>
                </c:pt>
                <c:pt idx="38">
                  <c:v>1530</c:v>
                </c:pt>
                <c:pt idx="39">
                  <c:v>1660</c:v>
                </c:pt>
                <c:pt idx="40">
                  <c:v>1760</c:v>
                </c:pt>
                <c:pt idx="41">
                  <c:v>1850</c:v>
                </c:pt>
                <c:pt idx="42">
                  <c:v>1940</c:v>
                </c:pt>
                <c:pt idx="43">
                  <c:v>2000</c:v>
                </c:pt>
                <c:pt idx="44">
                  <c:v>2100</c:v>
                </c:pt>
                <c:pt idx="45">
                  <c:v>2190</c:v>
                </c:pt>
                <c:pt idx="46">
                  <c:v>2290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1220</c:v>
                </c:pt>
                <c:pt idx="56">
                  <c:v>1260</c:v>
                </c:pt>
                <c:pt idx="57">
                  <c:v>1340</c:v>
                </c:pt>
                <c:pt idx="58">
                  <c:v>1340</c:v>
                </c:pt>
                <c:pt idx="59">
                  <c:v>1430</c:v>
                </c:pt>
                <c:pt idx="60">
                  <c:v>1480</c:v>
                </c:pt>
                <c:pt idx="61">
                  <c:v>1580</c:v>
                </c:pt>
                <c:pt idx="62">
                  <c:v>1680</c:v>
                </c:pt>
                <c:pt idx="63">
                  <c:v>1750</c:v>
                </c:pt>
                <c:pt idx="64">
                  <c:v>1810</c:v>
                </c:pt>
                <c:pt idx="65">
                  <c:v>1880</c:v>
                </c:pt>
                <c:pt idx="66">
                  <c:v>1940</c:v>
                </c:pt>
                <c:pt idx="67">
                  <c:v>2020</c:v>
                </c:pt>
                <c:pt idx="68">
                  <c:v>2120</c:v>
                </c:pt>
                <c:pt idx="69">
                  <c:v>2200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1300</c:v>
                </c:pt>
                <c:pt idx="74">
                  <c:v>1410</c:v>
                </c:pt>
                <c:pt idx="75">
                  <c:v>1460</c:v>
                </c:pt>
                <c:pt idx="76">
                  <c:v>1520</c:v>
                </c:pt>
                <c:pt idx="77">
                  <c:v>1630</c:v>
                </c:pt>
                <c:pt idx="78">
                  <c:v>1700</c:v>
                </c:pt>
                <c:pt idx="79">
                  <c:v>1770</c:v>
                </c:pt>
                <c:pt idx="80">
                  <c:v>1850</c:v>
                </c:pt>
                <c:pt idx="81">
                  <c:v>1930</c:v>
                </c:pt>
                <c:pt idx="82">
                  <c:v>2010</c:v>
                </c:pt>
                <c:pt idx="83">
                  <c:v>2070</c:v>
                </c:pt>
                <c:pt idx="84">
                  <c:v>2180</c:v>
                </c:pt>
                <c:pt idx="85">
                  <c:v>2250</c:v>
                </c:pt>
                <c:pt idx="86">
                  <c:v>2330</c:v>
                </c:pt>
                <c:pt idx="87">
                  <c:v>300</c:v>
                </c:pt>
                <c:pt idx="88">
                  <c:v>300</c:v>
                </c:pt>
                <c:pt idx="89">
                  <c:v>1300</c:v>
                </c:pt>
                <c:pt idx="90">
                  <c:v>1340</c:v>
                </c:pt>
                <c:pt idx="91">
                  <c:v>1420</c:v>
                </c:pt>
                <c:pt idx="92">
                  <c:v>1480</c:v>
                </c:pt>
                <c:pt idx="93">
                  <c:v>1550</c:v>
                </c:pt>
                <c:pt idx="94">
                  <c:v>1630</c:v>
                </c:pt>
                <c:pt idx="95">
                  <c:v>1680</c:v>
                </c:pt>
                <c:pt idx="96">
                  <c:v>1760</c:v>
                </c:pt>
                <c:pt idx="97">
                  <c:v>1830</c:v>
                </c:pt>
                <c:pt idx="98">
                  <c:v>1900</c:v>
                </c:pt>
                <c:pt idx="99">
                  <c:v>1980</c:v>
                </c:pt>
                <c:pt idx="100">
                  <c:v>2060</c:v>
                </c:pt>
                <c:pt idx="101">
                  <c:v>2180</c:v>
                </c:pt>
                <c:pt idx="102">
                  <c:v>2280</c:v>
                </c:pt>
                <c:pt idx="103">
                  <c:v>2370</c:v>
                </c:pt>
                <c:pt idx="104">
                  <c:v>2420</c:v>
                </c:pt>
                <c:pt idx="105">
                  <c:v>2510</c:v>
                </c:pt>
                <c:pt idx="106">
                  <c:v>2540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1290</c:v>
                </c:pt>
                <c:pt idx="113">
                  <c:v>1370</c:v>
                </c:pt>
                <c:pt idx="114">
                  <c:v>1440</c:v>
                </c:pt>
                <c:pt idx="115">
                  <c:v>1540</c:v>
                </c:pt>
                <c:pt idx="116">
                  <c:v>1610</c:v>
                </c:pt>
                <c:pt idx="117">
                  <c:v>1730</c:v>
                </c:pt>
                <c:pt idx="118">
                  <c:v>1850</c:v>
                </c:pt>
                <c:pt idx="119">
                  <c:v>1920</c:v>
                </c:pt>
                <c:pt idx="120">
                  <c:v>1990</c:v>
                </c:pt>
                <c:pt idx="121">
                  <c:v>2120</c:v>
                </c:pt>
                <c:pt idx="122">
                  <c:v>2190</c:v>
                </c:pt>
                <c:pt idx="123">
                  <c:v>2270</c:v>
                </c:pt>
                <c:pt idx="124">
                  <c:v>2360</c:v>
                </c:pt>
                <c:pt idx="125">
                  <c:v>2440</c:v>
                </c:pt>
                <c:pt idx="126">
                  <c:v>2500</c:v>
                </c:pt>
                <c:pt idx="127">
                  <c:v>2610</c:v>
                </c:pt>
                <c:pt idx="128">
                  <c:v>2670</c:v>
                </c:pt>
                <c:pt idx="129">
                  <c:v>2750</c:v>
                </c:pt>
                <c:pt idx="130">
                  <c:v>2840</c:v>
                </c:pt>
                <c:pt idx="131">
                  <c:v>2950</c:v>
                </c:pt>
                <c:pt idx="132">
                  <c:v>2960</c:v>
                </c:pt>
                <c:pt idx="133">
                  <c:v>300</c:v>
                </c:pt>
              </c:numCache>
            </c:numRef>
          </c:yVal>
          <c:smooth val="0"/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Feuil3!$AF$2:$AF$135</c:f>
              <c:numCache>
                <c:formatCode>General</c:formatCode>
                <c:ptCount val="13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82.173984137564105</c:v>
                </c:pt>
                <c:pt idx="86">
                  <c:v>82.277366790245864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81.457030180656204</c:v>
                </c:pt>
                <c:pt idx="106">
                  <c:v>81.52709496739871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79.424305006629595</c:v>
                </c:pt>
                <c:pt idx="124">
                  <c:v>79.659382998042034</c:v>
                </c:pt>
                <c:pt idx="125">
                  <c:v>79.748743683228994</c:v>
                </c:pt>
                <c:pt idx="126">
                  <c:v>79.85182406336385</c:v>
                </c:pt>
                <c:pt idx="127">
                  <c:v>80.021432063467913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</c:numCache>
            </c:numRef>
          </c:xVal>
          <c:yVal>
            <c:numRef>
              <c:f>Feuil3!$B$2:$B$135</c:f>
              <c:numCache>
                <c:formatCode>General</c:formatCode>
                <c:ptCount val="134"/>
                <c:pt idx="0">
                  <c:v>1420</c:v>
                </c:pt>
                <c:pt idx="1">
                  <c:v>300</c:v>
                </c:pt>
                <c:pt idx="2">
                  <c:v>1450</c:v>
                </c:pt>
                <c:pt idx="3">
                  <c:v>1530</c:v>
                </c:pt>
                <c:pt idx="4">
                  <c:v>1610</c:v>
                </c:pt>
                <c:pt idx="5">
                  <c:v>1710</c:v>
                </c:pt>
                <c:pt idx="6">
                  <c:v>1840</c:v>
                </c:pt>
                <c:pt idx="7">
                  <c:v>2000</c:v>
                </c:pt>
                <c:pt idx="8">
                  <c:v>300</c:v>
                </c:pt>
                <c:pt idx="9">
                  <c:v>300</c:v>
                </c:pt>
                <c:pt idx="10">
                  <c:v>1270</c:v>
                </c:pt>
                <c:pt idx="11">
                  <c:v>1350</c:v>
                </c:pt>
                <c:pt idx="12">
                  <c:v>1470</c:v>
                </c:pt>
                <c:pt idx="13">
                  <c:v>1540</c:v>
                </c:pt>
                <c:pt idx="14">
                  <c:v>1620</c:v>
                </c:pt>
                <c:pt idx="15">
                  <c:v>1690</c:v>
                </c:pt>
                <c:pt idx="16">
                  <c:v>1790</c:v>
                </c:pt>
                <c:pt idx="17">
                  <c:v>1910</c:v>
                </c:pt>
                <c:pt idx="18">
                  <c:v>2030</c:v>
                </c:pt>
                <c:pt idx="19">
                  <c:v>300</c:v>
                </c:pt>
                <c:pt idx="20">
                  <c:v>300</c:v>
                </c:pt>
                <c:pt idx="21">
                  <c:v>300</c:v>
                </c:pt>
                <c:pt idx="22">
                  <c:v>1220</c:v>
                </c:pt>
                <c:pt idx="23">
                  <c:v>1330</c:v>
                </c:pt>
                <c:pt idx="24">
                  <c:v>1420</c:v>
                </c:pt>
                <c:pt idx="25">
                  <c:v>1510</c:v>
                </c:pt>
                <c:pt idx="26">
                  <c:v>1580</c:v>
                </c:pt>
                <c:pt idx="27">
                  <c:v>1640</c:v>
                </c:pt>
                <c:pt idx="28">
                  <c:v>1750</c:v>
                </c:pt>
                <c:pt idx="29">
                  <c:v>1890</c:v>
                </c:pt>
                <c:pt idx="30">
                  <c:v>1970</c:v>
                </c:pt>
                <c:pt idx="31">
                  <c:v>2050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1250</c:v>
                </c:pt>
                <c:pt idx="36">
                  <c:v>1340</c:v>
                </c:pt>
                <c:pt idx="37">
                  <c:v>1410</c:v>
                </c:pt>
                <c:pt idx="38">
                  <c:v>1530</c:v>
                </c:pt>
                <c:pt idx="39">
                  <c:v>1660</c:v>
                </c:pt>
                <c:pt idx="40">
                  <c:v>1760</c:v>
                </c:pt>
                <c:pt idx="41">
                  <c:v>1850</c:v>
                </c:pt>
                <c:pt idx="42">
                  <c:v>1940</c:v>
                </c:pt>
                <c:pt idx="43">
                  <c:v>2000</c:v>
                </c:pt>
                <c:pt idx="44">
                  <c:v>2100</c:v>
                </c:pt>
                <c:pt idx="45">
                  <c:v>2190</c:v>
                </c:pt>
                <c:pt idx="46">
                  <c:v>2290</c:v>
                </c:pt>
                <c:pt idx="47">
                  <c:v>300</c:v>
                </c:pt>
                <c:pt idx="48">
                  <c:v>300</c:v>
                </c:pt>
                <c:pt idx="49">
                  <c:v>300</c:v>
                </c:pt>
                <c:pt idx="50">
                  <c:v>300</c:v>
                </c:pt>
                <c:pt idx="51">
                  <c:v>300</c:v>
                </c:pt>
                <c:pt idx="52">
                  <c:v>300</c:v>
                </c:pt>
                <c:pt idx="53">
                  <c:v>300</c:v>
                </c:pt>
                <c:pt idx="54">
                  <c:v>300</c:v>
                </c:pt>
                <c:pt idx="55">
                  <c:v>1220</c:v>
                </c:pt>
                <c:pt idx="56">
                  <c:v>1260</c:v>
                </c:pt>
                <c:pt idx="57">
                  <c:v>1340</c:v>
                </c:pt>
                <c:pt idx="58">
                  <c:v>1340</c:v>
                </c:pt>
                <c:pt idx="59">
                  <c:v>1430</c:v>
                </c:pt>
                <c:pt idx="60">
                  <c:v>1480</c:v>
                </c:pt>
                <c:pt idx="61">
                  <c:v>1580</c:v>
                </c:pt>
                <c:pt idx="62">
                  <c:v>1680</c:v>
                </c:pt>
                <c:pt idx="63">
                  <c:v>1750</c:v>
                </c:pt>
                <c:pt idx="64">
                  <c:v>1810</c:v>
                </c:pt>
                <c:pt idx="65">
                  <c:v>1880</c:v>
                </c:pt>
                <c:pt idx="66">
                  <c:v>1940</c:v>
                </c:pt>
                <c:pt idx="67">
                  <c:v>2020</c:v>
                </c:pt>
                <c:pt idx="68">
                  <c:v>2120</c:v>
                </c:pt>
                <c:pt idx="69">
                  <c:v>2200</c:v>
                </c:pt>
                <c:pt idx="70">
                  <c:v>300</c:v>
                </c:pt>
                <c:pt idx="71">
                  <c:v>300</c:v>
                </c:pt>
                <c:pt idx="72">
                  <c:v>300</c:v>
                </c:pt>
                <c:pt idx="73">
                  <c:v>1300</c:v>
                </c:pt>
                <c:pt idx="74">
                  <c:v>1410</c:v>
                </c:pt>
                <c:pt idx="75">
                  <c:v>1460</c:v>
                </c:pt>
                <c:pt idx="76">
                  <c:v>1520</c:v>
                </c:pt>
                <c:pt idx="77">
                  <c:v>1630</c:v>
                </c:pt>
                <c:pt idx="78">
                  <c:v>1700</c:v>
                </c:pt>
                <c:pt idx="79">
                  <c:v>1770</c:v>
                </c:pt>
                <c:pt idx="80">
                  <c:v>1850</c:v>
                </c:pt>
                <c:pt idx="81">
                  <c:v>1930</c:v>
                </c:pt>
                <c:pt idx="82">
                  <c:v>2010</c:v>
                </c:pt>
                <c:pt idx="83">
                  <c:v>2070</c:v>
                </c:pt>
                <c:pt idx="84">
                  <c:v>2180</c:v>
                </c:pt>
                <c:pt idx="85">
                  <c:v>2250</c:v>
                </c:pt>
                <c:pt idx="86">
                  <c:v>2330</c:v>
                </c:pt>
                <c:pt idx="87">
                  <c:v>300</c:v>
                </c:pt>
                <c:pt idx="88">
                  <c:v>300</c:v>
                </c:pt>
                <c:pt idx="89">
                  <c:v>1300</c:v>
                </c:pt>
                <c:pt idx="90">
                  <c:v>1340</c:v>
                </c:pt>
                <c:pt idx="91">
                  <c:v>1420</c:v>
                </c:pt>
                <c:pt idx="92">
                  <c:v>1480</c:v>
                </c:pt>
                <c:pt idx="93">
                  <c:v>1550</c:v>
                </c:pt>
                <c:pt idx="94">
                  <c:v>1630</c:v>
                </c:pt>
                <c:pt idx="95">
                  <c:v>1680</c:v>
                </c:pt>
                <c:pt idx="96">
                  <c:v>1760</c:v>
                </c:pt>
                <c:pt idx="97">
                  <c:v>1830</c:v>
                </c:pt>
                <c:pt idx="98">
                  <c:v>1900</c:v>
                </c:pt>
                <c:pt idx="99">
                  <c:v>1980</c:v>
                </c:pt>
                <c:pt idx="100">
                  <c:v>2060</c:v>
                </c:pt>
                <c:pt idx="101">
                  <c:v>2180</c:v>
                </c:pt>
                <c:pt idx="102">
                  <c:v>2280</c:v>
                </c:pt>
                <c:pt idx="103">
                  <c:v>2370</c:v>
                </c:pt>
                <c:pt idx="104">
                  <c:v>2420</c:v>
                </c:pt>
                <c:pt idx="105">
                  <c:v>2510</c:v>
                </c:pt>
                <c:pt idx="106">
                  <c:v>2540</c:v>
                </c:pt>
                <c:pt idx="107">
                  <c:v>300</c:v>
                </c:pt>
                <c:pt idx="108">
                  <c:v>300</c:v>
                </c:pt>
                <c:pt idx="109">
                  <c:v>300</c:v>
                </c:pt>
                <c:pt idx="110">
                  <c:v>300</c:v>
                </c:pt>
                <c:pt idx="111">
                  <c:v>300</c:v>
                </c:pt>
                <c:pt idx="112">
                  <c:v>1290</c:v>
                </c:pt>
                <c:pt idx="113">
                  <c:v>1370</c:v>
                </c:pt>
                <c:pt idx="114">
                  <c:v>1440</c:v>
                </c:pt>
                <c:pt idx="115">
                  <c:v>1540</c:v>
                </c:pt>
                <c:pt idx="116">
                  <c:v>1610</c:v>
                </c:pt>
                <c:pt idx="117">
                  <c:v>1730</c:v>
                </c:pt>
                <c:pt idx="118">
                  <c:v>1850</c:v>
                </c:pt>
                <c:pt idx="119">
                  <c:v>1920</c:v>
                </c:pt>
                <c:pt idx="120">
                  <c:v>1990</c:v>
                </c:pt>
                <c:pt idx="121">
                  <c:v>2120</c:v>
                </c:pt>
                <c:pt idx="122">
                  <c:v>2190</c:v>
                </c:pt>
                <c:pt idx="123">
                  <c:v>2270</c:v>
                </c:pt>
                <c:pt idx="124">
                  <c:v>2360</c:v>
                </c:pt>
                <c:pt idx="125">
                  <c:v>2440</c:v>
                </c:pt>
                <c:pt idx="126">
                  <c:v>2500</c:v>
                </c:pt>
                <c:pt idx="127">
                  <c:v>2610</c:v>
                </c:pt>
                <c:pt idx="128">
                  <c:v>2670</c:v>
                </c:pt>
                <c:pt idx="129">
                  <c:v>2750</c:v>
                </c:pt>
                <c:pt idx="130">
                  <c:v>2840</c:v>
                </c:pt>
                <c:pt idx="131">
                  <c:v>2950</c:v>
                </c:pt>
                <c:pt idx="132">
                  <c:v>2960</c:v>
                </c:pt>
                <c:pt idx="133">
                  <c:v>300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247808"/>
        <c:axId val="1864248352"/>
      </c:scatterChart>
      <c:valAx>
        <c:axId val="1864247808"/>
        <c:scaling>
          <c:orientation val="minMax"/>
          <c:max val="84"/>
          <c:min val="7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4248352"/>
        <c:crosses val="autoZero"/>
        <c:crossBetween val="midCat"/>
      </c:valAx>
      <c:valAx>
        <c:axId val="1864248352"/>
        <c:scaling>
          <c:orientation val="minMax"/>
          <c:max val="3000"/>
          <c:min val="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4247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321028</xdr:colOff>
      <xdr:row>17</xdr:row>
      <xdr:rowOff>11288</xdr:rowOff>
    </xdr:from>
    <xdr:to>
      <xdr:col>49</xdr:col>
      <xdr:colOff>3528</xdr:colOff>
      <xdr:row>32</xdr:row>
      <xdr:rowOff>112183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1</xdr:row>
      <xdr:rowOff>114300</xdr:rowOff>
    </xdr:from>
    <xdr:to>
      <xdr:col>10</xdr:col>
      <xdr:colOff>603250</xdr:colOff>
      <xdr:row>21</xdr:row>
      <xdr:rowOff>50800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796925</xdr:colOff>
      <xdr:row>1</xdr:row>
      <xdr:rowOff>161925</xdr:rowOff>
    </xdr:from>
    <xdr:to>
      <xdr:col>12</xdr:col>
      <xdr:colOff>492125</xdr:colOff>
      <xdr:row>17</xdr:row>
      <xdr:rowOff>60325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34925</xdr:colOff>
      <xdr:row>18</xdr:row>
      <xdr:rowOff>22225</xdr:rowOff>
    </xdr:from>
    <xdr:to>
      <xdr:col>12</xdr:col>
      <xdr:colOff>542925</xdr:colOff>
      <xdr:row>33</xdr:row>
      <xdr:rowOff>98425</xdr:rowOff>
    </xdr:to>
    <xdr:graphicFrame macro="">
      <xdr:nvGraphicFramePr>
        <xdr:cNvPr id="3" name="Graphique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276225</xdr:colOff>
      <xdr:row>6</xdr:row>
      <xdr:rowOff>136525</xdr:rowOff>
    </xdr:from>
    <xdr:to>
      <xdr:col>6</xdr:col>
      <xdr:colOff>784225</xdr:colOff>
      <xdr:row>22</xdr:row>
      <xdr:rowOff>34925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244475</xdr:colOff>
      <xdr:row>0</xdr:row>
      <xdr:rowOff>117475</xdr:rowOff>
    </xdr:from>
    <xdr:to>
      <xdr:col>24</xdr:col>
      <xdr:colOff>752475</xdr:colOff>
      <xdr:row>16</xdr:row>
      <xdr:rowOff>15875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79375</xdr:colOff>
      <xdr:row>8</xdr:row>
      <xdr:rowOff>20358</xdr:rowOff>
    </xdr:from>
    <xdr:to>
      <xdr:col>30</xdr:col>
      <xdr:colOff>635000</xdr:colOff>
      <xdr:row>27</xdr:row>
      <xdr:rowOff>139699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35"/>
  <sheetViews>
    <sheetView topLeftCell="A115" zoomScale="90" zoomScaleNormal="90" workbookViewId="0">
      <pane xSplit="1" topLeftCell="B1" activePane="topRight" state="frozen"/>
      <selection pane="topRight" activeCell="G120" sqref="G120"/>
    </sheetView>
  </sheetViews>
  <sheetFormatPr baseColWidth="10" defaultColWidth="9" defaultRowHeight="14" x14ac:dyDescent="0.3"/>
  <cols>
    <col min="5" max="8" width="9" style="1"/>
    <col min="13" max="17" width="9" style="2"/>
    <col min="18" max="18" width="14.5" bestFit="1" customWidth="1"/>
    <col min="19" max="19" width="9.33203125" customWidth="1"/>
    <col min="20" max="20" width="13" style="2" bestFit="1" customWidth="1"/>
    <col min="21" max="26" width="9" style="2"/>
    <col min="33" max="38" width="9" style="2"/>
    <col min="40" max="40" width="10.25" style="2" bestFit="1" customWidth="1"/>
    <col min="41" max="41" width="9" style="2"/>
    <col min="42" max="42" width="10.25" style="2" bestFit="1" customWidth="1"/>
    <col min="43" max="43" width="9" style="2"/>
    <col min="44" max="44" width="10.25" style="2" bestFit="1" customWidth="1"/>
    <col min="45" max="46" width="9" style="2"/>
  </cols>
  <sheetData>
    <row r="1" spans="1:61" x14ac:dyDescent="0.3">
      <c r="A1" t="s">
        <v>0</v>
      </c>
      <c r="B1" t="s">
        <v>23</v>
      </c>
      <c r="C1" t="s">
        <v>20</v>
      </c>
      <c r="D1" t="s">
        <v>18</v>
      </c>
      <c r="E1" s="1" t="s">
        <v>1</v>
      </c>
      <c r="F1" s="1" t="s">
        <v>2</v>
      </c>
      <c r="G1" s="1" t="s">
        <v>3</v>
      </c>
      <c r="H1" s="1" t="s">
        <v>4</v>
      </c>
      <c r="I1" t="s">
        <v>5</v>
      </c>
      <c r="J1" t="s">
        <v>21</v>
      </c>
      <c r="K1" t="s">
        <v>6</v>
      </c>
      <c r="L1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t="s">
        <v>17</v>
      </c>
      <c r="T1" s="2" t="s">
        <v>30</v>
      </c>
      <c r="U1" s="2" t="s">
        <v>31</v>
      </c>
      <c r="W1" s="2" t="s">
        <v>34</v>
      </c>
      <c r="X1" s="2" t="s">
        <v>32</v>
      </c>
      <c r="Y1" s="2" t="s">
        <v>33</v>
      </c>
      <c r="Z1" s="2" t="s">
        <v>28</v>
      </c>
      <c r="AA1" s="2" t="s">
        <v>56</v>
      </c>
      <c r="AB1" s="2" t="s">
        <v>38</v>
      </c>
      <c r="AC1" s="2" t="s">
        <v>32</v>
      </c>
      <c r="AD1" s="2" t="s">
        <v>39</v>
      </c>
      <c r="AE1" s="2" t="s">
        <v>28</v>
      </c>
      <c r="AF1" s="2" t="s">
        <v>57</v>
      </c>
      <c r="AG1" s="2" t="s">
        <v>40</v>
      </c>
      <c r="AH1" s="2" t="s">
        <v>27</v>
      </c>
      <c r="AI1" s="2" t="s">
        <v>41</v>
      </c>
      <c r="AJ1" s="2" t="s">
        <v>42</v>
      </c>
      <c r="AK1" s="2" t="s">
        <v>43</v>
      </c>
      <c r="AL1" s="2" t="s">
        <v>28</v>
      </c>
      <c r="AM1" s="2" t="s">
        <v>58</v>
      </c>
      <c r="AQ1" s="2" t="s">
        <v>13</v>
      </c>
      <c r="AR1" s="2" t="s">
        <v>14</v>
      </c>
      <c r="AS1" s="2" t="s">
        <v>15</v>
      </c>
      <c r="AT1" s="2" t="s">
        <v>16</v>
      </c>
      <c r="AV1" s="2" t="s">
        <v>87</v>
      </c>
    </row>
    <row r="2" spans="1:61" x14ac:dyDescent="0.3">
      <c r="A2">
        <v>7</v>
      </c>
      <c r="B2" t="s">
        <v>22</v>
      </c>
      <c r="D2">
        <v>50</v>
      </c>
      <c r="E2" s="1">
        <f xml:space="preserve"> 3*$AR$2*(($AQ$2/(M2^3))^(2/3))*(1-($AQ$2/(M2^3))^(-1/3))*EXP((3/2)*($AS$2-1)*(1-($AQ$2/(M2^3))^(-1/3))) + $AT$2*(K2-300)</f>
        <v>28.991326907416749</v>
      </c>
      <c r="F2" s="1">
        <f xml:space="preserve"> 3*$AR$2*(($AQ$2/(M2^3))^(2/3))*(1-($AQ$2/(M2^3))^(-1/3))*EXP((3/2)*($AS$2-1)*(1-($AQ$2/(M2^3))^(-1/3))) + $AT$2*((K2+L2)-300)</f>
        <v>30.25132690741675</v>
      </c>
      <c r="G2" s="1">
        <f xml:space="preserve"> 3*$AR$2*(($AQ$2/(M2^3))^(2/3))*(1-($AQ$2/(M2^3))^(-1/3))*EXP((3/2)*($AS$2-1)*(1-($AQ$2/(M2^3))^(-1/3))) + $AT$2*((K2-L2)-300)</f>
        <v>27.731326907416751</v>
      </c>
      <c r="H2" s="1">
        <f>(F2-G2)/2</f>
        <v>1.2599999999999998</v>
      </c>
      <c r="J2">
        <v>1420</v>
      </c>
      <c r="K2">
        <f>(3*J2+295)/4</f>
        <v>1138.75</v>
      </c>
      <c r="L2">
        <f>(J2-295)/2</f>
        <v>562.5</v>
      </c>
      <c r="M2" s="2">
        <v>3.2619419999999999</v>
      </c>
      <c r="N2" s="2">
        <v>8.9999999999999993E-3</v>
      </c>
      <c r="P2" s="2">
        <v>34.707940000000001</v>
      </c>
      <c r="Q2" s="2">
        <v>5.3781000000000002E-2</v>
      </c>
      <c r="T2" s="2">
        <v>5.1927459999999996</v>
      </c>
      <c r="U2" s="2">
        <v>1.8500000000000001E-3</v>
      </c>
      <c r="W2" s="2">
        <v>6.343458</v>
      </c>
      <c r="X2" s="2">
        <v>1.423E-3</v>
      </c>
      <c r="Y2" s="2">
        <v>5.2144089999999998</v>
      </c>
      <c r="Z2" s="2">
        <v>3.8769999999999998E-3</v>
      </c>
      <c r="AA2">
        <f>(W2*COS(RADIANS(30))*W2*Y2)/2</f>
        <v>90.856889844940895</v>
      </c>
      <c r="AF2">
        <f>(AB2*COS(RADIANS(30))*AB2*AD2)*2</f>
        <v>0</v>
      </c>
      <c r="AM2">
        <f>AG2*AI2*AK2</f>
        <v>0</v>
      </c>
      <c r="AQ2" s="2">
        <v>54.5</v>
      </c>
      <c r="AR2" s="2">
        <v>17.2</v>
      </c>
      <c r="AS2" s="2">
        <v>5.89</v>
      </c>
      <c r="AT2" s="2">
        <v>2.2399999999999998E-3</v>
      </c>
    </row>
    <row r="3" spans="1:61" x14ac:dyDescent="0.3">
      <c r="A3">
        <v>8</v>
      </c>
      <c r="B3" t="s">
        <v>19</v>
      </c>
      <c r="D3">
        <v>50</v>
      </c>
      <c r="E3" s="1">
        <f t="shared" ref="E2:E29" si="0" xml:space="preserve"> 3*$AR$2*(($AQ$2/(M3^3))^(2/3))*(1-($AQ$2/(M3^3))^(-1/3))*EXP((3/2)*($AS$2-1)*(1-($AQ$2/(M3^3))^(-1/3))) + $AT$2*(K3-300)</f>
        <v>27.848797237355971</v>
      </c>
      <c r="F3" s="1">
        <f xml:space="preserve"> 3*$AR$2*(($AQ$2/(M3^3))^(2/3))*(1-($AQ$2/(M3^3))^(-1/3))*EXP((3/2)*($AS$2-1)*(1-($AQ$2/(M3^3))^(-1/3))) + $AT$2*((K3+L3)-300)</f>
        <v>27.854397237355972</v>
      </c>
      <c r="G3" s="1">
        <f xml:space="preserve"> 3*$AR$2*(($AQ$2/(M3^3))^(2/3))*(1-($AQ$2/(M3^3))^(-1/3))*EXP((3/2)*($AS$2-1)*(1-($AQ$2/(M3^3))^(-1/3))) + $AT$2*((K3-L3)-300)</f>
        <v>27.84319723735597</v>
      </c>
      <c r="H3" s="1">
        <f t="shared" ref="H3:H73" si="1">(F3-G3)/2</f>
        <v>5.6000000000011596E-3</v>
      </c>
      <c r="J3">
        <v>300</v>
      </c>
      <c r="K3">
        <f t="shared" ref="K2:K72" si="2">(3*J3+295)/4</f>
        <v>298.75</v>
      </c>
      <c r="L3">
        <f t="shared" ref="L3:L72" si="3">(J3-295)/2</f>
        <v>2.5</v>
      </c>
      <c r="M3" s="2">
        <v>3.2558660000000001</v>
      </c>
      <c r="T3" s="2">
        <v>5.1749280000000004</v>
      </c>
      <c r="AA3">
        <f t="shared" ref="AA3:AA66" si="4">(W3*COS(RADIANS(30))*W3*Y3)/2</f>
        <v>0</v>
      </c>
      <c r="AF3">
        <f t="shared" ref="AF3:AF66" si="5">(AB3*COS(RADIANS(30))*AB3*AD3)*2</f>
        <v>0</v>
      </c>
      <c r="AM3">
        <f t="shared" ref="AM3:AM66" si="6">AG3*AI3*AK3</f>
        <v>0</v>
      </c>
      <c r="AV3">
        <v>7.8073009999999998</v>
      </c>
      <c r="AW3">
        <v>2.896E-2</v>
      </c>
      <c r="AX3">
        <v>5.4213430000000002</v>
      </c>
      <c r="AY3">
        <v>6.6010000000000001E-3</v>
      </c>
      <c r="AZ3">
        <v>6.2530619999999999</v>
      </c>
      <c r="BA3">
        <v>1.1338000000000001E-2</v>
      </c>
      <c r="BB3">
        <v>90</v>
      </c>
      <c r="BD3">
        <v>93.484480000000005</v>
      </c>
      <c r="BE3">
        <v>0.11482000000000001</v>
      </c>
      <c r="BF3">
        <v>90</v>
      </c>
      <c r="BH3">
        <v>264.17819200000002</v>
      </c>
      <c r="BI3">
        <v>1.8784449999999999</v>
      </c>
    </row>
    <row r="4" spans="1:61" x14ac:dyDescent="0.3">
      <c r="A4">
        <v>9</v>
      </c>
      <c r="D4">
        <v>50</v>
      </c>
      <c r="E4" s="1">
        <f t="shared" si="0"/>
        <v>29.214913231545133</v>
      </c>
      <c r="F4" s="1">
        <f t="shared" ref="F4:F73" si="7" xml:space="preserve"> 3*$AR$2*(($AQ$2/(M4^3))^(2/3))*(1-($AQ$2/(M4^3))^(-1/3))*EXP((3/2)*($AS$2-1)*(1-($AQ$2/(M4^3))^(-1/3))) + $AT$2*((K4+L4)-300)</f>
        <v>30.508513231545134</v>
      </c>
      <c r="G4" s="1">
        <f t="shared" ref="G4:G73" si="8" xml:space="preserve"> 3*$AR$2*(($AQ$2/(M4^3))^(2/3))*(1-($AQ$2/(M4^3))^(-1/3))*EXP((3/2)*($AS$2-1)*(1-($AQ$2/(M4^3))^(-1/3))) + $AT$2*((K4-L4)-300)</f>
        <v>27.921313231545135</v>
      </c>
      <c r="H4" s="1">
        <f t="shared" si="1"/>
        <v>1.2935999999999996</v>
      </c>
      <c r="J4">
        <v>1450</v>
      </c>
      <c r="K4">
        <f t="shared" si="2"/>
        <v>1161.25</v>
      </c>
      <c r="L4">
        <f t="shared" si="3"/>
        <v>577.5</v>
      </c>
      <c r="M4" s="2">
        <v>3.2605059999999999</v>
      </c>
      <c r="N4" s="2">
        <v>8.9999999999999998E-4</v>
      </c>
      <c r="P4" s="2">
        <v>34.662101999999997</v>
      </c>
      <c r="Q4" s="2">
        <v>5.6328000000000003E-2</v>
      </c>
      <c r="T4" s="2">
        <v>5.1931649999999996</v>
      </c>
      <c r="U4" s="2">
        <v>1.5169999999999999E-3</v>
      </c>
      <c r="W4" s="2">
        <v>6.3443940000000003</v>
      </c>
      <c r="X4" s="2">
        <v>2.7799999999999999E-3</v>
      </c>
      <c r="Y4" s="2">
        <v>5.2222249999999999</v>
      </c>
      <c r="Z4" s="2">
        <v>5.3499999999999997E-3</v>
      </c>
      <c r="AA4">
        <f t="shared" si="4"/>
        <v>91.019932060520816</v>
      </c>
      <c r="AF4">
        <f t="shared" si="5"/>
        <v>0</v>
      </c>
      <c r="AM4">
        <f t="shared" si="6"/>
        <v>0</v>
      </c>
    </row>
    <row r="5" spans="1:61" x14ac:dyDescent="0.3">
      <c r="A5">
        <v>10</v>
      </c>
      <c r="E5" s="1">
        <f xml:space="preserve"> 3*$AR$2*(($AQ$2/(M5^3))^(2/3))*(1-($AQ$2/(M5^3))^(-1/3))*EXP((3/2)*($AS$2-1)*(1-($AQ$2/(M5^3))^(-1/3))) + $AT$2*(K5-300)</f>
        <v>29.191166035484319</v>
      </c>
      <c r="F5" s="1">
        <f t="shared" si="7"/>
        <v>30.574366035484317</v>
      </c>
      <c r="G5" s="1">
        <f t="shared" si="8"/>
        <v>27.807966035484316</v>
      </c>
      <c r="H5" s="1">
        <f t="shared" si="1"/>
        <v>1.3832000000000004</v>
      </c>
      <c r="J5">
        <v>1530</v>
      </c>
      <c r="K5">
        <f t="shared" si="2"/>
        <v>1221.25</v>
      </c>
      <c r="L5">
        <f t="shared" si="3"/>
        <v>617.5</v>
      </c>
      <c r="M5" s="2">
        <v>3.2618170000000002</v>
      </c>
      <c r="N5" s="2">
        <v>8.8099999999999995E-4</v>
      </c>
      <c r="P5" s="2">
        <v>34.703930999999997</v>
      </c>
      <c r="Q5" s="2">
        <v>4.9773999999999999E-2</v>
      </c>
      <c r="T5" s="2">
        <v>5.1977669999999998</v>
      </c>
      <c r="U5" s="2">
        <v>5.1500000000000005E-4</v>
      </c>
      <c r="W5" s="2">
        <v>6.3601210000000004</v>
      </c>
      <c r="X5" s="2">
        <v>1.3944E-2</v>
      </c>
      <c r="Y5" s="2">
        <v>5.2188230000000004</v>
      </c>
      <c r="Z5" s="2">
        <v>3.6586E-2</v>
      </c>
      <c r="AA5">
        <f t="shared" si="4"/>
        <v>91.412157644083564</v>
      </c>
      <c r="AF5">
        <f t="shared" si="5"/>
        <v>0</v>
      </c>
      <c r="AM5">
        <f t="shared" si="6"/>
        <v>0</v>
      </c>
    </row>
    <row r="6" spans="1:61" x14ac:dyDescent="0.3">
      <c r="A6">
        <v>11</v>
      </c>
      <c r="E6" s="1">
        <f t="shared" si="0"/>
        <v>29.169616062421447</v>
      </c>
      <c r="F6" s="1">
        <f t="shared" si="7"/>
        <v>30.642416062421447</v>
      </c>
      <c r="G6" s="1">
        <f t="shared" si="8"/>
        <v>27.696816062421448</v>
      </c>
      <c r="H6" s="1">
        <f t="shared" si="1"/>
        <v>1.4727999999999994</v>
      </c>
      <c r="J6">
        <v>1610</v>
      </c>
      <c r="K6">
        <f t="shared" si="2"/>
        <v>1281.25</v>
      </c>
      <c r="L6">
        <f t="shared" si="3"/>
        <v>657.5</v>
      </c>
      <c r="M6" s="2">
        <v>3.2631160000000001</v>
      </c>
      <c r="N6" s="2">
        <v>1.0189999999999999E-3</v>
      </c>
      <c r="P6" s="2">
        <v>34.74541</v>
      </c>
      <c r="Q6" s="2">
        <v>5.7590000000000002E-2</v>
      </c>
      <c r="T6" s="2">
        <v>5.2002050000000004</v>
      </c>
      <c r="U6" s="2">
        <v>6.2699999999999995E-4</v>
      </c>
      <c r="W6" s="2">
        <v>6.3638969999999997</v>
      </c>
      <c r="X6" s="2">
        <v>7.4960000000000001E-3</v>
      </c>
      <c r="Y6" s="2">
        <v>5.2307990000000002</v>
      </c>
      <c r="Z6" s="2">
        <v>2.0423E-2</v>
      </c>
      <c r="AA6">
        <f t="shared" si="4"/>
        <v>91.730751609134231</v>
      </c>
      <c r="AF6">
        <f t="shared" si="5"/>
        <v>0</v>
      </c>
      <c r="AM6">
        <f t="shared" si="6"/>
        <v>0</v>
      </c>
      <c r="AN6" s="2" t="s">
        <v>47</v>
      </c>
      <c r="AO6" s="2" t="s">
        <v>27</v>
      </c>
      <c r="AP6" s="2" t="s">
        <v>48</v>
      </c>
      <c r="AQ6" s="2" t="s">
        <v>42</v>
      </c>
      <c r="AR6" s="2" t="s">
        <v>49</v>
      </c>
      <c r="AS6" s="2" t="s">
        <v>28</v>
      </c>
      <c r="AT6" s="2" t="s">
        <v>59</v>
      </c>
    </row>
    <row r="7" spans="1:61" x14ac:dyDescent="0.3">
      <c r="A7">
        <v>12</v>
      </c>
      <c r="E7" s="1">
        <f t="shared" si="0"/>
        <v>29.134408193143877</v>
      </c>
      <c r="F7" s="1">
        <f t="shared" si="7"/>
        <v>30.719208193143878</v>
      </c>
      <c r="G7" s="1">
        <f t="shared" si="8"/>
        <v>27.549608193143875</v>
      </c>
      <c r="H7" s="1">
        <f t="shared" si="1"/>
        <v>1.5848000000000013</v>
      </c>
      <c r="J7">
        <v>1710</v>
      </c>
      <c r="K7">
        <f t="shared" si="2"/>
        <v>1356.25</v>
      </c>
      <c r="L7">
        <f t="shared" si="3"/>
        <v>707.5</v>
      </c>
      <c r="M7" s="2">
        <v>3.264818</v>
      </c>
      <c r="N7" s="2">
        <v>1.4630000000000001E-3</v>
      </c>
      <c r="P7" s="2">
        <v>34.799829000000003</v>
      </c>
      <c r="Q7" s="2">
        <v>8.2709000000000005E-2</v>
      </c>
      <c r="R7" t="s">
        <v>37</v>
      </c>
      <c r="T7" s="2">
        <v>5.2053060000000002</v>
      </c>
      <c r="U7" s="2">
        <v>8.3199999999999995E-4</v>
      </c>
      <c r="W7" s="2">
        <v>6.3680339999999998</v>
      </c>
      <c r="X7" s="2">
        <v>1.8931E-2</v>
      </c>
      <c r="Y7" s="2">
        <v>5.2602209999999996</v>
      </c>
      <c r="Z7" s="2">
        <v>5.2290999999999997E-2</v>
      </c>
      <c r="AA7">
        <f t="shared" si="4"/>
        <v>92.366688514811571</v>
      </c>
      <c r="AF7">
        <f t="shared" si="5"/>
        <v>0</v>
      </c>
      <c r="AM7">
        <f t="shared" si="6"/>
        <v>0</v>
      </c>
      <c r="AT7" s="2">
        <f>AN7*AP7*AR7</f>
        <v>0</v>
      </c>
    </row>
    <row r="8" spans="1:61" x14ac:dyDescent="0.3">
      <c r="A8">
        <v>13</v>
      </c>
      <c r="E8" s="1">
        <f t="shared" si="0"/>
        <v>29.367570085928797</v>
      </c>
      <c r="F8" s="1">
        <f t="shared" si="7"/>
        <v>31.0979700859288</v>
      </c>
      <c r="G8" s="1">
        <f t="shared" si="8"/>
        <v>27.637170085928798</v>
      </c>
      <c r="H8" s="1">
        <f t="shared" si="1"/>
        <v>1.7304000000000013</v>
      </c>
      <c r="J8">
        <v>1840</v>
      </c>
      <c r="K8">
        <f t="shared" si="2"/>
        <v>1453.75</v>
      </c>
      <c r="L8">
        <f t="shared" si="3"/>
        <v>772.5</v>
      </c>
      <c r="M8" s="2">
        <v>3.264694</v>
      </c>
      <c r="N8" s="2">
        <v>1.5100000000000001E-3</v>
      </c>
      <c r="P8" s="2">
        <v>34.795844000000002</v>
      </c>
      <c r="Q8" s="2">
        <v>8.541E-2</v>
      </c>
      <c r="R8" t="s">
        <v>36</v>
      </c>
      <c r="T8" s="2">
        <v>5.2080390000000003</v>
      </c>
      <c r="U8" s="2">
        <v>8.4800000000000001E-4</v>
      </c>
      <c r="AA8">
        <f t="shared" si="4"/>
        <v>0</v>
      </c>
      <c r="AB8">
        <v>3.1930260000000001</v>
      </c>
      <c r="AC8">
        <v>2.4600000000000002E-4</v>
      </c>
      <c r="AD8">
        <v>5.2553669999999997</v>
      </c>
      <c r="AE8">
        <v>1.2470000000000001E-3</v>
      </c>
      <c r="AF8">
        <f t="shared" si="5"/>
        <v>92.804404179558347</v>
      </c>
      <c r="AM8">
        <f t="shared" si="6"/>
        <v>0</v>
      </c>
      <c r="AT8" s="2">
        <f t="shared" ref="AT8:AT72" si="9">AN8*AP8*AR8</f>
        <v>0</v>
      </c>
    </row>
    <row r="9" spans="1:61" x14ac:dyDescent="0.3">
      <c r="A9">
        <v>14</v>
      </c>
      <c r="E9" s="1">
        <f t="shared" si="0"/>
        <v>29.635179361156258</v>
      </c>
      <c r="F9" s="1">
        <f t="shared" si="7"/>
        <v>31.544779361156255</v>
      </c>
      <c r="G9" s="1">
        <f t="shared" si="8"/>
        <v>27.725579361156257</v>
      </c>
      <c r="H9" s="1">
        <f t="shared" si="1"/>
        <v>1.9095999999999993</v>
      </c>
      <c r="J9">
        <v>2000</v>
      </c>
      <c r="K9">
        <f t="shared" si="2"/>
        <v>1573.75</v>
      </c>
      <c r="L9">
        <f t="shared" si="3"/>
        <v>852.5</v>
      </c>
      <c r="M9" s="2">
        <v>3.2647040000000001</v>
      </c>
      <c r="N9" s="2">
        <v>1.941E-3</v>
      </c>
      <c r="P9" s="2">
        <v>34.796171000000001</v>
      </c>
      <c r="Q9" s="2">
        <v>0.109773</v>
      </c>
      <c r="T9" s="2">
        <v>5.2112689999999997</v>
      </c>
      <c r="U9" s="2">
        <v>1.8060000000000001E-3</v>
      </c>
      <c r="AA9">
        <f t="shared" si="4"/>
        <v>0</v>
      </c>
      <c r="AB9">
        <v>3.1966139999999998</v>
      </c>
      <c r="AC9">
        <v>2.4899999999999998E-4</v>
      </c>
      <c r="AD9">
        <v>5.2768769999999998</v>
      </c>
      <c r="AE9">
        <v>1.276E-3</v>
      </c>
      <c r="AF9">
        <f t="shared" si="5"/>
        <v>93.393788522376227</v>
      </c>
      <c r="AM9">
        <f t="shared" si="6"/>
        <v>0</v>
      </c>
      <c r="AT9" s="2">
        <f t="shared" si="9"/>
        <v>0</v>
      </c>
    </row>
    <row r="10" spans="1:61" x14ac:dyDescent="0.3">
      <c r="A10">
        <v>15</v>
      </c>
      <c r="E10" s="1">
        <f t="shared" si="0"/>
        <v>26.97300819460143</v>
      </c>
      <c r="F10" s="1">
        <f t="shared" si="7"/>
        <v>26.978608194601431</v>
      </c>
      <c r="G10" s="1">
        <f t="shared" si="8"/>
        <v>26.967408194601429</v>
      </c>
      <c r="H10" s="1">
        <f t="shared" si="1"/>
        <v>5.6000000000011596E-3</v>
      </c>
      <c r="J10">
        <v>300</v>
      </c>
      <c r="K10">
        <f t="shared" si="2"/>
        <v>298.75</v>
      </c>
      <c r="L10">
        <f t="shared" si="3"/>
        <v>2.5</v>
      </c>
      <c r="M10" s="2">
        <v>3.2630810000000001</v>
      </c>
      <c r="N10" s="2">
        <v>2.4889999999999999E-3</v>
      </c>
      <c r="P10" s="2">
        <v>34.744286000000002</v>
      </c>
      <c r="Q10" s="2">
        <v>0.14066799999999999</v>
      </c>
      <c r="AA10">
        <f t="shared" si="4"/>
        <v>0</v>
      </c>
      <c r="AF10">
        <f t="shared" si="5"/>
        <v>0</v>
      </c>
      <c r="AM10">
        <f t="shared" si="6"/>
        <v>0</v>
      </c>
      <c r="AT10" s="2">
        <f t="shared" si="9"/>
        <v>0</v>
      </c>
    </row>
    <row r="11" spans="1:61" x14ac:dyDescent="0.3">
      <c r="A11">
        <v>16</v>
      </c>
      <c r="D11">
        <v>45</v>
      </c>
      <c r="E11" s="1">
        <f t="shared" si="0"/>
        <v>33.021423622559148</v>
      </c>
      <c r="F11" s="1">
        <f t="shared" si="7"/>
        <v>33.027023622559149</v>
      </c>
      <c r="G11" s="1">
        <f t="shared" si="8"/>
        <v>33.015823622559147</v>
      </c>
      <c r="H11" s="1">
        <f t="shared" si="1"/>
        <v>5.6000000000011596E-3</v>
      </c>
      <c r="J11">
        <v>300</v>
      </c>
      <c r="K11">
        <f t="shared" si="2"/>
        <v>298.75</v>
      </c>
      <c r="L11">
        <f t="shared" si="3"/>
        <v>2.5</v>
      </c>
      <c r="M11" s="2">
        <v>3.2167490000000001</v>
      </c>
      <c r="N11" s="2">
        <v>2.1480000000000002E-3</v>
      </c>
      <c r="P11" s="2">
        <v>33.285229000000001</v>
      </c>
      <c r="Q11" s="2">
        <v>0.119674</v>
      </c>
      <c r="AA11">
        <f t="shared" si="4"/>
        <v>0</v>
      </c>
      <c r="AF11">
        <f t="shared" si="5"/>
        <v>0</v>
      </c>
      <c r="AM11">
        <f t="shared" si="6"/>
        <v>0</v>
      </c>
      <c r="AT11" s="2">
        <f t="shared" si="9"/>
        <v>0</v>
      </c>
    </row>
    <row r="12" spans="1:61" x14ac:dyDescent="0.3">
      <c r="A12">
        <v>17</v>
      </c>
      <c r="E12" s="1">
        <f t="shared" si="0"/>
        <v>32.962839877898482</v>
      </c>
      <c r="F12" s="1">
        <f t="shared" si="7"/>
        <v>34.05483987789848</v>
      </c>
      <c r="G12" s="1">
        <f t="shared" si="8"/>
        <v>31.870839877898479</v>
      </c>
      <c r="H12" s="1">
        <f t="shared" si="1"/>
        <v>1.0920000000000005</v>
      </c>
      <c r="J12">
        <v>1270</v>
      </c>
      <c r="K12">
        <f t="shared" si="2"/>
        <v>1026.25</v>
      </c>
      <c r="L12">
        <f t="shared" si="3"/>
        <v>487.5</v>
      </c>
      <c r="M12" s="2">
        <v>3.2289119999999998</v>
      </c>
      <c r="N12" s="2">
        <v>1.3500000000000001E-3</v>
      </c>
      <c r="P12" s="2">
        <v>33.664225000000002</v>
      </c>
      <c r="Q12" s="2">
        <v>7.5494000000000006E-2</v>
      </c>
      <c r="T12" s="2">
        <v>5.1714589999999996</v>
      </c>
      <c r="U12" s="2">
        <v>4.8099999999999998E-4</v>
      </c>
      <c r="W12" s="2">
        <v>6.2983219999999998</v>
      </c>
      <c r="X12" s="2">
        <v>2.4399999999999999E-3</v>
      </c>
      <c r="Y12" s="2">
        <v>5.1681499999999998</v>
      </c>
      <c r="Z12" s="2">
        <v>6.5989999999999998E-3</v>
      </c>
      <c r="AA12">
        <f t="shared" si="4"/>
        <v>88.7739340529873</v>
      </c>
      <c r="AF12">
        <f t="shared" si="5"/>
        <v>0</v>
      </c>
      <c r="AM12">
        <f t="shared" si="6"/>
        <v>0</v>
      </c>
      <c r="AT12" s="2">
        <f t="shared" si="9"/>
        <v>0</v>
      </c>
    </row>
    <row r="13" spans="1:61" x14ac:dyDescent="0.3">
      <c r="A13">
        <v>18</v>
      </c>
      <c r="E13" s="1">
        <f t="shared" si="0"/>
        <v>33.097239877898481</v>
      </c>
      <c r="F13" s="1">
        <f t="shared" si="7"/>
        <v>34.278839877898477</v>
      </c>
      <c r="G13" s="1">
        <f t="shared" si="8"/>
        <v>31.915639877898478</v>
      </c>
      <c r="H13" s="1">
        <f t="shared" si="1"/>
        <v>1.1815999999999995</v>
      </c>
      <c r="J13">
        <v>1350</v>
      </c>
      <c r="K13">
        <f t="shared" si="2"/>
        <v>1086.25</v>
      </c>
      <c r="L13">
        <f t="shared" si="3"/>
        <v>527.5</v>
      </c>
      <c r="M13" s="2">
        <v>3.2289119999999998</v>
      </c>
      <c r="N13" s="2">
        <v>1.4920000000000001E-3</v>
      </c>
      <c r="P13" s="2">
        <v>33.664233000000003</v>
      </c>
      <c r="Q13" s="2">
        <v>8.3430000000000004E-2</v>
      </c>
      <c r="T13" s="2">
        <v>5.1717599999999999</v>
      </c>
      <c r="U13" s="2">
        <v>2.5399999999999999E-4</v>
      </c>
      <c r="W13" s="2">
        <v>6.29969</v>
      </c>
      <c r="X13" s="2">
        <v>1.2620000000000001E-3</v>
      </c>
      <c r="Y13" s="2">
        <v>5.1766779999999999</v>
      </c>
      <c r="Z13" s="2">
        <v>3.3340000000000002E-3</v>
      </c>
      <c r="AA13">
        <f t="shared" si="4"/>
        <v>88.959051886115532</v>
      </c>
      <c r="AF13">
        <f t="shared" si="5"/>
        <v>0</v>
      </c>
      <c r="AM13">
        <f t="shared" si="6"/>
        <v>0</v>
      </c>
      <c r="AT13" s="2">
        <f t="shared" si="9"/>
        <v>0</v>
      </c>
    </row>
    <row r="14" spans="1:61" x14ac:dyDescent="0.3">
      <c r="A14">
        <v>19</v>
      </c>
      <c r="E14" s="1">
        <f t="shared" si="0"/>
        <v>33.142520300701605</v>
      </c>
      <c r="F14" s="1">
        <f t="shared" si="7"/>
        <v>34.458520300701601</v>
      </c>
      <c r="G14" s="1">
        <f t="shared" si="8"/>
        <v>31.826520300701603</v>
      </c>
      <c r="H14" s="1">
        <f t="shared" si="1"/>
        <v>1.3159999999999989</v>
      </c>
      <c r="J14">
        <v>1470</v>
      </c>
      <c r="K14">
        <f t="shared" si="2"/>
        <v>1176.25</v>
      </c>
      <c r="L14">
        <f t="shared" si="3"/>
        <v>587.5</v>
      </c>
      <c r="M14" s="2">
        <v>3.2300659999999999</v>
      </c>
      <c r="N14" s="2">
        <v>1.592E-2</v>
      </c>
      <c r="P14" s="2">
        <v>33.700339999999997</v>
      </c>
      <c r="Q14" s="2">
        <v>8.9058999999999999E-2</v>
      </c>
      <c r="T14" s="2">
        <v>5.1747909999999999</v>
      </c>
      <c r="U14" s="2">
        <v>3.4900000000000003E-4</v>
      </c>
      <c r="W14" s="2">
        <v>6.3060669999999996</v>
      </c>
      <c r="X14" s="2">
        <v>5.1500000000000005E-4</v>
      </c>
      <c r="Y14" s="2">
        <v>5.1907059999999996</v>
      </c>
      <c r="Z14" s="2">
        <v>1.4040000000000001E-3</v>
      </c>
      <c r="AA14">
        <f t="shared" si="4"/>
        <v>89.380798184859898</v>
      </c>
      <c r="AF14">
        <f t="shared" si="5"/>
        <v>0</v>
      </c>
      <c r="AM14">
        <f t="shared" si="6"/>
        <v>0</v>
      </c>
      <c r="AT14" s="2">
        <f t="shared" si="9"/>
        <v>0</v>
      </c>
    </row>
    <row r="15" spans="1:61" x14ac:dyDescent="0.3">
      <c r="A15">
        <v>20</v>
      </c>
      <c r="E15" s="1">
        <f t="shared" si="0"/>
        <v>33.23485137319966</v>
      </c>
      <c r="F15" s="1">
        <f t="shared" si="7"/>
        <v>34.629251373199665</v>
      </c>
      <c r="G15" s="1">
        <f xml:space="preserve"> 3*$AR$2*(($AQ$2/(M15^3))^(2/3))*(1-($AQ$2/(M15^3))^(-1/3))*EXP((3/2)*($AS$2-1)*(1-($AQ$2/(M15^3))^(-1/3))) + $AT$2*((K15-L15)-300)</f>
        <v>31.840451373199663</v>
      </c>
      <c r="H15" s="1">
        <f t="shared" si="1"/>
        <v>1.394400000000001</v>
      </c>
      <c r="J15">
        <v>1540</v>
      </c>
      <c r="K15">
        <f t="shared" si="2"/>
        <v>1228.75</v>
      </c>
      <c r="L15">
        <f t="shared" si="3"/>
        <v>622.5</v>
      </c>
      <c r="M15" s="2">
        <v>3.2302529999999998</v>
      </c>
      <c r="N15" s="2">
        <v>2.5249999999999999E-3</v>
      </c>
      <c r="P15" s="2">
        <v>33.706172000000002</v>
      </c>
      <c r="Q15" s="2">
        <v>0.14125599999999999</v>
      </c>
      <c r="T15" s="2">
        <v>5.1764729999999997</v>
      </c>
      <c r="U15" s="2">
        <v>1.44E-4</v>
      </c>
      <c r="W15" s="2">
        <v>6.3119569999999996</v>
      </c>
      <c r="X15" s="2">
        <v>7.6599999999999997E-4</v>
      </c>
      <c r="Y15" s="2">
        <v>5.1982920000000004</v>
      </c>
      <c r="Z15" s="2">
        <v>2.0920000000000001E-3</v>
      </c>
      <c r="AA15">
        <f t="shared" si="4"/>
        <v>89.678713705940567</v>
      </c>
      <c r="AF15">
        <f t="shared" si="5"/>
        <v>0</v>
      </c>
      <c r="AM15">
        <f t="shared" si="6"/>
        <v>0</v>
      </c>
      <c r="AT15" s="2">
        <f t="shared" si="9"/>
        <v>0</v>
      </c>
    </row>
    <row r="16" spans="1:61" x14ac:dyDescent="0.3">
      <c r="A16">
        <v>21</v>
      </c>
      <c r="E16" s="1">
        <f t="shared" si="0"/>
        <v>33.141933795487347</v>
      </c>
      <c r="F16" s="1">
        <f xml:space="preserve"> 3*$AR$2*(($AQ$2/(M16^3))^(2/3))*(1-($AQ$2/(M16^3))^(-1/3))*EXP((3/2)*($AS$2-1)*(1-($AQ$2/(M16^3))^(-1/3))) + $AT$2*((K16+L16)-300)</f>
        <v>34.625933795487349</v>
      </c>
      <c r="G16" s="1">
        <f t="shared" si="8"/>
        <v>31.657933795487345</v>
      </c>
      <c r="H16" s="1">
        <f t="shared" si="1"/>
        <v>1.4840000000000018</v>
      </c>
      <c r="J16">
        <v>1620</v>
      </c>
      <c r="K16">
        <f t="shared" si="2"/>
        <v>1288.75</v>
      </c>
      <c r="L16">
        <f t="shared" si="3"/>
        <v>662.5</v>
      </c>
      <c r="M16" s="2">
        <v>3.231941</v>
      </c>
      <c r="N16" s="2">
        <v>2.6189999999999998E-3</v>
      </c>
      <c r="P16" s="2">
        <v>33.759042000000001</v>
      </c>
      <c r="Q16" s="2">
        <v>0.14658599999999999</v>
      </c>
      <c r="S16" t="s">
        <v>35</v>
      </c>
      <c r="T16" s="2">
        <v>5.1780270000000002</v>
      </c>
      <c r="U16" s="2">
        <v>2.3599999999999999E-4</v>
      </c>
      <c r="W16" s="2">
        <v>6.3178850000000004</v>
      </c>
      <c r="X16" s="2">
        <v>1.436E-3</v>
      </c>
      <c r="Y16" s="2">
        <v>5.2071129999999997</v>
      </c>
      <c r="Z16" s="2">
        <v>3.9300000000000003E-3</v>
      </c>
      <c r="AA16">
        <f t="shared" si="4"/>
        <v>89.999702000410025</v>
      </c>
      <c r="AF16">
        <f t="shared" si="5"/>
        <v>0</v>
      </c>
      <c r="AM16">
        <f t="shared" si="6"/>
        <v>0</v>
      </c>
      <c r="AT16" s="2">
        <f t="shared" si="9"/>
        <v>0</v>
      </c>
    </row>
    <row r="17" spans="1:46" x14ac:dyDescent="0.3">
      <c r="A17">
        <v>22</v>
      </c>
      <c r="E17" s="1">
        <f t="shared" si="0"/>
        <v>33.197293321449948</v>
      </c>
      <c r="F17" s="1">
        <f t="shared" si="7"/>
        <v>34.759693321449944</v>
      </c>
      <c r="G17" s="1">
        <f t="shared" si="8"/>
        <v>31.634893321449947</v>
      </c>
      <c r="H17" s="1">
        <f t="shared" si="1"/>
        <v>1.5623999999999985</v>
      </c>
      <c r="J17">
        <v>1690</v>
      </c>
      <c r="K17">
        <f t="shared" si="2"/>
        <v>1341.25</v>
      </c>
      <c r="L17">
        <f t="shared" si="3"/>
        <v>697.5</v>
      </c>
      <c r="M17" s="2">
        <v>3.232405</v>
      </c>
      <c r="N17" s="2">
        <v>2.5560000000000001E-3</v>
      </c>
      <c r="P17" s="2">
        <v>33.773608000000003</v>
      </c>
      <c r="Q17" s="2">
        <v>0.14311199999999999</v>
      </c>
      <c r="T17" s="2">
        <v>5.1795470000000003</v>
      </c>
      <c r="U17" s="2">
        <v>2.9300000000000002E-4</v>
      </c>
      <c r="W17" s="2">
        <v>6.3226319999999996</v>
      </c>
      <c r="X17" s="2">
        <v>1.379E-3</v>
      </c>
      <c r="Y17" s="2">
        <v>5.2126599999999996</v>
      </c>
      <c r="Z17" s="2">
        <v>3.777E-3</v>
      </c>
      <c r="AA17">
        <f t="shared" si="4"/>
        <v>90.231015420563651</v>
      </c>
      <c r="AF17">
        <f t="shared" si="5"/>
        <v>0</v>
      </c>
      <c r="AM17">
        <f t="shared" si="6"/>
        <v>0</v>
      </c>
      <c r="AT17" s="2">
        <f t="shared" si="9"/>
        <v>0</v>
      </c>
    </row>
    <row r="18" spans="1:46" x14ac:dyDescent="0.3">
      <c r="A18">
        <v>23</v>
      </c>
      <c r="E18" s="1">
        <f t="shared" si="0"/>
        <v>33.353768944016785</v>
      </c>
      <c r="F18" s="1">
        <f t="shared" si="7"/>
        <v>35.028168944016784</v>
      </c>
      <c r="G18" s="1">
        <f t="shared" si="8"/>
        <v>31.679368944016783</v>
      </c>
      <c r="H18" s="1">
        <f t="shared" si="1"/>
        <v>1.6744000000000003</v>
      </c>
      <c r="J18">
        <v>1790</v>
      </c>
      <c r="K18">
        <f t="shared" si="2"/>
        <v>1416.25</v>
      </c>
      <c r="L18">
        <f t="shared" si="3"/>
        <v>747.5</v>
      </c>
      <c r="M18" s="2">
        <v>3.232491</v>
      </c>
      <c r="N18" s="2">
        <v>3.0999999999999999E-3</v>
      </c>
      <c r="P18" s="2">
        <v>33.776285999999999</v>
      </c>
      <c r="Q18" s="2">
        <v>0.173566</v>
      </c>
      <c r="T18" s="2">
        <v>5.1814830000000001</v>
      </c>
      <c r="U18" s="2">
        <v>1.1900000000000001E-4</v>
      </c>
      <c r="W18" s="2">
        <v>6.330959</v>
      </c>
      <c r="X18" s="2">
        <v>1.5200000000000001E-3</v>
      </c>
      <c r="Y18" s="2">
        <v>5.2227600000000001</v>
      </c>
      <c r="Z18" s="2">
        <v>4.1700000000000001E-3</v>
      </c>
      <c r="AA18">
        <f t="shared" si="4"/>
        <v>90.644134658883175</v>
      </c>
      <c r="AF18">
        <f t="shared" si="5"/>
        <v>0</v>
      </c>
      <c r="AM18">
        <f t="shared" si="6"/>
        <v>0</v>
      </c>
      <c r="AT18" s="2">
        <f t="shared" si="9"/>
        <v>0</v>
      </c>
    </row>
    <row r="19" spans="1:46" x14ac:dyDescent="0.3">
      <c r="A19">
        <v>24</v>
      </c>
      <c r="E19" s="1">
        <f t="shared" si="0"/>
        <v>33.615308381467294</v>
      </c>
      <c r="F19" s="1">
        <f t="shared" si="7"/>
        <v>35.424108381467292</v>
      </c>
      <c r="G19" s="1">
        <f t="shared" si="8"/>
        <v>31.806508381467296</v>
      </c>
      <c r="H19" s="1">
        <f t="shared" si="1"/>
        <v>1.808799999999998</v>
      </c>
      <c r="J19">
        <v>1910</v>
      </c>
      <c r="K19">
        <f t="shared" si="2"/>
        <v>1506.25</v>
      </c>
      <c r="L19">
        <f t="shared" si="3"/>
        <v>807.5</v>
      </c>
      <c r="M19" s="2">
        <v>3.2320440000000001</v>
      </c>
      <c r="N19" s="2">
        <v>2.6570000000000001E-3</v>
      </c>
      <c r="P19" s="2">
        <v>33.762281000000002</v>
      </c>
      <c r="Q19" s="2">
        <v>0.14873500000000001</v>
      </c>
      <c r="R19" t="s">
        <v>37</v>
      </c>
      <c r="T19" s="2">
        <v>5.1834670000000003</v>
      </c>
      <c r="U19" s="2">
        <v>2.9300000000000002E-4</v>
      </c>
      <c r="W19" s="2">
        <v>6.3396990000000004</v>
      </c>
      <c r="X19" s="2">
        <v>9.810000000000001E-4</v>
      </c>
      <c r="Y19" s="2">
        <v>5.2312390000000004</v>
      </c>
      <c r="Z19" s="2">
        <v>2.6940000000000002E-3</v>
      </c>
      <c r="AA19">
        <f t="shared" si="4"/>
        <v>91.04214377183969</v>
      </c>
      <c r="AF19">
        <f t="shared" si="5"/>
        <v>0</v>
      </c>
      <c r="AM19">
        <f t="shared" si="6"/>
        <v>0</v>
      </c>
      <c r="AT19" s="2">
        <f t="shared" si="9"/>
        <v>0</v>
      </c>
    </row>
    <row r="20" spans="1:46" x14ac:dyDescent="0.3">
      <c r="A20">
        <v>25</v>
      </c>
      <c r="E20" s="1">
        <f t="shared" si="0"/>
        <v>33.792759935760415</v>
      </c>
      <c r="F20" s="1">
        <f t="shared" si="7"/>
        <v>35.735959935760413</v>
      </c>
      <c r="G20" s="1">
        <f t="shared" si="8"/>
        <v>31.849559935760414</v>
      </c>
      <c r="H20" s="1">
        <f t="shared" si="1"/>
        <v>1.9431999999999992</v>
      </c>
      <c r="J20">
        <v>2030</v>
      </c>
      <c r="K20">
        <f t="shared" si="2"/>
        <v>1596.25</v>
      </c>
      <c r="L20">
        <f t="shared" si="3"/>
        <v>867.5</v>
      </c>
      <c r="M20" s="2">
        <v>3.232224</v>
      </c>
      <c r="N20" s="2">
        <v>4.1060000000000003E-3</v>
      </c>
      <c r="P20" s="2">
        <v>33.767912000000003</v>
      </c>
      <c r="Q20" s="2">
        <v>0.229851</v>
      </c>
      <c r="R20" t="s">
        <v>36</v>
      </c>
      <c r="T20" s="2">
        <v>5.186547</v>
      </c>
      <c r="U20" s="2">
        <v>7.2400000000000003E-4</v>
      </c>
      <c r="AA20">
        <f t="shared" si="4"/>
        <v>0</v>
      </c>
      <c r="AB20">
        <v>3.1759979999999999</v>
      </c>
      <c r="AC20">
        <v>4.95E-4</v>
      </c>
      <c r="AD20">
        <v>5.2558069999999999</v>
      </c>
      <c r="AE20">
        <v>9.810000000000001E-4</v>
      </c>
      <c r="AF20">
        <f t="shared" si="5"/>
        <v>91.824902713379572</v>
      </c>
      <c r="AM20">
        <f t="shared" si="6"/>
        <v>0</v>
      </c>
      <c r="AT20" s="2">
        <f t="shared" si="9"/>
        <v>0</v>
      </c>
    </row>
    <row r="21" spans="1:46" x14ac:dyDescent="0.3">
      <c r="A21">
        <v>26</v>
      </c>
      <c r="E21" s="1" t="e">
        <f t="shared" si="0"/>
        <v>#DIV/0!</v>
      </c>
      <c r="F21" s="1" t="e">
        <f t="shared" si="7"/>
        <v>#DIV/0!</v>
      </c>
      <c r="G21" s="1" t="e">
        <f t="shared" si="8"/>
        <v>#DIV/0!</v>
      </c>
      <c r="H21" s="1" t="e">
        <f t="shared" si="1"/>
        <v>#DIV/0!</v>
      </c>
      <c r="I21" t="s">
        <v>24</v>
      </c>
      <c r="J21">
        <v>300</v>
      </c>
      <c r="K21">
        <f t="shared" si="2"/>
        <v>298.75</v>
      </c>
      <c r="L21">
        <f t="shared" si="3"/>
        <v>2.5</v>
      </c>
      <c r="AA21">
        <f t="shared" si="4"/>
        <v>0</v>
      </c>
      <c r="AF21">
        <f t="shared" si="5"/>
        <v>0</v>
      </c>
      <c r="AM21">
        <f t="shared" si="6"/>
        <v>0</v>
      </c>
      <c r="AT21" s="2">
        <f t="shared" si="9"/>
        <v>0</v>
      </c>
    </row>
    <row r="22" spans="1:46" x14ac:dyDescent="0.3">
      <c r="A22">
        <v>27</v>
      </c>
      <c r="E22" s="1">
        <f t="shared" si="0"/>
        <v>30.372045556655021</v>
      </c>
      <c r="F22" s="1">
        <f t="shared" si="7"/>
        <v>30.377645556655022</v>
      </c>
      <c r="G22" s="1">
        <f t="shared" si="8"/>
        <v>30.36644555665502</v>
      </c>
      <c r="H22" s="1">
        <f t="shared" si="1"/>
        <v>5.6000000000011596E-3</v>
      </c>
      <c r="J22">
        <v>300</v>
      </c>
      <c r="K22">
        <f t="shared" si="2"/>
        <v>298.75</v>
      </c>
      <c r="L22">
        <f t="shared" si="3"/>
        <v>2.5</v>
      </c>
      <c r="M22" s="2">
        <v>3.2360859999999998</v>
      </c>
      <c r="N22" s="2">
        <v>2.114E-3</v>
      </c>
      <c r="P22" s="2">
        <v>33.889105999999998</v>
      </c>
      <c r="Q22" s="2">
        <v>0.118488</v>
      </c>
      <c r="AA22">
        <f t="shared" si="4"/>
        <v>0</v>
      </c>
      <c r="AF22">
        <f t="shared" si="5"/>
        <v>0</v>
      </c>
      <c r="AM22">
        <f t="shared" si="6"/>
        <v>0</v>
      </c>
      <c r="AT22" s="2">
        <f t="shared" si="9"/>
        <v>0</v>
      </c>
    </row>
    <row r="23" spans="1:46" x14ac:dyDescent="0.3">
      <c r="A23">
        <v>28</v>
      </c>
      <c r="D23">
        <v>50</v>
      </c>
      <c r="E23" s="1">
        <f t="shared" si="0"/>
        <v>42.117485575764412</v>
      </c>
      <c r="F23" s="1">
        <f t="shared" si="7"/>
        <v>42.123085575764414</v>
      </c>
      <c r="G23" s="1">
        <f t="shared" si="8"/>
        <v>42.111885575764411</v>
      </c>
      <c r="H23" s="1">
        <f t="shared" si="1"/>
        <v>5.6000000000011596E-3</v>
      </c>
      <c r="J23">
        <v>300</v>
      </c>
      <c r="K23">
        <f t="shared" si="2"/>
        <v>298.75</v>
      </c>
      <c r="L23">
        <f t="shared" si="3"/>
        <v>2.5</v>
      </c>
      <c r="M23" s="2">
        <v>3.159103</v>
      </c>
      <c r="N23" s="2">
        <v>4.3810000000000003E-3</v>
      </c>
      <c r="P23" s="2">
        <v>31.527646000000001</v>
      </c>
      <c r="Q23" s="2">
        <v>0.239736</v>
      </c>
      <c r="AA23">
        <f t="shared" si="4"/>
        <v>0</v>
      </c>
      <c r="AF23">
        <f t="shared" si="5"/>
        <v>0</v>
      </c>
      <c r="AM23">
        <f t="shared" si="6"/>
        <v>0</v>
      </c>
      <c r="AT23" s="2">
        <f t="shared" si="9"/>
        <v>0</v>
      </c>
    </row>
    <row r="24" spans="1:46" x14ac:dyDescent="0.3">
      <c r="A24">
        <v>29</v>
      </c>
      <c r="E24" s="1">
        <f t="shared" si="0"/>
        <v>41.417887420957648</v>
      </c>
      <c r="F24" s="1">
        <f t="shared" si="7"/>
        <v>42.453887420957649</v>
      </c>
      <c r="G24" s="1">
        <f t="shared" si="8"/>
        <v>40.381887420957646</v>
      </c>
      <c r="H24" s="1">
        <f t="shared" si="1"/>
        <v>1.0360000000000014</v>
      </c>
      <c r="J24">
        <v>1220</v>
      </c>
      <c r="K24">
        <f t="shared" si="2"/>
        <v>988.75</v>
      </c>
      <c r="L24">
        <f t="shared" si="3"/>
        <v>462.5</v>
      </c>
      <c r="M24" s="2">
        <v>3.172256</v>
      </c>
      <c r="N24" s="2">
        <v>1.691E-3</v>
      </c>
      <c r="P24" s="2">
        <v>31.923071</v>
      </c>
      <c r="Q24" s="2">
        <v>9.2926999999999996E-2</v>
      </c>
      <c r="S24" t="s">
        <v>88</v>
      </c>
      <c r="T24" s="2">
        <v>5.1176919999999999</v>
      </c>
      <c r="U24" s="2">
        <v>2.7700000000000001E-4</v>
      </c>
      <c r="Y24" s="4"/>
      <c r="AA24">
        <f t="shared" si="4"/>
        <v>0</v>
      </c>
      <c r="AF24">
        <f t="shared" si="5"/>
        <v>0</v>
      </c>
      <c r="AG24" s="2">
        <v>5.0998289999999997</v>
      </c>
      <c r="AH24" s="2">
        <v>8.7209999999999996E-3</v>
      </c>
      <c r="AI24" s="2">
        <v>3.1208670000000001</v>
      </c>
      <c r="AJ24" s="2">
        <v>2.728E-3</v>
      </c>
      <c r="AK24" s="2">
        <v>5.3572040000000003</v>
      </c>
      <c r="AL24" s="2">
        <v>4.7000000000000002E-3</v>
      </c>
      <c r="AM24">
        <f t="shared" si="6"/>
        <v>85.264659027205738</v>
      </c>
      <c r="AT24" s="2">
        <f t="shared" si="9"/>
        <v>0</v>
      </c>
    </row>
    <row r="25" spans="1:46" x14ac:dyDescent="0.3">
      <c r="A25">
        <v>30</v>
      </c>
      <c r="E25" s="1">
        <f t="shared" si="0"/>
        <v>41.105316467407079</v>
      </c>
      <c r="F25" s="1">
        <f t="shared" si="7"/>
        <v>42.264516467407077</v>
      </c>
      <c r="G25" s="1">
        <f t="shared" si="8"/>
        <v>39.946116467407073</v>
      </c>
      <c r="H25" s="1">
        <f t="shared" si="1"/>
        <v>1.159200000000002</v>
      </c>
      <c r="J25">
        <v>1330</v>
      </c>
      <c r="K25">
        <f t="shared" si="2"/>
        <v>1071.25</v>
      </c>
      <c r="L25">
        <f t="shared" si="3"/>
        <v>517.5</v>
      </c>
      <c r="M25" s="2">
        <v>3.1752560000000001</v>
      </c>
      <c r="N25" s="2">
        <v>9.0600000000000001E-4</v>
      </c>
      <c r="P25" s="2">
        <v>32.013736999999999</v>
      </c>
      <c r="Q25" s="2">
        <v>9.1061000000000003E-2</v>
      </c>
      <c r="R25" t="s">
        <v>44</v>
      </c>
      <c r="S25" t="s">
        <v>88</v>
      </c>
      <c r="T25" s="2">
        <v>5.1179629999999996</v>
      </c>
      <c r="U25" s="2">
        <v>1.9799999999999999E-4</v>
      </c>
      <c r="AA25">
        <f t="shared" si="4"/>
        <v>0</v>
      </c>
      <c r="AF25">
        <f t="shared" si="5"/>
        <v>0</v>
      </c>
      <c r="AG25" s="2">
        <v>5.1123969999999996</v>
      </c>
      <c r="AH25" s="2">
        <v>8.2830000000000004E-3</v>
      </c>
      <c r="AI25" s="2">
        <v>3.1056590000000002</v>
      </c>
      <c r="AJ25" s="2">
        <v>2.5479999999999999E-3</v>
      </c>
      <c r="AK25" s="2">
        <v>5.3702740000000002</v>
      </c>
      <c r="AL25" s="2">
        <v>4.463E-3</v>
      </c>
      <c r="AM25">
        <f t="shared" si="6"/>
        <v>85.265783019446275</v>
      </c>
      <c r="AT25" s="2">
        <f t="shared" si="9"/>
        <v>0</v>
      </c>
    </row>
    <row r="26" spans="1:46" x14ac:dyDescent="0.3">
      <c r="A26">
        <v>31</v>
      </c>
      <c r="E26" s="1">
        <f t="shared" si="0"/>
        <v>41.440413777184496</v>
      </c>
      <c r="F26" s="1">
        <f t="shared" si="7"/>
        <v>42.700413777184494</v>
      </c>
      <c r="G26" s="1">
        <f t="shared" si="8"/>
        <v>40.180413777184498</v>
      </c>
      <c r="H26" s="1">
        <f t="shared" ref="H26" si="10">(F26-G26)/2</f>
        <v>1.259999999999998</v>
      </c>
      <c r="J26">
        <v>1420</v>
      </c>
      <c r="K26">
        <f t="shared" si="2"/>
        <v>1138.75</v>
      </c>
      <c r="L26">
        <f t="shared" si="3"/>
        <v>562.5</v>
      </c>
      <c r="M26" s="2">
        <v>3.1741429999999999</v>
      </c>
      <c r="N26" s="2">
        <v>1.6559999999999999E-3</v>
      </c>
      <c r="P26" s="2">
        <v>31.980079</v>
      </c>
      <c r="Q26" s="2">
        <v>9.1061000000000003E-2</v>
      </c>
      <c r="R26" t="s">
        <v>45</v>
      </c>
      <c r="S26" t="s">
        <v>88</v>
      </c>
      <c r="T26" s="2">
        <v>5.1196970000000004</v>
      </c>
      <c r="U26" s="2">
        <v>2.5700000000000001E-4</v>
      </c>
      <c r="W26" s="2">
        <v>6.2130460000000003</v>
      </c>
      <c r="X26" s="2">
        <v>4.2069999999999998E-3</v>
      </c>
      <c r="Y26" s="2">
        <v>5.1163540000000003</v>
      </c>
      <c r="Z26" s="2">
        <v>9.9539999999999993E-3</v>
      </c>
      <c r="AA26">
        <f t="shared" si="4"/>
        <v>85.520525288811129</v>
      </c>
      <c r="AF26">
        <f t="shared" si="5"/>
        <v>0</v>
      </c>
      <c r="AM26">
        <f t="shared" si="6"/>
        <v>0</v>
      </c>
      <c r="AT26" s="2">
        <f t="shared" si="9"/>
        <v>0</v>
      </c>
    </row>
    <row r="27" spans="1:46" x14ac:dyDescent="0.3">
      <c r="A27">
        <v>32</v>
      </c>
      <c r="E27" s="1">
        <f t="shared" si="0"/>
        <v>41.442027572893899</v>
      </c>
      <c r="F27" s="1">
        <f t="shared" si="7"/>
        <v>42.802827572893897</v>
      </c>
      <c r="G27" s="1">
        <f t="shared" si="8"/>
        <v>40.081227572893894</v>
      </c>
      <c r="H27" s="1">
        <f t="shared" si="1"/>
        <v>1.3608000000000011</v>
      </c>
      <c r="J27">
        <v>1510</v>
      </c>
      <c r="K27">
        <f t="shared" si="2"/>
        <v>1206.25</v>
      </c>
      <c r="L27">
        <f t="shared" si="3"/>
        <v>607.5</v>
      </c>
      <c r="M27" s="2">
        <v>3.1750479999999999</v>
      </c>
      <c r="N27" s="2">
        <v>2.957E-3</v>
      </c>
      <c r="P27" s="2">
        <v>32.007438</v>
      </c>
      <c r="Q27" s="2">
        <v>0.16263900000000001</v>
      </c>
      <c r="R27" t="s">
        <v>37</v>
      </c>
      <c r="S27" t="s">
        <v>88</v>
      </c>
      <c r="T27" s="2">
        <v>5.1230719999999996</v>
      </c>
      <c r="U27" s="2">
        <v>1.35E-4</v>
      </c>
      <c r="W27" s="2">
        <v>6.2208800000000002</v>
      </c>
      <c r="X27" s="2">
        <v>1.317E-3</v>
      </c>
      <c r="Y27" s="2">
        <v>5.1236179999999996</v>
      </c>
      <c r="Z27" s="2">
        <v>3.5969999999999999E-3</v>
      </c>
      <c r="AA27">
        <f t="shared" si="4"/>
        <v>85.858051191440509</v>
      </c>
      <c r="AF27">
        <f t="shared" si="5"/>
        <v>0</v>
      </c>
      <c r="AM27">
        <f t="shared" si="6"/>
        <v>0</v>
      </c>
      <c r="AT27" s="2">
        <f t="shared" si="9"/>
        <v>0</v>
      </c>
    </row>
    <row r="28" spans="1:46" x14ac:dyDescent="0.3">
      <c r="A28">
        <v>33</v>
      </c>
      <c r="E28" s="1">
        <f t="shared" si="0"/>
        <v>40.587094833796826</v>
      </c>
      <c r="F28" s="1">
        <f t="shared" si="7"/>
        <v>42.026294833796825</v>
      </c>
      <c r="G28" s="1">
        <f t="shared" si="8"/>
        <v>39.147894833796826</v>
      </c>
      <c r="H28" s="1">
        <f t="shared" si="1"/>
        <v>1.4391999999999996</v>
      </c>
      <c r="J28">
        <v>1580</v>
      </c>
      <c r="K28">
        <f t="shared" si="2"/>
        <v>1258.75</v>
      </c>
      <c r="L28">
        <f t="shared" si="3"/>
        <v>642.5</v>
      </c>
      <c r="M28" s="2">
        <v>3.1810049999999999</v>
      </c>
      <c r="N28" s="2">
        <v>1.6199999999999999E-3</v>
      </c>
      <c r="P28" s="2">
        <v>32.187930000000001</v>
      </c>
      <c r="Q28" s="2">
        <v>8.9243000000000003E-2</v>
      </c>
      <c r="S28" t="s">
        <v>88</v>
      </c>
      <c r="T28" s="2">
        <v>5.125381</v>
      </c>
      <c r="U28" s="2">
        <v>1.2999999999999999E-4</v>
      </c>
      <c r="W28" s="2">
        <v>6.2255630000000002</v>
      </c>
      <c r="X28" s="2">
        <v>6.3100000000000005E-4</v>
      </c>
      <c r="Y28" s="2">
        <v>5.1307809999999998</v>
      </c>
      <c r="Z28" s="2">
        <v>1.7279999999999999E-3</v>
      </c>
      <c r="AA28">
        <f t="shared" si="4"/>
        <v>86.107578954342287</v>
      </c>
      <c r="AF28">
        <f t="shared" si="5"/>
        <v>0</v>
      </c>
      <c r="AM28">
        <f t="shared" si="6"/>
        <v>0</v>
      </c>
      <c r="AT28" s="2">
        <f t="shared" si="9"/>
        <v>0</v>
      </c>
    </row>
    <row r="29" spans="1:46" x14ac:dyDescent="0.3">
      <c r="A29">
        <v>34</v>
      </c>
      <c r="E29" s="1">
        <f t="shared" si="0"/>
        <v>40.928056980117574</v>
      </c>
      <c r="F29" s="1">
        <f t="shared" si="7"/>
        <v>42.434456980117574</v>
      </c>
      <c r="G29" s="1">
        <f t="shared" si="8"/>
        <v>39.421656980117575</v>
      </c>
      <c r="H29" s="1">
        <f t="shared" si="1"/>
        <v>1.5063999999999993</v>
      </c>
      <c r="J29">
        <v>1640</v>
      </c>
      <c r="K29">
        <f t="shared" si="2"/>
        <v>1303.75</v>
      </c>
      <c r="L29">
        <f t="shared" si="3"/>
        <v>672.5</v>
      </c>
      <c r="M29" s="2">
        <v>3.179522</v>
      </c>
      <c r="N29" s="2">
        <v>2.5270000000000002E-3</v>
      </c>
      <c r="P29" s="2">
        <v>32.142944999999997</v>
      </c>
      <c r="Q29" s="2">
        <v>0.13916000000000001</v>
      </c>
      <c r="S29" t="s">
        <v>88</v>
      </c>
      <c r="T29" s="2">
        <v>5.127243</v>
      </c>
      <c r="U29" s="2">
        <v>1.95E-4</v>
      </c>
      <c r="W29" s="2">
        <v>6.2289289999999999</v>
      </c>
      <c r="X29" s="2">
        <v>1.1709999999999999E-3</v>
      </c>
      <c r="Y29" s="2">
        <v>5.1409739999999999</v>
      </c>
      <c r="Z29" s="2">
        <v>3.2169999999999998E-3</v>
      </c>
      <c r="AA29">
        <f t="shared" si="4"/>
        <v>86.371965926067546</v>
      </c>
      <c r="AF29">
        <f t="shared" si="5"/>
        <v>0</v>
      </c>
      <c r="AM29">
        <f t="shared" si="6"/>
        <v>0</v>
      </c>
      <c r="AT29" s="2">
        <f t="shared" si="9"/>
        <v>0</v>
      </c>
    </row>
    <row r="30" spans="1:46" s="8" customFormat="1" x14ac:dyDescent="0.3">
      <c r="A30" s="8">
        <v>35</v>
      </c>
      <c r="E30" s="9">
        <f t="shared" ref="E30:E92" si="11" xml:space="preserve"> 3*$AR$2*(($AQ$2/(M30^3))^(2/3))*(1-($AQ$2/(M30^3))^(-1/3))*EXP((3/2)*($AS$2-1)*(1-($AQ$2/(M30^3))^(-1/3))) + $AT$2*(K30-300)</f>
        <v>41.242457925995616</v>
      </c>
      <c r="F30" s="9">
        <f t="shared" si="7"/>
        <v>42.87205792599562</v>
      </c>
      <c r="G30" s="9">
        <f t="shared" si="8"/>
        <v>39.61285792599562</v>
      </c>
      <c r="H30" s="9">
        <f t="shared" si="1"/>
        <v>1.6295999999999999</v>
      </c>
      <c r="J30" s="8">
        <v>1750</v>
      </c>
      <c r="K30" s="8">
        <f t="shared" si="2"/>
        <v>1386.25</v>
      </c>
      <c r="L30" s="8">
        <f t="shared" si="3"/>
        <v>727.5</v>
      </c>
      <c r="M30" s="10">
        <v>3.178725</v>
      </c>
      <c r="N30" s="10">
        <v>2.1649999999999998E-3</v>
      </c>
      <c r="O30" s="10"/>
      <c r="P30" s="10">
        <v>32.118777999999999</v>
      </c>
      <c r="Q30" s="10">
        <v>0.119218</v>
      </c>
      <c r="R30" s="8" t="s">
        <v>89</v>
      </c>
      <c r="T30" s="10">
        <v>5.1292669999999996</v>
      </c>
      <c r="U30" s="10">
        <v>2.24E-4</v>
      </c>
      <c r="V30" s="10"/>
      <c r="W30" s="10">
        <v>6.2348439999999998</v>
      </c>
      <c r="X30" s="10">
        <v>2.065E-3</v>
      </c>
      <c r="Y30" s="10">
        <v>5.1421570000000001</v>
      </c>
      <c r="Z30" s="10">
        <v>6.051E-3</v>
      </c>
      <c r="AA30" s="8">
        <f t="shared" si="4"/>
        <v>86.555994693299567</v>
      </c>
      <c r="AF30" s="8">
        <f t="shared" si="5"/>
        <v>0</v>
      </c>
      <c r="AG30" s="10"/>
      <c r="AH30" s="10"/>
      <c r="AI30" s="10"/>
      <c r="AJ30" s="10"/>
      <c r="AK30" s="10"/>
      <c r="AL30" s="10"/>
      <c r="AM30" s="8">
        <f t="shared" si="6"/>
        <v>0</v>
      </c>
      <c r="AN30" s="10"/>
      <c r="AO30" s="10"/>
      <c r="AP30" s="10"/>
      <c r="AQ30" s="10"/>
      <c r="AR30" s="10"/>
      <c r="AS30" s="10"/>
      <c r="AT30" s="10">
        <f t="shared" si="9"/>
        <v>0</v>
      </c>
    </row>
    <row r="31" spans="1:46" s="8" customFormat="1" x14ac:dyDescent="0.3">
      <c r="A31" s="8">
        <v>36</v>
      </c>
      <c r="E31" s="9">
        <f t="shared" si="11"/>
        <v>41.417608138393504</v>
      </c>
      <c r="F31" s="9">
        <f t="shared" si="7"/>
        <v>43.204008138393505</v>
      </c>
      <c r="G31" s="9">
        <f t="shared" si="8"/>
        <v>39.631208138393504</v>
      </c>
      <c r="H31" s="9">
        <f t="shared" si="1"/>
        <v>1.7864000000000004</v>
      </c>
      <c r="J31" s="8">
        <v>1890</v>
      </c>
      <c r="K31" s="8">
        <f t="shared" si="2"/>
        <v>1491.25</v>
      </c>
      <c r="L31" s="8">
        <f t="shared" si="3"/>
        <v>797.5</v>
      </c>
      <c r="M31" s="10">
        <v>3.1790940000000001</v>
      </c>
      <c r="N31" s="10">
        <v>3.5149999999999999E-3</v>
      </c>
      <c r="O31" s="10"/>
      <c r="P31" s="10">
        <v>32.129956</v>
      </c>
      <c r="Q31" s="10">
        <v>0.19354199999999999</v>
      </c>
      <c r="R31" s="8" t="s">
        <v>89</v>
      </c>
      <c r="T31" s="10">
        <v>5.1324490000000003</v>
      </c>
      <c r="U31" s="10">
        <v>5.4000000000000001E-4</v>
      </c>
      <c r="V31" s="10"/>
      <c r="W31" s="10">
        <v>6.2414639999999997</v>
      </c>
      <c r="X31" s="10">
        <v>2.611E-3</v>
      </c>
      <c r="Y31" s="10">
        <v>5.1497630000000001</v>
      </c>
      <c r="Z31" s="10">
        <v>7.6600000000000001E-3</v>
      </c>
      <c r="AA31" s="8">
        <f t="shared" si="4"/>
        <v>86.868199172093924</v>
      </c>
      <c r="AF31" s="8">
        <f t="shared" si="5"/>
        <v>0</v>
      </c>
      <c r="AG31" s="10"/>
      <c r="AH31" s="10"/>
      <c r="AI31" s="10"/>
      <c r="AJ31" s="10"/>
      <c r="AK31" s="10"/>
      <c r="AL31" s="10"/>
      <c r="AM31" s="8">
        <f t="shared" si="6"/>
        <v>0</v>
      </c>
      <c r="AN31" s="10"/>
      <c r="AO31" s="10"/>
      <c r="AP31" s="10"/>
      <c r="AQ31" s="10"/>
      <c r="AR31" s="10"/>
      <c r="AS31" s="10"/>
      <c r="AT31" s="10">
        <f t="shared" si="9"/>
        <v>0</v>
      </c>
    </row>
    <row r="32" spans="1:46" s="8" customFormat="1" x14ac:dyDescent="0.3">
      <c r="A32" s="8">
        <v>37</v>
      </c>
      <c r="E32" s="9">
        <f t="shared" si="11"/>
        <v>41.930233176031024</v>
      </c>
      <c r="F32" s="9">
        <f t="shared" si="7"/>
        <v>43.806233176031029</v>
      </c>
      <c r="G32" s="9">
        <f t="shared" si="8"/>
        <v>40.054233176031026</v>
      </c>
      <c r="H32" s="9">
        <f t="shared" si="1"/>
        <v>1.8760000000000012</v>
      </c>
      <c r="J32" s="8">
        <v>1970</v>
      </c>
      <c r="K32" s="8">
        <f t="shared" si="2"/>
        <v>1551.25</v>
      </c>
      <c r="L32" s="8">
        <f t="shared" si="3"/>
        <v>837.5</v>
      </c>
      <c r="M32" s="10">
        <v>3.1767780000000001</v>
      </c>
      <c r="N32" s="10">
        <v>1.7260000000000001E-3</v>
      </c>
      <c r="O32" s="10"/>
      <c r="P32" s="10">
        <v>32.059780000000003</v>
      </c>
      <c r="Q32" s="10">
        <v>9.4969999999999999E-2</v>
      </c>
      <c r="R32" s="8" t="s">
        <v>89</v>
      </c>
      <c r="T32" s="10">
        <v>5.1347560000000003</v>
      </c>
      <c r="U32" s="10">
        <v>1.0579999999999999E-3</v>
      </c>
      <c r="V32" s="10"/>
      <c r="W32" s="10">
        <v>6.2445700000000004</v>
      </c>
      <c r="X32" s="10">
        <v>3.7139999999999999E-3</v>
      </c>
      <c r="Y32" s="10">
        <v>5.1643549999999996</v>
      </c>
      <c r="Z32" s="10">
        <v>1.0260999999999999E-2</v>
      </c>
      <c r="AA32" s="8">
        <f t="shared" si="4"/>
        <v>87.201067362897291</v>
      </c>
      <c r="AF32" s="8">
        <f t="shared" si="5"/>
        <v>0</v>
      </c>
      <c r="AG32" s="10"/>
      <c r="AH32" s="10"/>
      <c r="AI32" s="10"/>
      <c r="AJ32" s="10"/>
      <c r="AK32" s="10"/>
      <c r="AL32" s="10"/>
      <c r="AM32" s="8">
        <f t="shared" si="6"/>
        <v>0</v>
      </c>
      <c r="AN32" s="10"/>
      <c r="AO32" s="10"/>
      <c r="AP32" s="10"/>
      <c r="AQ32" s="10"/>
      <c r="AR32" s="10"/>
      <c r="AS32" s="10"/>
      <c r="AT32" s="10">
        <f t="shared" si="9"/>
        <v>0</v>
      </c>
    </row>
    <row r="33" spans="1:46" s="8" customFormat="1" x14ac:dyDescent="0.3">
      <c r="A33" s="8">
        <v>38</v>
      </c>
      <c r="E33" s="9">
        <f t="shared" si="11"/>
        <v>41.724479215794858</v>
      </c>
      <c r="F33" s="9">
        <f t="shared" si="7"/>
        <v>43.69007921579486</v>
      </c>
      <c r="G33" s="9">
        <f t="shared" si="8"/>
        <v>39.758879215794863</v>
      </c>
      <c r="H33" s="9">
        <f t="shared" si="1"/>
        <v>1.9655999999999985</v>
      </c>
      <c r="J33" s="8">
        <v>2050</v>
      </c>
      <c r="K33" s="8">
        <f t="shared" si="2"/>
        <v>1611.25</v>
      </c>
      <c r="L33" s="8">
        <f t="shared" si="3"/>
        <v>877.5</v>
      </c>
      <c r="M33" s="10">
        <v>3.1788599999999998</v>
      </c>
      <c r="N33" s="10">
        <v>3.3170000000000001E-3</v>
      </c>
      <c r="O33" s="10"/>
      <c r="P33" s="10">
        <v>32.122866000000002</v>
      </c>
      <c r="Q33" s="10">
        <v>0.182614</v>
      </c>
      <c r="R33" s="8" t="s">
        <v>89</v>
      </c>
      <c r="T33" s="10">
        <v>5.1367589999999996</v>
      </c>
      <c r="U33" s="10">
        <v>9.859999999999999E-4</v>
      </c>
      <c r="V33" s="10"/>
      <c r="W33" s="10">
        <v>6.25</v>
      </c>
      <c r="X33" s="10">
        <v>3.496E-3</v>
      </c>
      <c r="Y33" s="10">
        <v>5.17225</v>
      </c>
      <c r="Z33" s="10">
        <v>9.6790000000000001E-3</v>
      </c>
      <c r="AA33" s="8">
        <f t="shared" si="4"/>
        <v>87.486326068829371</v>
      </c>
      <c r="AF33" s="8">
        <f t="shared" si="5"/>
        <v>0</v>
      </c>
      <c r="AG33" s="10"/>
      <c r="AH33" s="10"/>
      <c r="AI33" s="10"/>
      <c r="AJ33" s="10"/>
      <c r="AK33" s="10"/>
      <c r="AL33" s="10"/>
      <c r="AM33" s="8">
        <f t="shared" si="6"/>
        <v>0</v>
      </c>
      <c r="AN33" s="10"/>
      <c r="AO33" s="10"/>
      <c r="AP33" s="10"/>
      <c r="AQ33" s="10"/>
      <c r="AR33" s="10"/>
      <c r="AS33" s="10"/>
      <c r="AT33" s="10">
        <f t="shared" si="9"/>
        <v>0</v>
      </c>
    </row>
    <row r="34" spans="1:46" x14ac:dyDescent="0.3">
      <c r="A34">
        <v>39</v>
      </c>
      <c r="E34" s="1">
        <f t="shared" si="11"/>
        <v>43.659105618618121</v>
      </c>
      <c r="F34" s="1">
        <f t="shared" si="7"/>
        <v>43.664705618618122</v>
      </c>
      <c r="G34" s="1">
        <f t="shared" si="8"/>
        <v>43.653505618618119</v>
      </c>
      <c r="H34" s="1">
        <f t="shared" si="1"/>
        <v>5.6000000000011596E-3</v>
      </c>
      <c r="J34">
        <v>300</v>
      </c>
      <c r="K34">
        <f t="shared" si="2"/>
        <v>298.75</v>
      </c>
      <c r="L34">
        <f t="shared" si="3"/>
        <v>2.5</v>
      </c>
      <c r="M34" s="2">
        <v>3.1504189999999999</v>
      </c>
      <c r="N34" s="2">
        <v>9.8799999999999995E-4</v>
      </c>
      <c r="P34" s="2">
        <v>31.268343000000002</v>
      </c>
      <c r="Q34" s="2">
        <v>5.3929999999999999E-2</v>
      </c>
      <c r="T34" s="2">
        <v>5.0970199999999997</v>
      </c>
      <c r="AA34">
        <f t="shared" si="4"/>
        <v>0</v>
      </c>
      <c r="AF34">
        <f t="shared" si="5"/>
        <v>0</v>
      </c>
      <c r="AM34">
        <f t="shared" si="6"/>
        <v>0</v>
      </c>
      <c r="AT34" s="2">
        <f t="shared" si="9"/>
        <v>0</v>
      </c>
    </row>
    <row r="35" spans="1:46" x14ac:dyDescent="0.3">
      <c r="A35">
        <v>40</v>
      </c>
      <c r="E35" s="1">
        <f t="shared" si="11"/>
        <v>43.485949897341307</v>
      </c>
      <c r="F35" s="1">
        <f t="shared" si="7"/>
        <v>43.491549897341308</v>
      </c>
      <c r="G35" s="1">
        <f t="shared" si="8"/>
        <v>43.480349897341306</v>
      </c>
      <c r="H35" s="1">
        <f t="shared" si="1"/>
        <v>5.6000000000011596E-3</v>
      </c>
      <c r="J35">
        <v>300</v>
      </c>
      <c r="K35">
        <f t="shared" si="2"/>
        <v>298.75</v>
      </c>
      <c r="L35">
        <f t="shared" si="3"/>
        <v>2.5</v>
      </c>
      <c r="M35" s="2">
        <v>3.1513810000000002</v>
      </c>
      <c r="N35" s="2">
        <v>1.4450000000000001E-3</v>
      </c>
      <c r="P35" s="2">
        <v>31.296991999999999</v>
      </c>
      <c r="Q35" s="2">
        <v>5.8173999999999997E-2</v>
      </c>
      <c r="T35" s="2">
        <v>5.10466</v>
      </c>
      <c r="AA35">
        <f t="shared" si="4"/>
        <v>0</v>
      </c>
      <c r="AF35">
        <f t="shared" si="5"/>
        <v>0</v>
      </c>
      <c r="AM35">
        <f t="shared" si="6"/>
        <v>0</v>
      </c>
      <c r="AT35" s="2">
        <f t="shared" si="9"/>
        <v>0</v>
      </c>
    </row>
    <row r="36" spans="1:46" x14ac:dyDescent="0.3">
      <c r="A36">
        <v>41</v>
      </c>
      <c r="D36">
        <v>53</v>
      </c>
      <c r="E36" s="1">
        <f t="shared" si="11"/>
        <v>42.45649075935733</v>
      </c>
      <c r="F36" s="1">
        <f t="shared" si="7"/>
        <v>42.462090759357331</v>
      </c>
      <c r="G36" s="1">
        <f t="shared" si="8"/>
        <v>42.450890759357328</v>
      </c>
      <c r="H36" s="1">
        <f t="shared" si="1"/>
        <v>5.6000000000011596E-3</v>
      </c>
      <c r="J36">
        <v>300</v>
      </c>
      <c r="K36">
        <f t="shared" si="2"/>
        <v>298.75</v>
      </c>
      <c r="L36">
        <f t="shared" si="3"/>
        <v>2.5</v>
      </c>
      <c r="M36" s="2">
        <v>3.1571699999999998</v>
      </c>
      <c r="N36" s="2">
        <v>1.683E-3</v>
      </c>
      <c r="P36" s="2">
        <v>31.469805999999998</v>
      </c>
      <c r="Q36" s="2">
        <v>9.2054999999999998E-2</v>
      </c>
      <c r="AA36">
        <f t="shared" si="4"/>
        <v>0</v>
      </c>
      <c r="AF36">
        <f t="shared" si="5"/>
        <v>0</v>
      </c>
      <c r="AM36">
        <f t="shared" si="6"/>
        <v>0</v>
      </c>
      <c r="AT36" s="2">
        <f t="shared" si="9"/>
        <v>0</v>
      </c>
    </row>
    <row r="37" spans="1:46" x14ac:dyDescent="0.3">
      <c r="A37">
        <v>42</v>
      </c>
      <c r="E37" s="1">
        <f t="shared" si="11"/>
        <v>44.405201933109694</v>
      </c>
      <c r="F37" s="1">
        <f t="shared" si="7"/>
        <v>45.474801933109688</v>
      </c>
      <c r="G37" s="1">
        <f t="shared" si="8"/>
        <v>43.335601933109693</v>
      </c>
      <c r="H37" s="1">
        <f t="shared" si="1"/>
        <v>1.0695999999999977</v>
      </c>
      <c r="J37">
        <v>1250</v>
      </c>
      <c r="K37">
        <f t="shared" si="2"/>
        <v>1011.25</v>
      </c>
      <c r="L37">
        <f t="shared" si="3"/>
        <v>477.5</v>
      </c>
      <c r="M37" s="2">
        <v>3.155173</v>
      </c>
      <c r="N37" s="2">
        <v>1.09E-3</v>
      </c>
      <c r="P37" s="2">
        <v>31.410122999999999</v>
      </c>
      <c r="Q37" s="2">
        <v>5.9546000000000002E-2</v>
      </c>
      <c r="T37" s="2">
        <v>5.102875</v>
      </c>
      <c r="U37" s="2">
        <v>5.5999999999999995E-4</v>
      </c>
      <c r="AA37">
        <f t="shared" si="4"/>
        <v>0</v>
      </c>
      <c r="AF37">
        <f t="shared" si="5"/>
        <v>0</v>
      </c>
      <c r="AG37" s="2">
        <v>5.073353</v>
      </c>
      <c r="AH37" s="2">
        <v>7.5360000000000002E-3</v>
      </c>
      <c r="AI37" s="2">
        <v>3.1169539999999998</v>
      </c>
      <c r="AJ37" s="2">
        <v>2.379E-3</v>
      </c>
      <c r="AK37" s="2">
        <v>5.3258530000000004</v>
      </c>
      <c r="AL37" s="2">
        <v>4.0559999999999997E-3</v>
      </c>
      <c r="AM37">
        <f t="shared" si="6"/>
        <v>84.219886046969179</v>
      </c>
      <c r="AT37" s="2">
        <f t="shared" si="9"/>
        <v>0</v>
      </c>
    </row>
    <row r="38" spans="1:46" x14ac:dyDescent="0.3">
      <c r="A38">
        <v>43</v>
      </c>
      <c r="E38" s="1">
        <f t="shared" si="11"/>
        <v>44.16727486653015</v>
      </c>
      <c r="F38" s="1">
        <f t="shared" si="7"/>
        <v>45.337674866530151</v>
      </c>
      <c r="G38" s="1">
        <f t="shared" si="8"/>
        <v>42.996874866530149</v>
      </c>
      <c r="H38" s="1">
        <f t="shared" si="1"/>
        <v>1.1704000000000008</v>
      </c>
      <c r="J38">
        <v>1340</v>
      </c>
      <c r="K38">
        <f t="shared" si="2"/>
        <v>1078.75</v>
      </c>
      <c r="L38">
        <f t="shared" si="3"/>
        <v>522.5</v>
      </c>
      <c r="M38" s="2">
        <v>3.1573769999999999</v>
      </c>
      <c r="N38" s="2">
        <v>1.562E-3</v>
      </c>
      <c r="P38" s="2">
        <v>31.475981999999998</v>
      </c>
      <c r="Q38" s="2">
        <v>8.5442000000000004E-2</v>
      </c>
      <c r="T38" s="2">
        <v>5.1044219999999996</v>
      </c>
      <c r="U38" s="2">
        <v>3.7199999999999999E-4</v>
      </c>
      <c r="AA38">
        <f t="shared" si="4"/>
        <v>0</v>
      </c>
      <c r="AF38">
        <f t="shared" si="5"/>
        <v>0</v>
      </c>
      <c r="AG38" s="2">
        <v>5.083075</v>
      </c>
      <c r="AH38" s="2">
        <v>8.0770000000000008E-3</v>
      </c>
      <c r="AI38" s="2">
        <v>3.1126740000000002</v>
      </c>
      <c r="AJ38" s="2">
        <v>2.3579999999999999E-3</v>
      </c>
      <c r="AK38" s="2">
        <v>5.3361039999999997</v>
      </c>
      <c r="AL38" s="2">
        <v>5.0860000000000002E-3</v>
      </c>
      <c r="AM38">
        <f t="shared" si="6"/>
        <v>84.42759945800762</v>
      </c>
      <c r="AT38" s="2">
        <f t="shared" si="9"/>
        <v>0</v>
      </c>
    </row>
    <row r="39" spans="1:46" x14ac:dyDescent="0.3">
      <c r="A39">
        <v>44</v>
      </c>
      <c r="E39" s="1">
        <f t="shared" si="11"/>
        <v>44.02144964312636</v>
      </c>
      <c r="F39" s="1">
        <f t="shared" si="7"/>
        <v>45.270249643126355</v>
      </c>
      <c r="G39" s="1">
        <f t="shared" si="8"/>
        <v>42.772649643126357</v>
      </c>
      <c r="H39" s="1">
        <f t="shared" si="1"/>
        <v>1.2487999999999992</v>
      </c>
      <c r="J39">
        <v>1410</v>
      </c>
      <c r="K39">
        <f t="shared" si="2"/>
        <v>1131.25</v>
      </c>
      <c r="L39">
        <f t="shared" si="3"/>
        <v>557.5</v>
      </c>
      <c r="M39" s="2">
        <v>3.1588790000000002</v>
      </c>
      <c r="N39" s="2">
        <v>1.286E-3</v>
      </c>
      <c r="P39" s="2">
        <v>31.520918000000002</v>
      </c>
      <c r="Q39" s="2">
        <v>7.0384000000000002E-2</v>
      </c>
      <c r="R39" t="s">
        <v>44</v>
      </c>
      <c r="T39" s="2">
        <v>5.1044460000000003</v>
      </c>
      <c r="U39" s="2">
        <v>3.0699999999999998E-4</v>
      </c>
      <c r="AA39">
        <f t="shared" si="4"/>
        <v>0</v>
      </c>
      <c r="AF39">
        <f t="shared" si="5"/>
        <v>0</v>
      </c>
      <c r="AG39" s="2">
        <v>5.0882259999999997</v>
      </c>
      <c r="AH39" s="2">
        <v>1.0659E-2</v>
      </c>
      <c r="AI39" s="2">
        <v>3.108174</v>
      </c>
      <c r="AJ39" s="2">
        <v>3.0950000000000001E-3</v>
      </c>
      <c r="AK39" s="2">
        <v>5.3437020000000004</v>
      </c>
      <c r="AL39" s="2">
        <v>6.718E-3</v>
      </c>
      <c r="AM39">
        <f t="shared" si="6"/>
        <v>84.51113746448317</v>
      </c>
      <c r="AT39" s="2">
        <f t="shared" si="9"/>
        <v>0</v>
      </c>
    </row>
    <row r="40" spans="1:46" x14ac:dyDescent="0.3">
      <c r="A40">
        <v>45</v>
      </c>
      <c r="E40" s="1">
        <f t="shared" si="11"/>
        <v>44.081404219020918</v>
      </c>
      <c r="F40" s="1">
        <f t="shared" si="7"/>
        <v>45.464604219020913</v>
      </c>
      <c r="G40" s="1">
        <f t="shared" si="8"/>
        <v>42.698204219020916</v>
      </c>
      <c r="H40" s="1">
        <f t="shared" si="1"/>
        <v>1.3831999999999987</v>
      </c>
      <c r="J40">
        <v>1530</v>
      </c>
      <c r="K40">
        <f t="shared" si="2"/>
        <v>1221.25</v>
      </c>
      <c r="L40">
        <f t="shared" si="3"/>
        <v>617.5</v>
      </c>
      <c r="M40" s="2">
        <v>3.1596899999999999</v>
      </c>
      <c r="N40" s="2">
        <v>1.289E-3</v>
      </c>
      <c r="P40" s="2">
        <v>31.545213</v>
      </c>
      <c r="Q40" s="2">
        <v>7.0564000000000002E-2</v>
      </c>
      <c r="T40" s="2">
        <v>5.1068129999999998</v>
      </c>
      <c r="U40" s="2">
        <v>4.3899999999999999E-4</v>
      </c>
      <c r="W40" s="2">
        <v>6.1999519999999997</v>
      </c>
      <c r="X40" s="2">
        <v>5.0049999999999999E-3</v>
      </c>
      <c r="Y40" s="2">
        <v>5.0918950000000001</v>
      </c>
      <c r="Z40" s="2">
        <v>1.3565000000000001E-2</v>
      </c>
      <c r="AA40">
        <f t="shared" si="4"/>
        <v>84.753322013062956</v>
      </c>
      <c r="AF40">
        <f t="shared" si="5"/>
        <v>0</v>
      </c>
      <c r="AM40">
        <f t="shared" si="6"/>
        <v>0</v>
      </c>
      <c r="AT40" s="2">
        <f t="shared" si="9"/>
        <v>0</v>
      </c>
    </row>
    <row r="41" spans="1:46" x14ac:dyDescent="0.3">
      <c r="A41">
        <v>46</v>
      </c>
      <c r="E41" s="1">
        <f t="shared" si="11"/>
        <v>43.865237544837484</v>
      </c>
      <c r="F41" s="1">
        <f t="shared" si="7"/>
        <v>45.394037544837488</v>
      </c>
      <c r="G41" s="1">
        <f t="shared" si="8"/>
        <v>42.336437544837487</v>
      </c>
      <c r="H41" s="1">
        <f t="shared" si="1"/>
        <v>1.5288000000000004</v>
      </c>
      <c r="J41">
        <v>1660</v>
      </c>
      <c r="K41">
        <f t="shared" si="2"/>
        <v>1318.75</v>
      </c>
      <c r="L41">
        <f t="shared" si="3"/>
        <v>682.5</v>
      </c>
      <c r="M41" s="2">
        <v>3.1621929999999998</v>
      </c>
      <c r="N41" s="2">
        <v>9.0799999999999995E-4</v>
      </c>
      <c r="P41" s="2">
        <v>31.620249999999999</v>
      </c>
      <c r="Q41" s="2">
        <v>4.9735000000000001E-2</v>
      </c>
      <c r="R41" t="s">
        <v>37</v>
      </c>
      <c r="T41" s="2">
        <v>5.1093840000000004</v>
      </c>
      <c r="U41" s="2">
        <v>3.5E-4</v>
      </c>
      <c r="W41" s="2">
        <v>6.2012770000000002</v>
      </c>
      <c r="X41" s="2">
        <v>1.9419999999999999E-3</v>
      </c>
      <c r="Y41" s="2">
        <v>5.113791</v>
      </c>
      <c r="Z41" s="2">
        <v>5.3229999999999996E-3</v>
      </c>
      <c r="AA41">
        <f t="shared" si="4"/>
        <v>85.154160624607087</v>
      </c>
      <c r="AF41">
        <f t="shared" si="5"/>
        <v>0</v>
      </c>
      <c r="AM41">
        <f t="shared" si="6"/>
        <v>0</v>
      </c>
      <c r="AT41" s="2">
        <f t="shared" si="9"/>
        <v>0</v>
      </c>
    </row>
    <row r="42" spans="1:46" x14ac:dyDescent="0.3">
      <c r="A42">
        <v>47</v>
      </c>
      <c r="E42" s="1">
        <f t="shared" si="11"/>
        <v>44.067471675201688</v>
      </c>
      <c r="F42" s="1">
        <f t="shared" si="7"/>
        <v>45.708271675201686</v>
      </c>
      <c r="G42" s="1">
        <f t="shared" si="8"/>
        <v>42.426671675201682</v>
      </c>
      <c r="H42" s="1">
        <f t="shared" si="1"/>
        <v>1.6408000000000023</v>
      </c>
      <c r="J42">
        <v>1760</v>
      </c>
      <c r="K42">
        <f t="shared" si="2"/>
        <v>1393.75</v>
      </c>
      <c r="L42">
        <f t="shared" si="3"/>
        <v>732.5</v>
      </c>
      <c r="M42" s="2">
        <v>3.1619950000000001</v>
      </c>
      <c r="N42" s="2">
        <v>8.4900000000000004E-4</v>
      </c>
      <c r="P42" s="2">
        <v>31.614294999999998</v>
      </c>
      <c r="Q42" s="2">
        <v>4.648E-2</v>
      </c>
      <c r="T42" s="2">
        <v>5.1111690000000003</v>
      </c>
      <c r="U42" s="2">
        <v>3.3500000000000001E-4</v>
      </c>
      <c r="W42" s="2">
        <v>6.2054729999999996</v>
      </c>
      <c r="X42" s="2">
        <v>1.537E-3</v>
      </c>
      <c r="Y42" s="2">
        <v>5.1214789999999999</v>
      </c>
      <c r="Z42" s="2">
        <v>4.1079999999999997E-3</v>
      </c>
      <c r="AA42">
        <f t="shared" si="4"/>
        <v>85.3976289994811</v>
      </c>
      <c r="AF42">
        <f t="shared" si="5"/>
        <v>0</v>
      </c>
      <c r="AM42">
        <f t="shared" si="6"/>
        <v>0</v>
      </c>
      <c r="AT42" s="2">
        <f t="shared" si="9"/>
        <v>0</v>
      </c>
    </row>
    <row r="43" spans="1:46" x14ac:dyDescent="0.3">
      <c r="A43">
        <v>48</v>
      </c>
      <c r="E43" s="1">
        <f t="shared" si="11"/>
        <v>44.219017598888748</v>
      </c>
      <c r="F43" s="1">
        <f t="shared" si="7"/>
        <v>45.960617598888746</v>
      </c>
      <c r="G43" s="1">
        <f t="shared" si="8"/>
        <v>42.477417598888749</v>
      </c>
      <c r="H43" s="1">
        <f t="shared" si="1"/>
        <v>1.7415999999999983</v>
      </c>
      <c r="J43">
        <v>1850</v>
      </c>
      <c r="K43">
        <f t="shared" si="2"/>
        <v>1461.25</v>
      </c>
      <c r="L43">
        <f t="shared" si="3"/>
        <v>777.5</v>
      </c>
      <c r="M43" s="2">
        <v>3.1619929999999998</v>
      </c>
      <c r="N43" s="2">
        <v>3.1619929999999998</v>
      </c>
      <c r="P43" s="2">
        <v>31.614243999999999</v>
      </c>
      <c r="Q43" s="2">
        <v>4.6561999999999999E-2</v>
      </c>
      <c r="T43" s="2">
        <v>5.1132</v>
      </c>
      <c r="U43" s="2">
        <v>5.2499999999999997E-4</v>
      </c>
      <c r="W43" s="2">
        <v>6.2082689999999996</v>
      </c>
      <c r="X43" s="2">
        <v>1.031E-3</v>
      </c>
      <c r="Y43" s="2">
        <v>5.1376629999999999</v>
      </c>
      <c r="Z43" s="2">
        <v>2.7750000000000001E-3</v>
      </c>
      <c r="AA43">
        <f t="shared" si="4"/>
        <v>85.744703406367137</v>
      </c>
      <c r="AF43">
        <f t="shared" si="5"/>
        <v>0</v>
      </c>
      <c r="AM43">
        <f t="shared" si="6"/>
        <v>0</v>
      </c>
      <c r="AT43" s="2">
        <f t="shared" si="9"/>
        <v>0</v>
      </c>
    </row>
    <row r="44" spans="1:46" x14ac:dyDescent="0.3">
      <c r="A44">
        <v>49</v>
      </c>
      <c r="E44" s="1">
        <f t="shared" si="11"/>
        <v>44.203081070852704</v>
      </c>
      <c r="F44" s="1">
        <f t="shared" si="7"/>
        <v>46.045481070852702</v>
      </c>
      <c r="G44" s="1">
        <f t="shared" si="8"/>
        <v>42.360681070852699</v>
      </c>
      <c r="H44" s="1">
        <f t="shared" si="1"/>
        <v>1.8424000000000014</v>
      </c>
      <c r="J44">
        <v>1940</v>
      </c>
      <c r="K44">
        <f t="shared" si="2"/>
        <v>1528.75</v>
      </c>
      <c r="L44">
        <f t="shared" si="3"/>
        <v>822.5</v>
      </c>
      <c r="M44" s="2">
        <v>3.1629610000000001</v>
      </c>
      <c r="N44" s="2">
        <v>6.96E-4</v>
      </c>
      <c r="P44" s="2">
        <v>31.643287999999998</v>
      </c>
      <c r="Q44" s="2">
        <v>3.8124999999999999E-2</v>
      </c>
      <c r="T44" s="2">
        <v>5.1152240000000004</v>
      </c>
      <c r="U44" s="2">
        <v>5.31E-4</v>
      </c>
      <c r="W44" s="2">
        <v>6.2117100000000001</v>
      </c>
      <c r="X44" s="2">
        <v>2.287E-3</v>
      </c>
      <c r="Y44" s="2">
        <v>5.1531320000000003</v>
      </c>
      <c r="Z44" s="2">
        <v>6.1960000000000001E-3</v>
      </c>
      <c r="AA44">
        <f t="shared" si="4"/>
        <v>86.098234766826593</v>
      </c>
      <c r="AF44">
        <f t="shared" si="5"/>
        <v>0</v>
      </c>
      <c r="AM44">
        <f t="shared" si="6"/>
        <v>0</v>
      </c>
      <c r="AT44" s="2">
        <f t="shared" si="9"/>
        <v>0</v>
      </c>
    </row>
    <row r="45" spans="1:46" x14ac:dyDescent="0.3">
      <c r="A45">
        <v>50</v>
      </c>
      <c r="E45" s="1">
        <f t="shared" si="11"/>
        <v>44.20762793566125</v>
      </c>
      <c r="F45" s="1">
        <f t="shared" si="7"/>
        <v>46.117227935661248</v>
      </c>
      <c r="G45" s="1">
        <f t="shared" si="8"/>
        <v>42.298027935661246</v>
      </c>
      <c r="H45" s="1">
        <f t="shared" si="1"/>
        <v>1.9096000000000011</v>
      </c>
      <c r="J45">
        <v>2000</v>
      </c>
      <c r="K45">
        <f t="shared" si="2"/>
        <v>1573.75</v>
      </c>
      <c r="L45">
        <f t="shared" si="3"/>
        <v>852.5</v>
      </c>
      <c r="M45" s="2">
        <v>3.1635200000000001</v>
      </c>
      <c r="N45" s="2">
        <v>7.7399999999999995E-4</v>
      </c>
      <c r="P45" s="2">
        <v>31.660067999999999</v>
      </c>
      <c r="Q45" s="2">
        <v>4.2414E-2</v>
      </c>
      <c r="R45" t="s">
        <v>37</v>
      </c>
      <c r="T45" s="2">
        <v>5.1163319999999999</v>
      </c>
      <c r="U45" s="2">
        <v>5.0100000000000003E-4</v>
      </c>
      <c r="W45" s="2">
        <v>6.216043</v>
      </c>
      <c r="X45" s="2">
        <v>2.8349999999999998E-3</v>
      </c>
      <c r="Y45" s="2">
        <v>5.1581900000000003</v>
      </c>
      <c r="Z45" s="2">
        <v>8.3840000000000008E-3</v>
      </c>
      <c r="AA45">
        <f t="shared" si="4"/>
        <v>86.303019623817747</v>
      </c>
      <c r="AF45">
        <f t="shared" si="5"/>
        <v>0</v>
      </c>
      <c r="AM45">
        <f t="shared" si="6"/>
        <v>0</v>
      </c>
      <c r="AT45" s="2">
        <f t="shared" si="9"/>
        <v>0</v>
      </c>
    </row>
    <row r="46" spans="1:46" x14ac:dyDescent="0.3">
      <c r="A46">
        <v>51</v>
      </c>
      <c r="E46" s="1">
        <f t="shared" si="11"/>
        <v>44.359633217175123</v>
      </c>
      <c r="F46" s="1">
        <f t="shared" si="7"/>
        <v>46.381233217175122</v>
      </c>
      <c r="G46" s="1">
        <f t="shared" si="8"/>
        <v>42.338033217175123</v>
      </c>
      <c r="H46" s="1">
        <f t="shared" si="1"/>
        <v>2.0215999999999994</v>
      </c>
      <c r="J46">
        <v>2100</v>
      </c>
      <c r="K46">
        <f t="shared" si="2"/>
        <v>1648.75</v>
      </c>
      <c r="L46">
        <f t="shared" si="3"/>
        <v>902.5</v>
      </c>
      <c r="M46" s="2">
        <v>3.1636129999999998</v>
      </c>
      <c r="N46" s="2">
        <v>7.9600000000000005E-4</v>
      </c>
      <c r="P46" s="2">
        <v>31.662844</v>
      </c>
      <c r="Q46" s="2">
        <v>4.3602000000000002E-2</v>
      </c>
      <c r="T46" s="2">
        <v>5.118487</v>
      </c>
      <c r="U46" s="2">
        <v>3.2499999999999999E-4</v>
      </c>
      <c r="W46" s="2">
        <v>6.2244330000000003</v>
      </c>
      <c r="X46" s="2">
        <v>4.045E-3</v>
      </c>
      <c r="Y46" s="2">
        <v>5.175522</v>
      </c>
      <c r="Z46" s="2">
        <v>5.8659999999999997E-3</v>
      </c>
      <c r="AA46">
        <f t="shared" si="4"/>
        <v>86.826918501504437</v>
      </c>
      <c r="AF46">
        <f t="shared" si="5"/>
        <v>0</v>
      </c>
      <c r="AM46">
        <f t="shared" si="6"/>
        <v>0</v>
      </c>
      <c r="AT46" s="2">
        <f t="shared" si="9"/>
        <v>0</v>
      </c>
    </row>
    <row r="47" spans="1:46" x14ac:dyDescent="0.3">
      <c r="A47">
        <v>52</v>
      </c>
      <c r="E47" s="1">
        <f t="shared" si="11"/>
        <v>44.305956423731345</v>
      </c>
      <c r="F47" s="1">
        <f t="shared" si="7"/>
        <v>46.428356423731344</v>
      </c>
      <c r="G47" s="1">
        <f t="shared" si="8"/>
        <v>42.183556423731339</v>
      </c>
      <c r="H47" s="1">
        <f t="shared" si="1"/>
        <v>2.1224000000000025</v>
      </c>
      <c r="J47">
        <v>2190</v>
      </c>
      <c r="K47">
        <f t="shared" si="2"/>
        <v>1716.25</v>
      </c>
      <c r="L47">
        <f t="shared" si="3"/>
        <v>947.5</v>
      </c>
      <c r="M47" s="2">
        <v>3.1648070000000001</v>
      </c>
      <c r="N47" s="2">
        <v>8.7699999999999996E-4</v>
      </c>
      <c r="P47" s="2">
        <v>31.698706000000001</v>
      </c>
      <c r="Q47" s="2">
        <v>4.8057000000000002E-2</v>
      </c>
      <c r="R47" t="s">
        <v>82</v>
      </c>
      <c r="T47" s="2">
        <v>5.1184969999999996</v>
      </c>
      <c r="U47" s="2">
        <v>1.2819999999999999E-3</v>
      </c>
      <c r="W47" s="2">
        <v>6.2293130000000003</v>
      </c>
      <c r="X47" s="2">
        <v>3.8709999999999999E-3</v>
      </c>
      <c r="Y47" s="2">
        <v>5.1791219999999996</v>
      </c>
      <c r="Z47" s="2">
        <v>1.1505E-2</v>
      </c>
      <c r="AA47">
        <f t="shared" si="4"/>
        <v>87.023607701945537</v>
      </c>
      <c r="AF47">
        <f t="shared" si="5"/>
        <v>0</v>
      </c>
      <c r="AM47">
        <f t="shared" si="6"/>
        <v>0</v>
      </c>
      <c r="AT47" s="2">
        <f t="shared" si="9"/>
        <v>0</v>
      </c>
    </row>
    <row r="48" spans="1:46" x14ac:dyDescent="0.3">
      <c r="A48">
        <v>53</v>
      </c>
      <c r="E48" s="1">
        <f t="shared" si="11"/>
        <v>44.441264590736814</v>
      </c>
      <c r="F48" s="1">
        <f t="shared" si="7"/>
        <v>46.675664590736815</v>
      </c>
      <c r="G48" s="1">
        <f t="shared" si="8"/>
        <v>42.206864590736814</v>
      </c>
      <c r="H48" s="1">
        <f t="shared" si="1"/>
        <v>2.2344000000000008</v>
      </c>
      <c r="J48">
        <v>2290</v>
      </c>
      <c r="K48">
        <f t="shared" si="2"/>
        <v>1791.25</v>
      </c>
      <c r="L48">
        <f t="shared" si="3"/>
        <v>997.5</v>
      </c>
      <c r="M48" s="2">
        <v>3.1649980000000002</v>
      </c>
      <c r="N48" s="2">
        <v>9.5699999999999995E-4</v>
      </c>
      <c r="P48" s="2">
        <v>31.704470000000001</v>
      </c>
      <c r="Q48" s="2">
        <v>5.2477000000000003E-2</v>
      </c>
      <c r="R48" t="s">
        <v>82</v>
      </c>
      <c r="T48" s="2">
        <v>5.1189470000000004</v>
      </c>
      <c r="U48" s="2">
        <v>1.09E-3</v>
      </c>
      <c r="W48" s="2">
        <v>6.2364670000000002</v>
      </c>
      <c r="X48" s="2">
        <v>1.8990000000000001E-3</v>
      </c>
      <c r="Y48" s="2">
        <v>5.1913359999999997</v>
      </c>
      <c r="Z48" s="2">
        <v>5.6600000000000001E-3</v>
      </c>
      <c r="AA48">
        <f t="shared" si="4"/>
        <v>87.429306198913523</v>
      </c>
      <c r="AF48">
        <f t="shared" si="5"/>
        <v>0</v>
      </c>
      <c r="AM48">
        <f t="shared" si="6"/>
        <v>0</v>
      </c>
      <c r="AT48" s="2">
        <f t="shared" si="9"/>
        <v>0</v>
      </c>
    </row>
    <row r="49" spans="1:46" x14ac:dyDescent="0.3">
      <c r="A49">
        <v>54</v>
      </c>
      <c r="E49" s="1">
        <f t="shared" si="11"/>
        <v>43.066713739575022</v>
      </c>
      <c r="F49" s="1">
        <f t="shared" si="7"/>
        <v>43.072313739575023</v>
      </c>
      <c r="G49" s="1">
        <f t="shared" si="8"/>
        <v>43.061113739575021</v>
      </c>
      <c r="H49" s="1">
        <f t="shared" si="1"/>
        <v>5.6000000000011596E-3</v>
      </c>
      <c r="J49">
        <v>300</v>
      </c>
      <c r="K49">
        <f t="shared" si="2"/>
        <v>298.75</v>
      </c>
      <c r="L49">
        <f t="shared" si="3"/>
        <v>2.5</v>
      </c>
      <c r="M49" s="2">
        <v>3.153724</v>
      </c>
      <c r="T49" s="2">
        <v>5.0908920000000002</v>
      </c>
      <c r="AA49">
        <f t="shared" si="4"/>
        <v>0</v>
      </c>
      <c r="AF49">
        <f t="shared" si="5"/>
        <v>0</v>
      </c>
      <c r="AG49" s="2">
        <v>4.9650590000000001</v>
      </c>
      <c r="AH49" s="2">
        <v>1.1488E-2</v>
      </c>
      <c r="AI49" s="2">
        <v>3.141105</v>
      </c>
      <c r="AJ49" s="2">
        <v>7.7920000000000003E-3</v>
      </c>
      <c r="AK49" s="2">
        <v>5.2516819999999997</v>
      </c>
      <c r="AL49" s="2">
        <v>6.7999999999999996E-3</v>
      </c>
      <c r="AM49" s="2">
        <v>81.904037000000002</v>
      </c>
    </row>
    <row r="50" spans="1:46" x14ac:dyDescent="0.3">
      <c r="A50">
        <v>55</v>
      </c>
      <c r="E50" s="1" t="e">
        <f t="shared" si="11"/>
        <v>#DIV/0!</v>
      </c>
      <c r="F50" s="1" t="e">
        <f t="shared" si="7"/>
        <v>#DIV/0!</v>
      </c>
      <c r="G50" s="1" t="e">
        <f t="shared" si="8"/>
        <v>#DIV/0!</v>
      </c>
      <c r="H50" s="1" t="e">
        <f t="shared" si="1"/>
        <v>#DIV/0!</v>
      </c>
      <c r="J50">
        <v>300</v>
      </c>
      <c r="K50">
        <f t="shared" si="2"/>
        <v>298.75</v>
      </c>
      <c r="L50">
        <f t="shared" si="3"/>
        <v>2.5</v>
      </c>
      <c r="AA50">
        <f t="shared" si="4"/>
        <v>0</v>
      </c>
      <c r="AF50">
        <f t="shared" si="5"/>
        <v>0</v>
      </c>
      <c r="AM50">
        <f t="shared" si="6"/>
        <v>0</v>
      </c>
      <c r="AT50" s="2">
        <f t="shared" si="9"/>
        <v>0</v>
      </c>
    </row>
    <row r="51" spans="1:46" x14ac:dyDescent="0.3">
      <c r="A51">
        <v>56</v>
      </c>
      <c r="E51" s="1" t="e">
        <f t="shared" si="11"/>
        <v>#DIV/0!</v>
      </c>
      <c r="F51" s="1" t="e">
        <f t="shared" si="7"/>
        <v>#DIV/0!</v>
      </c>
      <c r="G51" s="1" t="e">
        <f t="shared" si="8"/>
        <v>#DIV/0!</v>
      </c>
      <c r="H51" s="1" t="e">
        <f t="shared" si="1"/>
        <v>#DIV/0!</v>
      </c>
      <c r="J51">
        <v>300</v>
      </c>
      <c r="K51">
        <f t="shared" si="2"/>
        <v>298.75</v>
      </c>
      <c r="L51">
        <f t="shared" si="3"/>
        <v>2.5</v>
      </c>
      <c r="AA51">
        <f t="shared" si="4"/>
        <v>0</v>
      </c>
      <c r="AF51">
        <f t="shared" si="5"/>
        <v>0</v>
      </c>
      <c r="AM51">
        <f t="shared" si="6"/>
        <v>0</v>
      </c>
      <c r="AT51" s="2">
        <f t="shared" si="9"/>
        <v>0</v>
      </c>
    </row>
    <row r="52" spans="1:46" x14ac:dyDescent="0.3">
      <c r="A52">
        <v>57</v>
      </c>
      <c r="D52">
        <v>50</v>
      </c>
      <c r="E52" s="1" t="e">
        <f t="shared" si="11"/>
        <v>#DIV/0!</v>
      </c>
      <c r="F52" s="1" t="e">
        <f t="shared" si="7"/>
        <v>#DIV/0!</v>
      </c>
      <c r="G52" s="1" t="e">
        <f t="shared" si="8"/>
        <v>#DIV/0!</v>
      </c>
      <c r="H52" s="1" t="e">
        <f t="shared" si="1"/>
        <v>#DIV/0!</v>
      </c>
      <c r="J52">
        <v>300</v>
      </c>
      <c r="K52">
        <f t="shared" si="2"/>
        <v>298.75</v>
      </c>
      <c r="L52">
        <f t="shared" si="3"/>
        <v>2.5</v>
      </c>
      <c r="AA52">
        <f t="shared" si="4"/>
        <v>0</v>
      </c>
      <c r="AF52">
        <f t="shared" si="5"/>
        <v>0</v>
      </c>
      <c r="AM52">
        <f t="shared" si="6"/>
        <v>0</v>
      </c>
      <c r="AT52" s="2">
        <f t="shared" si="9"/>
        <v>0</v>
      </c>
    </row>
    <row r="53" spans="1:46" x14ac:dyDescent="0.3">
      <c r="A53">
        <v>58</v>
      </c>
      <c r="D53">
        <v>53</v>
      </c>
      <c r="E53" s="1">
        <f t="shared" si="11"/>
        <v>45.898824856242989</v>
      </c>
      <c r="F53" s="1">
        <f t="shared" si="7"/>
        <v>45.90442485624299</v>
      </c>
      <c r="G53" s="1">
        <f t="shared" si="8"/>
        <v>45.893224856242988</v>
      </c>
      <c r="H53" s="1">
        <f t="shared" si="1"/>
        <v>5.6000000000011596E-3</v>
      </c>
      <c r="J53">
        <v>300</v>
      </c>
      <c r="K53">
        <f t="shared" si="2"/>
        <v>298.75</v>
      </c>
      <c r="L53">
        <f t="shared" si="3"/>
        <v>2.5</v>
      </c>
      <c r="M53" s="2">
        <v>3.1382659999999998</v>
      </c>
      <c r="T53" s="2">
        <v>5.0849130000000002</v>
      </c>
      <c r="AA53">
        <f t="shared" si="4"/>
        <v>0</v>
      </c>
      <c r="AF53">
        <f t="shared" si="5"/>
        <v>0</v>
      </c>
      <c r="AM53">
        <f t="shared" si="6"/>
        <v>0</v>
      </c>
      <c r="AT53" s="2">
        <f t="shared" si="9"/>
        <v>0</v>
      </c>
    </row>
    <row r="54" spans="1:46" x14ac:dyDescent="0.3">
      <c r="A54">
        <v>59</v>
      </c>
      <c r="D54">
        <v>56</v>
      </c>
      <c r="E54" s="1" t="e">
        <f t="shared" si="11"/>
        <v>#DIV/0!</v>
      </c>
      <c r="F54" s="1" t="e">
        <f t="shared" si="7"/>
        <v>#DIV/0!</v>
      </c>
      <c r="G54" s="1" t="e">
        <f t="shared" si="8"/>
        <v>#DIV/0!</v>
      </c>
      <c r="H54" s="1" t="e">
        <f t="shared" si="1"/>
        <v>#DIV/0!</v>
      </c>
      <c r="J54">
        <v>300</v>
      </c>
      <c r="K54">
        <f t="shared" si="2"/>
        <v>298.75</v>
      </c>
      <c r="L54">
        <f t="shared" si="3"/>
        <v>2.5</v>
      </c>
      <c r="AA54">
        <f t="shared" si="4"/>
        <v>0</v>
      </c>
      <c r="AF54">
        <f t="shared" si="5"/>
        <v>0</v>
      </c>
      <c r="AM54">
        <f t="shared" si="6"/>
        <v>0</v>
      </c>
      <c r="AT54" s="2">
        <f t="shared" si="9"/>
        <v>0</v>
      </c>
    </row>
    <row r="55" spans="1:46" x14ac:dyDescent="0.3">
      <c r="A55">
        <v>60</v>
      </c>
      <c r="D55">
        <v>60</v>
      </c>
      <c r="E55" s="1" t="e">
        <f t="shared" si="11"/>
        <v>#DIV/0!</v>
      </c>
      <c r="F55" s="1" t="e">
        <f t="shared" si="7"/>
        <v>#DIV/0!</v>
      </c>
      <c r="G55" s="1" t="e">
        <f t="shared" si="8"/>
        <v>#DIV/0!</v>
      </c>
      <c r="H55" s="1" t="e">
        <f t="shared" si="1"/>
        <v>#DIV/0!</v>
      </c>
      <c r="J55">
        <v>300</v>
      </c>
      <c r="K55">
        <f t="shared" si="2"/>
        <v>298.75</v>
      </c>
      <c r="L55">
        <f t="shared" si="3"/>
        <v>2.5</v>
      </c>
      <c r="AA55">
        <f t="shared" si="4"/>
        <v>0</v>
      </c>
      <c r="AF55">
        <f t="shared" si="5"/>
        <v>0</v>
      </c>
      <c r="AM55">
        <f t="shared" si="6"/>
        <v>0</v>
      </c>
      <c r="AT55" s="2">
        <f t="shared" si="9"/>
        <v>0</v>
      </c>
    </row>
    <row r="56" spans="1:46" x14ac:dyDescent="0.3">
      <c r="A56">
        <v>61</v>
      </c>
      <c r="E56" s="1">
        <f t="shared" si="11"/>
        <v>53.32078081498431</v>
      </c>
      <c r="F56" s="1">
        <f t="shared" si="7"/>
        <v>53.326380814984311</v>
      </c>
      <c r="G56" s="1">
        <f t="shared" si="8"/>
        <v>53.315180814984309</v>
      </c>
      <c r="H56" s="1">
        <f t="shared" si="1"/>
        <v>5.6000000000011596E-3</v>
      </c>
      <c r="J56">
        <v>300</v>
      </c>
      <c r="K56">
        <f t="shared" si="2"/>
        <v>298.75</v>
      </c>
      <c r="L56">
        <f t="shared" si="3"/>
        <v>2.5</v>
      </c>
      <c r="M56" s="2">
        <v>3.101397</v>
      </c>
      <c r="T56" s="2">
        <v>5.0752930000000003</v>
      </c>
      <c r="AA56">
        <f t="shared" si="4"/>
        <v>0</v>
      </c>
      <c r="AF56">
        <f t="shared" si="5"/>
        <v>0</v>
      </c>
      <c r="AM56">
        <f t="shared" si="6"/>
        <v>0</v>
      </c>
      <c r="AT56" s="2">
        <f t="shared" si="9"/>
        <v>0</v>
      </c>
    </row>
    <row r="57" spans="1:46" x14ac:dyDescent="0.3">
      <c r="A57">
        <v>62</v>
      </c>
      <c r="E57" s="1">
        <f t="shared" si="11"/>
        <v>54.418199165986451</v>
      </c>
      <c r="F57" s="1">
        <f t="shared" si="7"/>
        <v>55.454199165986452</v>
      </c>
      <c r="G57" s="1">
        <f t="shared" si="8"/>
        <v>53.382199165986449</v>
      </c>
      <c r="H57" s="1">
        <f t="shared" si="1"/>
        <v>1.0360000000000014</v>
      </c>
      <c r="J57">
        <v>1220</v>
      </c>
      <c r="K57">
        <f t="shared" si="2"/>
        <v>988.75</v>
      </c>
      <c r="L57">
        <f t="shared" si="3"/>
        <v>462.5</v>
      </c>
      <c r="M57" s="2">
        <v>3.103491</v>
      </c>
      <c r="N57" s="2">
        <v>1.4760000000000001E-3</v>
      </c>
      <c r="P57" s="2">
        <v>29.891753000000001</v>
      </c>
      <c r="Q57" s="2">
        <v>7.9341999999999996E-2</v>
      </c>
      <c r="T57" s="2">
        <v>5.0586919999999997</v>
      </c>
      <c r="U57" s="2">
        <v>2.5360000000000001E-3</v>
      </c>
      <c r="AA57">
        <f t="shared" si="4"/>
        <v>0</v>
      </c>
      <c r="AF57">
        <f t="shared" si="5"/>
        <v>0</v>
      </c>
      <c r="AG57" s="2">
        <v>4.9960690000000003</v>
      </c>
      <c r="AH57" s="2">
        <v>4.0200000000000001E-3</v>
      </c>
      <c r="AI57" s="2">
        <v>3.0920839999999998</v>
      </c>
      <c r="AJ57" s="2">
        <v>9.9400000000000009E-4</v>
      </c>
      <c r="AK57" s="2">
        <v>5.2522130000000002</v>
      </c>
      <c r="AL57" s="2">
        <v>1.4599999999999999E-3</v>
      </c>
      <c r="AM57">
        <f t="shared" si="6"/>
        <v>81.137578353913383</v>
      </c>
      <c r="AT57" s="2">
        <f t="shared" si="9"/>
        <v>0</v>
      </c>
    </row>
    <row r="58" spans="1:46" x14ac:dyDescent="0.3">
      <c r="A58">
        <v>63</v>
      </c>
      <c r="E58" s="1">
        <f t="shared" ref="E58:E66" si="12" xml:space="preserve"> 3*$AR$2*(($AQ$2/(M58^3))^(2/3))*(1-($AQ$2/(M58^3))^(-1/3))*EXP((3/2)*($AS$2-1)*(1-($AQ$2/(M58^3))^(-1/3))) + $AT$2*(K58-300)</f>
        <v>54.196525503418414</v>
      </c>
      <c r="F58" s="1">
        <f t="shared" ref="F58:F66" si="13" xml:space="preserve"> 3*$AR$2*(($AQ$2/(M58^3))^(2/3))*(1-($AQ$2/(M58^3))^(-1/3))*EXP((3/2)*($AS$2-1)*(1-($AQ$2/(M58^3))^(-1/3))) + $AT$2*((K58+L58)-300)</f>
        <v>55.277325503418417</v>
      </c>
      <c r="G58" s="1">
        <f t="shared" ref="G58:G66" si="14" xml:space="preserve"> 3*$AR$2*(($AQ$2/(M58^3))^(2/3))*(1-($AQ$2/(M58^3))^(-1/3))*EXP((3/2)*($AS$2-1)*(1-($AQ$2/(M58^3))^(-1/3))) + $AT$2*((K58-L58)-300)</f>
        <v>53.115725503418417</v>
      </c>
      <c r="H58" s="1">
        <f t="shared" ref="H58:H66" si="15">(F58-G58)/2</f>
        <v>1.0808</v>
      </c>
      <c r="J58">
        <v>1260</v>
      </c>
      <c r="K58">
        <f t="shared" si="2"/>
        <v>1018.75</v>
      </c>
      <c r="L58">
        <f t="shared" si="3"/>
        <v>482.5</v>
      </c>
      <c r="M58" s="2">
        <v>3.1048490000000002</v>
      </c>
      <c r="N58" s="2">
        <v>1.1100000000000001E-3</v>
      </c>
      <c r="P58" s="2">
        <v>29.931013</v>
      </c>
      <c r="Q58" s="2">
        <v>5.9681999999999999E-2</v>
      </c>
      <c r="T58" s="2">
        <v>5.058567</v>
      </c>
      <c r="U58" s="2">
        <v>2.0240000000000002E-3</v>
      </c>
      <c r="AA58">
        <f t="shared" si="4"/>
        <v>0</v>
      </c>
      <c r="AF58">
        <f t="shared" si="5"/>
        <v>0</v>
      </c>
      <c r="AG58" s="2">
        <v>5.0051079999999999</v>
      </c>
      <c r="AH58" s="2">
        <v>3.5460000000000001E-3</v>
      </c>
      <c r="AI58" s="2">
        <v>3.086398</v>
      </c>
      <c r="AJ58" s="2">
        <v>8.6899999999999998E-4</v>
      </c>
      <c r="AK58" s="2">
        <v>5.2582279999999999</v>
      </c>
      <c r="AL58" s="2">
        <v>1.2849999999999999E-3</v>
      </c>
      <c r="AM58">
        <f t="shared" si="6"/>
        <v>81.227819565947044</v>
      </c>
      <c r="AT58" s="2">
        <f t="shared" si="9"/>
        <v>0</v>
      </c>
    </row>
    <row r="59" spans="1:46" x14ac:dyDescent="0.3">
      <c r="A59">
        <v>64</v>
      </c>
      <c r="E59" s="1">
        <f t="shared" si="12"/>
        <v>54.652859651913012</v>
      </c>
      <c r="F59" s="1">
        <f t="shared" si="13"/>
        <v>55.823259651913013</v>
      </c>
      <c r="G59" s="1">
        <f t="shared" si="14"/>
        <v>53.482459651913011</v>
      </c>
      <c r="H59" s="1">
        <f t="shared" si="15"/>
        <v>1.1704000000000008</v>
      </c>
      <c r="J59">
        <v>1340</v>
      </c>
      <c r="K59">
        <f t="shared" si="2"/>
        <v>1078.75</v>
      </c>
      <c r="L59">
        <f t="shared" si="3"/>
        <v>522.5</v>
      </c>
      <c r="M59" s="2">
        <v>3.1033360000000001</v>
      </c>
      <c r="N59" s="2">
        <v>1.013E-3</v>
      </c>
      <c r="P59" s="2">
        <v>29.887274999999999</v>
      </c>
      <c r="Q59" s="2">
        <v>5.4433000000000002E-2</v>
      </c>
      <c r="T59" s="2">
        <v>5.0572819999999998</v>
      </c>
      <c r="U59" s="2">
        <v>1.1280000000000001E-3</v>
      </c>
      <c r="AA59">
        <f t="shared" si="4"/>
        <v>0</v>
      </c>
      <c r="AF59">
        <f t="shared" si="5"/>
        <v>0</v>
      </c>
      <c r="AG59" s="2">
        <v>5.0205080000000004</v>
      </c>
      <c r="AH59" s="2">
        <v>7.6309999999999998E-3</v>
      </c>
      <c r="AI59" s="2">
        <v>3.078068</v>
      </c>
      <c r="AJ59" s="2">
        <v>1.9859999999999999E-3</v>
      </c>
      <c r="AK59" s="2">
        <v>5.270753</v>
      </c>
      <c r="AL59" s="2">
        <v>3.003E-3</v>
      </c>
      <c r="AM59">
        <f t="shared" si="6"/>
        <v>81.45139710688585</v>
      </c>
      <c r="AT59" s="2">
        <f t="shared" si="9"/>
        <v>0</v>
      </c>
    </row>
    <row r="60" spans="1:46" x14ac:dyDescent="0.3">
      <c r="A60">
        <v>65</v>
      </c>
      <c r="E60" s="1">
        <f t="shared" si="12"/>
        <v>54.54287091877876</v>
      </c>
      <c r="F60" s="1">
        <f t="shared" si="13"/>
        <v>55.713270918778761</v>
      </c>
      <c r="G60" s="1">
        <f t="shared" si="14"/>
        <v>53.37247091877876</v>
      </c>
      <c r="H60" s="1">
        <f t="shared" si="15"/>
        <v>1.1704000000000008</v>
      </c>
      <c r="J60">
        <v>1340</v>
      </c>
      <c r="K60">
        <f t="shared" si="2"/>
        <v>1078.75</v>
      </c>
      <c r="L60">
        <f t="shared" si="3"/>
        <v>522.5</v>
      </c>
      <c r="M60" s="2">
        <v>3.1038519999999998</v>
      </c>
      <c r="N60" s="2">
        <v>8.92E-4</v>
      </c>
      <c r="P60" s="2">
        <v>29.902203</v>
      </c>
      <c r="Q60" s="2">
        <v>4.7967999999999997E-2</v>
      </c>
      <c r="T60" s="2">
        <v>5.0562370000000003</v>
      </c>
      <c r="U60" s="2">
        <v>9.3199999999999999E-4</v>
      </c>
      <c r="AA60">
        <f t="shared" si="4"/>
        <v>0</v>
      </c>
      <c r="AF60">
        <f t="shared" si="5"/>
        <v>0</v>
      </c>
      <c r="AG60" s="2">
        <v>5.0203449999999998</v>
      </c>
      <c r="AH60" s="2">
        <v>6.7599999999999995E-4</v>
      </c>
      <c r="AI60" s="2">
        <v>3.0774720000000002</v>
      </c>
      <c r="AJ60" s="2">
        <v>2.32E-4</v>
      </c>
      <c r="AK60" s="2">
        <v>5.2664210000000002</v>
      </c>
      <c r="AL60" s="2">
        <v>3.3799999999999998E-4</v>
      </c>
      <c r="AM60">
        <f t="shared" si="6"/>
        <v>81.366052607707104</v>
      </c>
      <c r="AT60" s="2">
        <f t="shared" si="9"/>
        <v>0</v>
      </c>
    </row>
    <row r="61" spans="1:46" x14ac:dyDescent="0.3">
      <c r="A61">
        <v>66</v>
      </c>
      <c r="E61" s="1">
        <f t="shared" si="12"/>
        <v>54.364891038658158</v>
      </c>
      <c r="F61" s="1">
        <f t="shared" si="13"/>
        <v>55.636091038658158</v>
      </c>
      <c r="G61" s="1">
        <f t="shared" si="14"/>
        <v>53.093691038658157</v>
      </c>
      <c r="H61" s="1">
        <f t="shared" si="15"/>
        <v>1.2712000000000003</v>
      </c>
      <c r="J61">
        <v>1430</v>
      </c>
      <c r="K61">
        <f t="shared" si="2"/>
        <v>1146.25</v>
      </c>
      <c r="L61">
        <f t="shared" si="3"/>
        <v>567.5</v>
      </c>
      <c r="M61" s="2">
        <v>3.1054020000000002</v>
      </c>
      <c r="N61" s="2">
        <v>5.9199999999999997E-4</v>
      </c>
      <c r="P61" s="2">
        <v>29.947009000000001</v>
      </c>
      <c r="Q61" s="2">
        <v>3.184E-2</v>
      </c>
      <c r="T61" s="2">
        <v>5.0560479999999997</v>
      </c>
      <c r="U61" s="2">
        <v>1.1230000000000001E-3</v>
      </c>
      <c r="AA61">
        <f t="shared" si="4"/>
        <v>0</v>
      </c>
      <c r="AF61">
        <f t="shared" si="5"/>
        <v>0</v>
      </c>
      <c r="AG61" s="2">
        <v>5.0284170000000001</v>
      </c>
      <c r="AH61" s="2">
        <v>1.0129000000000001E-2</v>
      </c>
      <c r="AI61" s="2">
        <v>3.0727950000000002</v>
      </c>
      <c r="AJ61" s="2">
        <v>3.4420000000000002E-3</v>
      </c>
      <c r="AK61" s="2">
        <v>5.28207</v>
      </c>
      <c r="AL61" s="2">
        <v>5.0679999999999996E-3</v>
      </c>
      <c r="AM61">
        <f t="shared" si="6"/>
        <v>81.614819749773318</v>
      </c>
      <c r="AT61" s="2">
        <f t="shared" si="9"/>
        <v>0</v>
      </c>
    </row>
    <row r="62" spans="1:46" x14ac:dyDescent="0.3">
      <c r="A62">
        <v>67</v>
      </c>
      <c r="E62" s="1">
        <f t="shared" si="12"/>
        <v>54.104044169647736</v>
      </c>
      <c r="F62" s="1">
        <f t="shared" si="13"/>
        <v>55.431244169647741</v>
      </c>
      <c r="G62" s="1">
        <f t="shared" si="14"/>
        <v>52.776844169647738</v>
      </c>
      <c r="H62" s="1">
        <f t="shared" si="15"/>
        <v>1.3272000000000013</v>
      </c>
      <c r="J62">
        <v>1480</v>
      </c>
      <c r="K62">
        <f t="shared" si="2"/>
        <v>1183.75</v>
      </c>
      <c r="L62">
        <f t="shared" si="3"/>
        <v>592.5</v>
      </c>
      <c r="M62" s="2">
        <v>3.1070350000000002</v>
      </c>
      <c r="N62" s="2">
        <v>3.3799999999999998E-4</v>
      </c>
      <c r="P62" s="2">
        <v>29.994268000000002</v>
      </c>
      <c r="Q62" s="2">
        <v>1.8173000000000002E-2</v>
      </c>
      <c r="R62" t="s">
        <v>44</v>
      </c>
      <c r="T62" s="2">
        <v>5.0574260000000004</v>
      </c>
      <c r="U62" s="2">
        <v>6.3000000000000003E-4</v>
      </c>
      <c r="AA62">
        <f t="shared" si="4"/>
        <v>0</v>
      </c>
      <c r="AF62">
        <f t="shared" si="5"/>
        <v>0</v>
      </c>
      <c r="AG62" s="2">
        <v>5.0455259999999997</v>
      </c>
      <c r="AH62" s="2">
        <v>6.202E-3</v>
      </c>
      <c r="AI62" s="2">
        <v>3.0637219999999998</v>
      </c>
      <c r="AJ62" s="2">
        <v>3.7820000000000002E-3</v>
      </c>
      <c r="AK62" s="2">
        <v>5.2962429999999996</v>
      </c>
      <c r="AL62" s="2">
        <v>3.669E-3</v>
      </c>
      <c r="AM62">
        <f t="shared" si="6"/>
        <v>81.869795700789396</v>
      </c>
      <c r="AT62" s="2">
        <f t="shared" si="9"/>
        <v>0</v>
      </c>
    </row>
    <row r="63" spans="1:46" x14ac:dyDescent="0.3">
      <c r="A63">
        <v>68</v>
      </c>
      <c r="E63" s="1">
        <f t="shared" si="12"/>
        <v>54.184095478099835</v>
      </c>
      <c r="F63" s="1">
        <f t="shared" si="13"/>
        <v>55.623295478099834</v>
      </c>
      <c r="G63" s="1">
        <f t="shared" si="14"/>
        <v>52.744895478099835</v>
      </c>
      <c r="H63" s="1">
        <f t="shared" si="15"/>
        <v>1.4391999999999996</v>
      </c>
      <c r="J63">
        <v>1580</v>
      </c>
      <c r="K63">
        <f t="shared" si="2"/>
        <v>1258.75</v>
      </c>
      <c r="L63">
        <f t="shared" si="3"/>
        <v>642.5</v>
      </c>
      <c r="M63" s="2">
        <v>3.107453</v>
      </c>
      <c r="N63" s="2">
        <v>4.8999999999999998E-4</v>
      </c>
      <c r="P63" s="2">
        <v>30.006381000000001</v>
      </c>
      <c r="Q63" s="2">
        <v>2.6386E-2</v>
      </c>
      <c r="T63" s="2">
        <v>5.0586609999999999</v>
      </c>
      <c r="U63" s="2">
        <v>5.6499999999999996E-4</v>
      </c>
      <c r="W63" s="2">
        <v>6.1217459999999999</v>
      </c>
      <c r="X63" s="2">
        <v>2.3449999999999999E-3</v>
      </c>
      <c r="Y63" s="2">
        <v>5.0516779999999999</v>
      </c>
      <c r="Z63" s="2">
        <v>5.5409999999999999E-3</v>
      </c>
      <c r="AA63">
        <f t="shared" si="4"/>
        <v>81.976034999365027</v>
      </c>
      <c r="AF63">
        <f t="shared" si="5"/>
        <v>0</v>
      </c>
      <c r="AM63">
        <f t="shared" si="6"/>
        <v>0</v>
      </c>
      <c r="AT63" s="2">
        <f t="shared" si="9"/>
        <v>0</v>
      </c>
    </row>
    <row r="64" spans="1:46" x14ac:dyDescent="0.3">
      <c r="A64">
        <v>69</v>
      </c>
      <c r="E64" s="1">
        <f t="shared" si="12"/>
        <v>54.154374818959283</v>
      </c>
      <c r="F64" s="1">
        <f t="shared" si="13"/>
        <v>55.705574818959285</v>
      </c>
      <c r="G64" s="1">
        <f t="shared" si="14"/>
        <v>52.603174818959289</v>
      </c>
      <c r="H64" s="1">
        <f t="shared" si="15"/>
        <v>1.5511999999999979</v>
      </c>
      <c r="J64">
        <v>1680</v>
      </c>
      <c r="K64">
        <f t="shared" si="2"/>
        <v>1333.75</v>
      </c>
      <c r="L64">
        <f t="shared" si="3"/>
        <v>692.5</v>
      </c>
      <c r="M64" s="2">
        <v>3.1083949999999998</v>
      </c>
      <c r="N64" s="2">
        <v>2.4600000000000002E-4</v>
      </c>
      <c r="P64" s="2">
        <v>30.033684999999998</v>
      </c>
      <c r="Q64" s="2">
        <v>1.3225000000000001E-2</v>
      </c>
      <c r="R64" t="s">
        <v>37</v>
      </c>
      <c r="T64" s="2">
        <v>5.0593870000000001</v>
      </c>
      <c r="U64" s="2">
        <v>6.9700000000000003E-4</v>
      </c>
      <c r="W64" s="2">
        <v>6.1270049999999996</v>
      </c>
      <c r="X64" s="2">
        <v>8.0500000000000005E-4</v>
      </c>
      <c r="Y64" s="2">
        <v>5.0580049999999996</v>
      </c>
      <c r="Z64" s="2">
        <v>1.905E-3</v>
      </c>
      <c r="AA64">
        <f t="shared" si="4"/>
        <v>82.219789363419267</v>
      </c>
      <c r="AF64">
        <f t="shared" si="5"/>
        <v>0</v>
      </c>
      <c r="AM64">
        <f t="shared" si="6"/>
        <v>0</v>
      </c>
      <c r="AT64" s="2">
        <f t="shared" si="9"/>
        <v>0</v>
      </c>
    </row>
    <row r="65" spans="1:46" x14ac:dyDescent="0.3">
      <c r="A65">
        <v>70</v>
      </c>
      <c r="E65" s="1">
        <f t="shared" si="12"/>
        <v>54.065519619791019</v>
      </c>
      <c r="F65" s="1">
        <f t="shared" si="13"/>
        <v>55.695119619791015</v>
      </c>
      <c r="G65" s="1">
        <f t="shared" si="14"/>
        <v>52.435919619791022</v>
      </c>
      <c r="H65" s="1">
        <f t="shared" si="15"/>
        <v>1.6295999999999964</v>
      </c>
      <c r="J65">
        <v>1750</v>
      </c>
      <c r="K65">
        <f t="shared" si="2"/>
        <v>1386.25</v>
      </c>
      <c r="L65">
        <f t="shared" si="3"/>
        <v>727.5</v>
      </c>
      <c r="M65" s="2">
        <v>3.1093820000000001</v>
      </c>
      <c r="N65" s="2">
        <v>1.55E-4</v>
      </c>
      <c r="P65" s="2">
        <v>30.062297000000001</v>
      </c>
      <c r="Q65" s="2">
        <v>8.345E-3</v>
      </c>
      <c r="T65" s="2">
        <v>5.0606669999999996</v>
      </c>
      <c r="U65" s="2">
        <v>2.9999999999999997E-4</v>
      </c>
      <c r="W65" s="2">
        <v>6.1303619999999999</v>
      </c>
      <c r="X65" s="2">
        <v>1.3799999999999999E-3</v>
      </c>
      <c r="Y65" s="2">
        <v>5.065658</v>
      </c>
      <c r="Z65" s="2">
        <v>3.274E-3</v>
      </c>
      <c r="AA65">
        <f t="shared" si="4"/>
        <v>82.434449640647983</v>
      </c>
      <c r="AF65">
        <f t="shared" si="5"/>
        <v>0</v>
      </c>
      <c r="AM65">
        <f t="shared" si="6"/>
        <v>0</v>
      </c>
      <c r="AT65" s="2">
        <f t="shared" si="9"/>
        <v>0</v>
      </c>
    </row>
    <row r="66" spans="1:46" x14ac:dyDescent="0.3">
      <c r="A66">
        <v>71</v>
      </c>
      <c r="E66" s="1">
        <f t="shared" si="12"/>
        <v>54.167154853085627</v>
      </c>
      <c r="F66" s="1">
        <f t="shared" si="13"/>
        <v>55.86395485308563</v>
      </c>
      <c r="G66" s="1">
        <f t="shared" si="14"/>
        <v>52.470354853085631</v>
      </c>
      <c r="H66" s="1">
        <f t="shared" si="15"/>
        <v>1.6967999999999996</v>
      </c>
      <c r="J66">
        <v>1810</v>
      </c>
      <c r="K66">
        <f t="shared" si="2"/>
        <v>1431.25</v>
      </c>
      <c r="L66">
        <f t="shared" si="3"/>
        <v>757.5</v>
      </c>
      <c r="M66" s="2">
        <v>3.109378</v>
      </c>
      <c r="N66" s="2">
        <v>3.1E-4</v>
      </c>
      <c r="P66" s="2">
        <v>30.062197999999999</v>
      </c>
      <c r="Q66" s="2">
        <v>1.6695999999999999E-2</v>
      </c>
      <c r="T66" s="2">
        <v>5.0616190000000003</v>
      </c>
      <c r="U66" s="2">
        <v>3.7199999999999999E-4</v>
      </c>
      <c r="W66" s="2">
        <v>6.1343139999999998</v>
      </c>
      <c r="X66" s="2">
        <v>2.6340000000000001E-3</v>
      </c>
      <c r="Y66" s="2">
        <v>5.0688529999999998</v>
      </c>
      <c r="Z66" s="2">
        <v>5.7499999999999999E-3</v>
      </c>
      <c r="AA66">
        <f t="shared" si="4"/>
        <v>82.592828227214085</v>
      </c>
      <c r="AF66">
        <f t="shared" si="5"/>
        <v>0</v>
      </c>
      <c r="AM66">
        <f t="shared" si="6"/>
        <v>0</v>
      </c>
      <c r="AT66" s="2">
        <f t="shared" si="9"/>
        <v>0</v>
      </c>
    </row>
    <row r="67" spans="1:46" x14ac:dyDescent="0.3">
      <c r="A67">
        <v>72</v>
      </c>
      <c r="E67" s="1">
        <f t="shared" si="11"/>
        <v>54.034302284932032</v>
      </c>
      <c r="F67" s="1">
        <f t="shared" si="7"/>
        <v>55.80950228493203</v>
      </c>
      <c r="G67" s="1">
        <f t="shared" si="8"/>
        <v>52.259102284932027</v>
      </c>
      <c r="H67" s="1">
        <f t="shared" si="1"/>
        <v>1.7752000000000017</v>
      </c>
      <c r="J67">
        <v>1880</v>
      </c>
      <c r="K67">
        <f t="shared" si="2"/>
        <v>1483.75</v>
      </c>
      <c r="L67">
        <f t="shared" si="3"/>
        <v>792.5</v>
      </c>
      <c r="M67" s="2">
        <v>3.1105800000000001</v>
      </c>
      <c r="N67" s="2">
        <v>7.4999999999999993E-5</v>
      </c>
      <c r="P67" s="2">
        <v>30.097062999999999</v>
      </c>
      <c r="Q67" s="2">
        <v>4.0549999999999996E-3</v>
      </c>
      <c r="R67" t="s">
        <v>37</v>
      </c>
      <c r="T67" s="2">
        <v>5.0629939999999998</v>
      </c>
      <c r="U67" s="2">
        <v>3.0200000000000002E-4</v>
      </c>
      <c r="W67" s="2">
        <v>6.139151</v>
      </c>
      <c r="X67" s="2">
        <v>4.5620000000000001E-3</v>
      </c>
      <c r="Y67" s="2">
        <v>5.0764440000000004</v>
      </c>
      <c r="Z67" s="2">
        <v>9.9780000000000008E-3</v>
      </c>
      <c r="AA67">
        <f t="shared" ref="AA67:AA130" si="16">(W67*COS(RADIANS(30))*W67*Y67)/2</f>
        <v>82.847015281691384</v>
      </c>
      <c r="AF67">
        <f t="shared" ref="AF67:AF130" si="17">(AB67*COS(RADIANS(30))*AB67*AD67)*2</f>
        <v>0</v>
      </c>
      <c r="AM67">
        <f t="shared" ref="AM67:AM130" si="18">AG67*AI67*AK67</f>
        <v>0</v>
      </c>
      <c r="AT67" s="2">
        <f t="shared" si="9"/>
        <v>0</v>
      </c>
    </row>
    <row r="68" spans="1:46" x14ac:dyDescent="0.3">
      <c r="A68">
        <v>73</v>
      </c>
      <c r="E68" s="1">
        <f t="shared" si="11"/>
        <v>54.079614800554729</v>
      </c>
      <c r="F68" s="1">
        <f t="shared" si="7"/>
        <v>55.922014800554727</v>
      </c>
      <c r="G68" s="1">
        <f t="shared" si="8"/>
        <v>52.237214800554725</v>
      </c>
      <c r="H68" s="1">
        <f t="shared" si="1"/>
        <v>1.8424000000000014</v>
      </c>
      <c r="J68">
        <v>1940</v>
      </c>
      <c r="K68">
        <f t="shared" si="2"/>
        <v>1528.75</v>
      </c>
      <c r="L68">
        <f t="shared" si="3"/>
        <v>822.5</v>
      </c>
      <c r="M68" s="2">
        <v>3.1108470000000001</v>
      </c>
      <c r="N68" s="2">
        <v>7.6000000000000004E-5</v>
      </c>
      <c r="P68" s="2">
        <v>30.104807999999998</v>
      </c>
      <c r="Q68" s="2">
        <v>4.1099999999999999E-3</v>
      </c>
      <c r="T68" s="2">
        <v>5.0645699999999998</v>
      </c>
      <c r="U68" s="2">
        <v>4.28E-4</v>
      </c>
      <c r="W68" s="2">
        <v>6.1405690000000002</v>
      </c>
      <c r="X68" s="2">
        <v>3.8419999999999999E-3</v>
      </c>
      <c r="Y68" s="2">
        <v>5.082827</v>
      </c>
      <c r="Z68" s="2">
        <v>8.4270000000000005E-3</v>
      </c>
      <c r="AA68">
        <f t="shared" si="16"/>
        <v>82.989509133937474</v>
      </c>
      <c r="AF68">
        <f t="shared" si="17"/>
        <v>0</v>
      </c>
      <c r="AM68">
        <f t="shared" si="18"/>
        <v>0</v>
      </c>
      <c r="AT68" s="2">
        <f t="shared" si="9"/>
        <v>0</v>
      </c>
    </row>
    <row r="69" spans="1:46" x14ac:dyDescent="0.3">
      <c r="A69">
        <v>74</v>
      </c>
      <c r="E69" s="1">
        <f t="shared" si="11"/>
        <v>54.353144907792796</v>
      </c>
      <c r="F69" s="1">
        <f t="shared" si="7"/>
        <v>56.285144907792798</v>
      </c>
      <c r="G69" s="1">
        <f t="shared" si="8"/>
        <v>52.421144907792794</v>
      </c>
      <c r="H69" s="1">
        <f t="shared" si="1"/>
        <v>1.9320000000000022</v>
      </c>
      <c r="J69">
        <v>2020</v>
      </c>
      <c r="K69">
        <f t="shared" si="2"/>
        <v>1588.75</v>
      </c>
      <c r="L69">
        <f t="shared" si="3"/>
        <v>862.5</v>
      </c>
      <c r="M69" s="2">
        <v>3.1101779999999999</v>
      </c>
      <c r="N69" s="2">
        <v>5.2400000000000005E-4</v>
      </c>
      <c r="P69" s="2">
        <v>30.0854</v>
      </c>
      <c r="Q69" s="2">
        <v>2.8212000000000001E-2</v>
      </c>
      <c r="R69" t="s">
        <v>81</v>
      </c>
      <c r="T69" s="2">
        <v>5.066427</v>
      </c>
      <c r="U69" s="2">
        <v>3.21E-4</v>
      </c>
      <c r="W69" s="2">
        <v>6.141267</v>
      </c>
      <c r="X69" s="2">
        <v>3.9100000000000003E-3</v>
      </c>
      <c r="Y69" s="2">
        <v>5.0970690000000003</v>
      </c>
      <c r="Z69" s="2">
        <v>8.6370000000000006E-3</v>
      </c>
      <c r="AA69">
        <f t="shared" si="16"/>
        <v>83.240965227992604</v>
      </c>
      <c r="AF69">
        <f t="shared" si="17"/>
        <v>0</v>
      </c>
      <c r="AM69">
        <f t="shared" si="18"/>
        <v>0</v>
      </c>
      <c r="AT69" s="2">
        <f t="shared" si="9"/>
        <v>0</v>
      </c>
    </row>
    <row r="70" spans="1:46" x14ac:dyDescent="0.3">
      <c r="A70">
        <v>75</v>
      </c>
      <c r="E70" s="1">
        <f t="shared" si="11"/>
        <v>54.035534439655102</v>
      </c>
      <c r="F70" s="1">
        <f t="shared" si="7"/>
        <v>56.079534439655099</v>
      </c>
      <c r="G70" s="1">
        <f t="shared" si="8"/>
        <v>51.991534439655105</v>
      </c>
      <c r="H70" s="1">
        <f t="shared" si="1"/>
        <v>2.0439999999999969</v>
      </c>
      <c r="J70">
        <v>2120</v>
      </c>
      <c r="K70">
        <f t="shared" si="2"/>
        <v>1663.75</v>
      </c>
      <c r="L70">
        <f t="shared" si="3"/>
        <v>912.5</v>
      </c>
      <c r="M70" s="2">
        <v>3.11252</v>
      </c>
      <c r="N70" s="2">
        <v>8.7000000000000001E-5</v>
      </c>
      <c r="P70" s="2">
        <v>30.153424000000001</v>
      </c>
      <c r="Q70" s="2">
        <v>4.7140000000000003E-3</v>
      </c>
      <c r="R70" t="s">
        <v>81</v>
      </c>
      <c r="T70" s="2">
        <v>5.0677529999999997</v>
      </c>
      <c r="U70" s="2">
        <v>5.31E-4</v>
      </c>
      <c r="W70" s="2">
        <v>6.1404909999999999</v>
      </c>
      <c r="X70" s="2">
        <v>4.1879999999999999E-3</v>
      </c>
      <c r="Y70" s="2">
        <v>5.1075340000000002</v>
      </c>
      <c r="Z70" s="2">
        <v>1.1429E-2</v>
      </c>
      <c r="AA70">
        <f t="shared" si="16"/>
        <v>83.390792413651567</v>
      </c>
      <c r="AF70">
        <f t="shared" si="17"/>
        <v>0</v>
      </c>
      <c r="AM70">
        <f t="shared" si="18"/>
        <v>0</v>
      </c>
      <c r="AT70" s="2">
        <f t="shared" si="9"/>
        <v>0</v>
      </c>
    </row>
    <row r="71" spans="1:46" x14ac:dyDescent="0.3">
      <c r="A71">
        <v>76</v>
      </c>
      <c r="E71" s="1">
        <f t="shared" si="11"/>
        <v>53.971842692843872</v>
      </c>
      <c r="F71" s="1">
        <f t="shared" si="7"/>
        <v>56.105442692843873</v>
      </c>
      <c r="G71" s="1">
        <f t="shared" si="8"/>
        <v>51.83824269284387</v>
      </c>
      <c r="H71" s="1">
        <f t="shared" si="1"/>
        <v>2.1336000000000013</v>
      </c>
      <c r="J71">
        <v>2200</v>
      </c>
      <c r="K71">
        <f t="shared" si="2"/>
        <v>1723.75</v>
      </c>
      <c r="L71">
        <f t="shared" si="3"/>
        <v>952.5</v>
      </c>
      <c r="M71" s="2">
        <v>3.1134810000000002</v>
      </c>
      <c r="N71" s="2">
        <v>1.12E-4</v>
      </c>
      <c r="P71" s="2">
        <v>30.181363000000001</v>
      </c>
      <c r="Q71" s="2">
        <v>6.0299999999999998E-3</v>
      </c>
      <c r="R71" t="s">
        <v>81</v>
      </c>
      <c r="T71" s="2">
        <v>5.0688110000000002</v>
      </c>
      <c r="U71" s="2">
        <v>5.0500000000000002E-4</v>
      </c>
      <c r="W71" s="2">
        <v>6.141165</v>
      </c>
      <c r="X71" s="2">
        <v>5.274E-3</v>
      </c>
      <c r="Y71" s="2">
        <v>5.1244009999999998</v>
      </c>
      <c r="Z71" s="2">
        <v>1.4515E-2</v>
      </c>
      <c r="AA71">
        <f t="shared" si="16"/>
        <v>83.684548147615203</v>
      </c>
      <c r="AF71">
        <f t="shared" si="17"/>
        <v>0</v>
      </c>
      <c r="AM71">
        <f t="shared" si="18"/>
        <v>0</v>
      </c>
      <c r="AT71" s="2">
        <f t="shared" si="9"/>
        <v>0</v>
      </c>
    </row>
    <row r="72" spans="1:46" x14ac:dyDescent="0.3">
      <c r="A72">
        <v>77</v>
      </c>
      <c r="E72" s="1">
        <f t="shared" si="11"/>
        <v>54.525594642877024</v>
      </c>
      <c r="F72" s="1">
        <f t="shared" si="7"/>
        <v>54.531194642877026</v>
      </c>
      <c r="G72" s="1">
        <f t="shared" si="8"/>
        <v>54.519994642877023</v>
      </c>
      <c r="H72" s="1">
        <f t="shared" si="1"/>
        <v>5.6000000000011596E-3</v>
      </c>
      <c r="J72">
        <v>300</v>
      </c>
      <c r="K72">
        <f t="shared" si="2"/>
        <v>298.75</v>
      </c>
      <c r="L72">
        <f t="shared" si="3"/>
        <v>2.5</v>
      </c>
      <c r="M72" s="2">
        <v>3.095844</v>
      </c>
      <c r="N72" s="2">
        <v>1.6019999999999999E-3</v>
      </c>
      <c r="P72" s="2">
        <v>29.671341999999999</v>
      </c>
      <c r="Q72" s="2">
        <v>8.5901000000000005E-2</v>
      </c>
      <c r="T72" s="2">
        <v>5.0424150000000001</v>
      </c>
      <c r="U72" s="2">
        <v>1.9729999999999999E-3</v>
      </c>
      <c r="AA72">
        <f t="shared" si="16"/>
        <v>0</v>
      </c>
      <c r="AF72">
        <f t="shared" si="17"/>
        <v>0</v>
      </c>
      <c r="AG72" s="2">
        <v>4.9813980000000004</v>
      </c>
      <c r="AH72" s="2">
        <v>2.9689999999999999E-3</v>
      </c>
      <c r="AI72" s="2">
        <v>3.107612</v>
      </c>
      <c r="AJ72" s="2">
        <v>8.0599999999999997E-4</v>
      </c>
      <c r="AK72" s="2">
        <v>5.1827360000000002</v>
      </c>
      <c r="AL72" s="2">
        <v>1.147E-3</v>
      </c>
      <c r="AM72">
        <f t="shared" si="18"/>
        <v>80.230060374187204</v>
      </c>
      <c r="AT72" s="2">
        <f t="shared" si="9"/>
        <v>0</v>
      </c>
    </row>
    <row r="73" spans="1:46" x14ac:dyDescent="0.3">
      <c r="A73">
        <v>78</v>
      </c>
      <c r="E73" s="1">
        <f t="shared" si="11"/>
        <v>55.979662205052357</v>
      </c>
      <c r="F73" s="1">
        <f t="shared" si="7"/>
        <v>55.985262205052358</v>
      </c>
      <c r="G73" s="1">
        <f t="shared" si="8"/>
        <v>55.974062205052356</v>
      </c>
      <c r="H73" s="1">
        <f t="shared" si="1"/>
        <v>5.6000000000011596E-3</v>
      </c>
      <c r="J73">
        <v>300</v>
      </c>
      <c r="K73">
        <f t="shared" ref="K73:K135" si="19">(3*J73+295)/4</f>
        <v>298.75</v>
      </c>
      <c r="L73">
        <f t="shared" ref="L73:L135" si="20">(J73-295)/2</f>
        <v>2.5</v>
      </c>
      <c r="M73" s="2">
        <v>3.0892849999999998</v>
      </c>
      <c r="N73" s="2">
        <v>3.3799999999999998E-4</v>
      </c>
      <c r="P73" s="2">
        <v>29.483149000000001</v>
      </c>
      <c r="Q73" s="2">
        <v>1.8064E-2</v>
      </c>
      <c r="T73" s="2">
        <v>5.0372029999999999</v>
      </c>
      <c r="U73" s="2">
        <v>2.898E-3</v>
      </c>
      <c r="AA73">
        <f t="shared" si="16"/>
        <v>0</v>
      </c>
      <c r="AF73">
        <f t="shared" si="17"/>
        <v>0</v>
      </c>
      <c r="AG73" s="2">
        <v>4.9944269999999999</v>
      </c>
      <c r="AH73" s="2">
        <v>1.3273E-2</v>
      </c>
      <c r="AI73" s="2">
        <v>3.1094499999999998</v>
      </c>
      <c r="AJ73" s="2">
        <v>6.4180000000000001E-3</v>
      </c>
      <c r="AK73" s="2">
        <v>5.1644860000000001</v>
      </c>
      <c r="AL73" s="2">
        <v>6.2090000000000001E-3</v>
      </c>
      <c r="AM73">
        <f t="shared" si="18"/>
        <v>80.204059767137679</v>
      </c>
      <c r="AO73" s="2">
        <v>90</v>
      </c>
      <c r="AQ73" s="2">
        <v>90</v>
      </c>
      <c r="AS73" s="2">
        <v>80.204048</v>
      </c>
      <c r="AT73" s="2">
        <v>0.67010000000000003</v>
      </c>
    </row>
    <row r="74" spans="1:46" x14ac:dyDescent="0.3">
      <c r="A74">
        <v>79</v>
      </c>
      <c r="D74">
        <v>62</v>
      </c>
      <c r="E74" s="1">
        <f t="shared" si="11"/>
        <v>56.614414936757541</v>
      </c>
      <c r="F74" s="1">
        <f t="shared" ref="F74:F127" si="21" xml:space="preserve"> 3*$AR$2*(($AQ$2/(M74^3))^(2/3))*(1-($AQ$2/(M74^3))^(-1/3))*EXP((3/2)*($AS$2-1)*(1-($AQ$2/(M74^3))^(-1/3))) + $AT$2*((K74+L74)-300)</f>
        <v>56.620014936757542</v>
      </c>
      <c r="G74" s="1">
        <f t="shared" ref="G74:G127" si="22" xml:space="preserve"> 3*$AR$2*(($AQ$2/(M74^3))^(2/3))*(1-($AQ$2/(M74^3))^(-1/3))*EXP((3/2)*($AS$2-1)*(1-($AQ$2/(M74^3))^(-1/3))) + $AT$2*((K74-L74)-300)</f>
        <v>56.60881493675754</v>
      </c>
      <c r="H74" s="1">
        <f t="shared" ref="H74:H135" si="23">(F74-G74)/2</f>
        <v>5.6000000000011596E-3</v>
      </c>
      <c r="J74">
        <v>300</v>
      </c>
      <c r="K74">
        <f t="shared" si="19"/>
        <v>298.75</v>
      </c>
      <c r="L74">
        <f t="shared" si="20"/>
        <v>2.5</v>
      </c>
      <c r="M74" s="2">
        <v>3.0864690000000001</v>
      </c>
      <c r="N74" s="2">
        <v>3.1199999999999999E-4</v>
      </c>
      <c r="P74" s="2">
        <v>29.402588999999999</v>
      </c>
      <c r="Q74" s="2">
        <v>1.6685999999999999E-2</v>
      </c>
      <c r="T74" s="2">
        <v>5.0330899999999996</v>
      </c>
      <c r="U74" s="2">
        <v>2.026E-3</v>
      </c>
      <c r="AA74">
        <f t="shared" si="16"/>
        <v>0</v>
      </c>
      <c r="AF74">
        <f t="shared" si="17"/>
        <v>0</v>
      </c>
      <c r="AG74" s="2">
        <v>4.9767520000000003</v>
      </c>
      <c r="AH74" s="2">
        <v>4.2249999999999996E-3</v>
      </c>
      <c r="AI74" s="2">
        <v>3.1044459999999998</v>
      </c>
      <c r="AJ74" s="2">
        <v>2.5110000000000002E-3</v>
      </c>
      <c r="AK74" s="2">
        <v>5.1634570000000002</v>
      </c>
      <c r="AL74" s="2">
        <v>2.232E-3</v>
      </c>
      <c r="AM74">
        <f t="shared" si="18"/>
        <v>79.77570930121351</v>
      </c>
      <c r="AT74" s="2">
        <f t="shared" ref="AT74:AT135" si="24">AN74*AP74*AR74</f>
        <v>0</v>
      </c>
    </row>
    <row r="75" spans="1:46" x14ac:dyDescent="0.3">
      <c r="A75">
        <v>80</v>
      </c>
      <c r="E75" s="1">
        <f t="shared" si="11"/>
        <v>57.952356247262045</v>
      </c>
      <c r="F75" s="1">
        <f t="shared" si="21"/>
        <v>59.077956247262044</v>
      </c>
      <c r="G75" s="1">
        <f t="shared" si="22"/>
        <v>56.826756247262047</v>
      </c>
      <c r="H75" s="1">
        <f t="shared" si="23"/>
        <v>1.1255999999999986</v>
      </c>
      <c r="J75">
        <v>1300</v>
      </c>
      <c r="K75">
        <f t="shared" si="19"/>
        <v>1048.75</v>
      </c>
      <c r="L75">
        <f t="shared" si="20"/>
        <v>502.5</v>
      </c>
      <c r="M75" s="2">
        <v>3.0879829999999999</v>
      </c>
      <c r="N75" s="2">
        <v>1.11E-4</v>
      </c>
      <c r="P75" s="2">
        <v>29.445882000000001</v>
      </c>
      <c r="Q75" s="2">
        <v>5.9129999999999999E-3</v>
      </c>
      <c r="T75" s="2">
        <v>5.0391279999999998</v>
      </c>
      <c r="U75" s="2">
        <v>1.0560000000000001E-3</v>
      </c>
      <c r="AA75">
        <f t="shared" si="16"/>
        <v>0</v>
      </c>
      <c r="AF75">
        <f t="shared" si="17"/>
        <v>0</v>
      </c>
      <c r="AG75" s="2">
        <v>4.9934430000000001</v>
      </c>
      <c r="AH75" s="2">
        <v>4.4720000000000003E-3</v>
      </c>
      <c r="AI75" s="2">
        <v>3.0798649999999999</v>
      </c>
      <c r="AJ75" s="2">
        <v>1.157E-3</v>
      </c>
      <c r="AK75" s="2">
        <v>5.2274039999999999</v>
      </c>
      <c r="AL75" s="2">
        <v>1.2080000000000001E-3</v>
      </c>
      <c r="AM75">
        <f t="shared" si="18"/>
        <v>80.392927378445648</v>
      </c>
      <c r="AT75" s="2">
        <f t="shared" si="24"/>
        <v>0</v>
      </c>
    </row>
    <row r="76" spans="1:46" x14ac:dyDescent="0.3">
      <c r="A76">
        <v>81</v>
      </c>
      <c r="E76" s="1">
        <f t="shared" si="11"/>
        <v>58.021220650004075</v>
      </c>
      <c r="F76" s="1">
        <f t="shared" si="21"/>
        <v>59.270020650004071</v>
      </c>
      <c r="G76" s="1">
        <f t="shared" si="22"/>
        <v>56.772420650004072</v>
      </c>
      <c r="H76" s="1">
        <f t="shared" si="23"/>
        <v>1.2487999999999992</v>
      </c>
      <c r="J76">
        <v>1410</v>
      </c>
      <c r="K76">
        <f t="shared" si="19"/>
        <v>1131.25</v>
      </c>
      <c r="L76">
        <f t="shared" si="20"/>
        <v>557.5</v>
      </c>
      <c r="M76" s="2">
        <v>3.088498</v>
      </c>
      <c r="N76" s="2">
        <v>8.5000000000000006E-5</v>
      </c>
      <c r="P76" s="2">
        <v>29.460633999999999</v>
      </c>
      <c r="Q76" s="2">
        <v>4.5589999999999997E-3</v>
      </c>
      <c r="T76" s="2">
        <v>5.0395640000000004</v>
      </c>
      <c r="U76" s="2">
        <v>8.9300000000000002E-4</v>
      </c>
      <c r="AA76">
        <f t="shared" si="16"/>
        <v>0</v>
      </c>
      <c r="AF76">
        <f t="shared" si="17"/>
        <v>0</v>
      </c>
      <c r="AG76" s="2">
        <v>4.9836020000000003</v>
      </c>
      <c r="AH76" s="2">
        <v>5.2040000000000003E-3</v>
      </c>
      <c r="AI76" s="2">
        <v>3.0742750000000001</v>
      </c>
      <c r="AJ76" s="2">
        <v>1.348E-3</v>
      </c>
      <c r="AK76" s="2">
        <v>5.2449700000000004</v>
      </c>
      <c r="AL76" s="2">
        <v>1.426E-3</v>
      </c>
      <c r="AM76">
        <f t="shared" si="18"/>
        <v>80.357991508303613</v>
      </c>
      <c r="AT76" s="2">
        <f t="shared" si="24"/>
        <v>0</v>
      </c>
    </row>
    <row r="77" spans="1:46" x14ac:dyDescent="0.3">
      <c r="A77">
        <v>82</v>
      </c>
      <c r="E77" s="1">
        <f t="shared" si="11"/>
        <v>57.903123201293731</v>
      </c>
      <c r="F77" s="1">
        <f t="shared" si="21"/>
        <v>59.207923201293731</v>
      </c>
      <c r="G77" s="1">
        <f t="shared" si="22"/>
        <v>56.598323201293731</v>
      </c>
      <c r="H77" s="1">
        <f t="shared" si="23"/>
        <v>1.3048000000000002</v>
      </c>
      <c r="J77">
        <v>1460</v>
      </c>
      <c r="K77">
        <f t="shared" si="19"/>
        <v>1168.75</v>
      </c>
      <c r="L77">
        <f t="shared" si="20"/>
        <v>582.5</v>
      </c>
      <c r="M77" s="2">
        <v>3.0893980000000001</v>
      </c>
      <c r="N77" s="2">
        <v>2.0799999999999999E-4</v>
      </c>
      <c r="P77" s="2">
        <v>29.486376</v>
      </c>
      <c r="Q77" s="2">
        <v>1.1141E-2</v>
      </c>
      <c r="T77" s="2">
        <v>5.0388149999999996</v>
      </c>
      <c r="U77" s="2">
        <v>9.3999999999999997E-4</v>
      </c>
      <c r="AA77">
        <f t="shared" si="16"/>
        <v>0</v>
      </c>
      <c r="AF77">
        <f t="shared" si="17"/>
        <v>0</v>
      </c>
      <c r="AG77" s="2">
        <v>5.0078469999999999</v>
      </c>
      <c r="AH77" s="2">
        <v>4.7559999999999998E-3</v>
      </c>
      <c r="AI77" s="2">
        <v>3.0692460000000001</v>
      </c>
      <c r="AJ77" s="2">
        <v>1.2110000000000001E-3</v>
      </c>
      <c r="AK77" s="2">
        <v>5.2448730000000001</v>
      </c>
      <c r="AL77" s="2">
        <v>1.286E-3</v>
      </c>
      <c r="AM77">
        <f t="shared" si="18"/>
        <v>80.615346858358279</v>
      </c>
      <c r="AT77" s="2">
        <f t="shared" si="24"/>
        <v>0</v>
      </c>
    </row>
    <row r="78" spans="1:46" x14ac:dyDescent="0.3">
      <c r="A78">
        <v>83</v>
      </c>
      <c r="E78" s="1">
        <f t="shared" si="11"/>
        <v>58.302356121467646</v>
      </c>
      <c r="F78" s="1">
        <f t="shared" si="21"/>
        <v>59.674356121467646</v>
      </c>
      <c r="G78" s="1">
        <f t="shared" si="22"/>
        <v>56.930356121467646</v>
      </c>
      <c r="H78" s="1">
        <f t="shared" si="23"/>
        <v>1.3719999999999999</v>
      </c>
      <c r="J78">
        <v>1520</v>
      </c>
      <c r="K78">
        <f t="shared" si="19"/>
        <v>1213.75</v>
      </c>
      <c r="L78">
        <f t="shared" si="20"/>
        <v>612.5</v>
      </c>
      <c r="M78" s="2">
        <v>3.0880700000000001</v>
      </c>
      <c r="N78" s="2">
        <v>5.3300000000000005E-4</v>
      </c>
      <c r="P78" s="2">
        <v>29.448388000000001</v>
      </c>
      <c r="Q78" s="2">
        <v>2.8525999999999999E-2</v>
      </c>
      <c r="T78" s="2">
        <v>5.0390689999999996</v>
      </c>
      <c r="U78" s="2">
        <v>7.36E-4</v>
      </c>
      <c r="AA78">
        <f t="shared" si="16"/>
        <v>0</v>
      </c>
      <c r="AF78">
        <f t="shared" si="17"/>
        <v>0</v>
      </c>
      <c r="AG78" s="2">
        <v>5.0310079999999999</v>
      </c>
      <c r="AH78" s="2">
        <v>1.1507E-2</v>
      </c>
      <c r="AI78" s="2">
        <v>3.0646100000000001</v>
      </c>
      <c r="AJ78" s="2">
        <v>2.8830000000000001E-3</v>
      </c>
      <c r="AK78" s="2">
        <v>5.2461849999999997</v>
      </c>
      <c r="AL78" s="2">
        <v>3.075E-3</v>
      </c>
      <c r="AM78">
        <f t="shared" si="18"/>
        <v>80.886086525736445</v>
      </c>
      <c r="AT78" s="2">
        <f t="shared" si="24"/>
        <v>0</v>
      </c>
    </row>
    <row r="79" spans="1:46" x14ac:dyDescent="0.3">
      <c r="A79">
        <v>84</v>
      </c>
      <c r="E79" s="1">
        <f t="shared" si="11"/>
        <v>58.108064959504269</v>
      </c>
      <c r="F79" s="1">
        <f t="shared" si="21"/>
        <v>59.603264959504266</v>
      </c>
      <c r="G79" s="1">
        <f t="shared" si="22"/>
        <v>56.612864959504272</v>
      </c>
      <c r="H79" s="1">
        <f t="shared" si="23"/>
        <v>1.495199999999997</v>
      </c>
      <c r="J79">
        <v>1630</v>
      </c>
      <c r="K79">
        <f t="shared" si="19"/>
        <v>1296.25</v>
      </c>
      <c r="L79">
        <f t="shared" si="20"/>
        <v>667.5</v>
      </c>
      <c r="M79" s="2">
        <v>3.0897579999999998</v>
      </c>
      <c r="N79" s="2">
        <v>1.3100000000000001E-4</v>
      </c>
      <c r="P79" s="2">
        <v>29.496697000000001</v>
      </c>
      <c r="Q79" s="2">
        <v>6.986E-3</v>
      </c>
      <c r="T79" s="2">
        <v>5.0395839999999996</v>
      </c>
      <c r="U79" s="2">
        <v>6.1200000000000002E-4</v>
      </c>
      <c r="AA79">
        <f t="shared" si="16"/>
        <v>0</v>
      </c>
      <c r="AF79">
        <f t="shared" si="17"/>
        <v>0</v>
      </c>
      <c r="AG79" s="2">
        <v>5.004111</v>
      </c>
      <c r="AH79" s="2">
        <v>6.0530000000000002E-3</v>
      </c>
      <c r="AI79" s="2">
        <v>3.0622220000000002</v>
      </c>
      <c r="AJ79" s="2">
        <v>1.475E-3</v>
      </c>
      <c r="AK79" s="2">
        <v>5.258616</v>
      </c>
      <c r="AL79" s="2">
        <v>3.1220000000000002E-3</v>
      </c>
      <c r="AM79">
        <f t="shared" si="18"/>
        <v>80.581447660685143</v>
      </c>
      <c r="AT79" s="2">
        <f t="shared" si="24"/>
        <v>0</v>
      </c>
    </row>
    <row r="80" spans="1:46" x14ac:dyDescent="0.3">
      <c r="A80">
        <v>85</v>
      </c>
      <c r="E80" s="1">
        <f t="shared" si="11"/>
        <v>58.145557051134688</v>
      </c>
      <c r="F80" s="1">
        <f t="shared" si="21"/>
        <v>59.719157051134694</v>
      </c>
      <c r="G80" s="1">
        <f t="shared" si="22"/>
        <v>56.571957051134689</v>
      </c>
      <c r="H80" s="1">
        <f t="shared" si="23"/>
        <v>1.5736000000000026</v>
      </c>
      <c r="J80">
        <v>1700</v>
      </c>
      <c r="K80">
        <f t="shared" si="19"/>
        <v>1348.75</v>
      </c>
      <c r="L80">
        <f t="shared" si="20"/>
        <v>702.5</v>
      </c>
      <c r="M80" s="2">
        <v>3.0901160000000001</v>
      </c>
      <c r="N80" s="2">
        <v>6.9999999999999994E-5</v>
      </c>
      <c r="P80" s="2">
        <v>29.506948000000001</v>
      </c>
      <c r="Q80" s="2">
        <v>3.7429999999999998E-3</v>
      </c>
      <c r="T80" s="2">
        <v>5.0393059999999998</v>
      </c>
      <c r="U80" s="2">
        <v>3.4600000000000001E-4</v>
      </c>
      <c r="AA80">
        <f t="shared" si="16"/>
        <v>0</v>
      </c>
      <c r="AF80">
        <f t="shared" si="17"/>
        <v>0</v>
      </c>
      <c r="AG80" s="2">
        <v>5.0306150000000001</v>
      </c>
      <c r="AH80" s="2">
        <v>6.7600000000000004E-3</v>
      </c>
      <c r="AI80" s="2">
        <v>3.045442</v>
      </c>
      <c r="AJ80" s="2">
        <v>2.013E-3</v>
      </c>
      <c r="AK80" s="2">
        <v>5.2703110000000004</v>
      </c>
      <c r="AL80" s="2">
        <v>3.1710000000000002E-3</v>
      </c>
      <c r="AM80">
        <f t="shared" si="18"/>
        <v>80.74351616876443</v>
      </c>
      <c r="AT80" s="2">
        <f t="shared" si="24"/>
        <v>0</v>
      </c>
    </row>
    <row r="81" spans="1:46" x14ac:dyDescent="0.3">
      <c r="A81">
        <v>86</v>
      </c>
      <c r="E81" s="1">
        <f t="shared" si="11"/>
        <v>58.413162808248067</v>
      </c>
      <c r="F81" s="1">
        <f t="shared" si="21"/>
        <v>60.065162808248068</v>
      </c>
      <c r="G81" s="1">
        <f t="shared" si="22"/>
        <v>56.761162808248066</v>
      </c>
      <c r="H81" s="1">
        <f t="shared" si="23"/>
        <v>1.652000000000001</v>
      </c>
      <c r="J81">
        <v>1770</v>
      </c>
      <c r="K81">
        <f t="shared" si="19"/>
        <v>1401.25</v>
      </c>
      <c r="L81">
        <f t="shared" si="20"/>
        <v>737.5</v>
      </c>
      <c r="M81" s="2">
        <v>3.0894460000000001</v>
      </c>
      <c r="N81" s="2">
        <v>9.6000000000000002E-5</v>
      </c>
      <c r="P81" s="2">
        <v>29.487763000000001</v>
      </c>
      <c r="Q81" s="2">
        <v>5.13E-3</v>
      </c>
      <c r="T81" s="2">
        <v>5.0395789999999998</v>
      </c>
      <c r="U81" s="2">
        <v>1.73E-4</v>
      </c>
      <c r="AA81">
        <f t="shared" si="16"/>
        <v>0</v>
      </c>
      <c r="AF81">
        <f t="shared" si="17"/>
        <v>0</v>
      </c>
      <c r="AG81" s="2">
        <v>5.0326690000000003</v>
      </c>
      <c r="AH81" s="2">
        <v>6.293E-3</v>
      </c>
      <c r="AI81" s="2">
        <v>3.0570119999999998</v>
      </c>
      <c r="AJ81" s="2">
        <v>1.9689999999999998E-3</v>
      </c>
      <c r="AK81" s="2">
        <v>5.275989</v>
      </c>
      <c r="AL81" s="2">
        <v>3.094E-3</v>
      </c>
      <c r="AM81">
        <f t="shared" si="18"/>
        <v>81.170718939822947</v>
      </c>
      <c r="AT81" s="2">
        <f t="shared" si="24"/>
        <v>0</v>
      </c>
    </row>
    <row r="82" spans="1:46" x14ac:dyDescent="0.3">
      <c r="A82">
        <v>87</v>
      </c>
      <c r="E82" s="1">
        <f t="shared" si="11"/>
        <v>58.477441052468443</v>
      </c>
      <c r="F82" s="1">
        <f t="shared" si="21"/>
        <v>60.219041052468441</v>
      </c>
      <c r="G82" s="1">
        <f t="shared" si="22"/>
        <v>56.735841052468444</v>
      </c>
      <c r="H82" s="1">
        <f t="shared" si="23"/>
        <v>1.7415999999999983</v>
      </c>
      <c r="J82">
        <v>1850</v>
      </c>
      <c r="K82">
        <f t="shared" si="19"/>
        <v>1461.25</v>
      </c>
      <c r="L82">
        <f t="shared" si="20"/>
        <v>777.5</v>
      </c>
      <c r="M82" s="2">
        <v>3.0897589999999999</v>
      </c>
      <c r="N82" s="2">
        <v>1.3200000000000001E-4</v>
      </c>
      <c r="P82" s="2">
        <v>29.496714000000001</v>
      </c>
      <c r="Q82" s="2">
        <v>7.0740000000000004E-3</v>
      </c>
      <c r="R82" t="s">
        <v>44</v>
      </c>
      <c r="T82" s="2">
        <v>5.0403900000000004</v>
      </c>
      <c r="U82" s="2">
        <v>4.2499999999999998E-4</v>
      </c>
      <c r="W82" s="2">
        <v>6.0990450000000003</v>
      </c>
      <c r="X82" s="2">
        <v>2.8040000000000001E-3</v>
      </c>
      <c r="Y82" s="2">
        <v>5.0336210000000001</v>
      </c>
      <c r="Z82" s="2">
        <v>7.4949999999999999E-3</v>
      </c>
      <c r="AA82">
        <f t="shared" si="16"/>
        <v>81.078335490053732</v>
      </c>
      <c r="AF82">
        <f t="shared" si="17"/>
        <v>0</v>
      </c>
      <c r="AM82">
        <f t="shared" si="18"/>
        <v>0</v>
      </c>
      <c r="AT82" s="2">
        <f t="shared" si="24"/>
        <v>0</v>
      </c>
    </row>
    <row r="83" spans="1:46" x14ac:dyDescent="0.3">
      <c r="A83">
        <v>88</v>
      </c>
      <c r="E83" s="1">
        <f t="shared" si="11"/>
        <v>58.535535118244198</v>
      </c>
      <c r="F83" s="1">
        <f t="shared" si="21"/>
        <v>60.3667351182442</v>
      </c>
      <c r="G83" s="1">
        <f t="shared" si="22"/>
        <v>56.704335118244202</v>
      </c>
      <c r="H83" s="1">
        <f t="shared" si="23"/>
        <v>1.8311999999999991</v>
      </c>
      <c r="J83">
        <v>1930</v>
      </c>
      <c r="K83">
        <f t="shared" si="19"/>
        <v>1521.25</v>
      </c>
      <c r="L83">
        <f t="shared" si="20"/>
        <v>817.5</v>
      </c>
      <c r="M83" s="2">
        <v>3.0901000000000001</v>
      </c>
      <c r="N83" s="2">
        <v>1.9699999999999999E-4</v>
      </c>
      <c r="P83" s="2">
        <v>29.506505000000001</v>
      </c>
      <c r="Q83" s="2">
        <v>1.0555999999999999E-2</v>
      </c>
      <c r="R83" t="s">
        <v>37</v>
      </c>
      <c r="T83" s="2">
        <v>5.0409369999999996</v>
      </c>
      <c r="U83" s="2">
        <v>4.4799999999999999E-4</v>
      </c>
      <c r="W83" s="2">
        <v>6.1017780000000004</v>
      </c>
      <c r="X83" s="2">
        <v>2.2899999999999999E-3</v>
      </c>
      <c r="Y83" s="2">
        <v>5.0366200000000001</v>
      </c>
      <c r="Z83" s="2">
        <v>6.123E-3</v>
      </c>
      <c r="AA83">
        <f t="shared" si="16"/>
        <v>81.199363919837509</v>
      </c>
      <c r="AF83">
        <f t="shared" si="17"/>
        <v>0</v>
      </c>
      <c r="AM83">
        <f t="shared" si="18"/>
        <v>0</v>
      </c>
      <c r="AT83" s="2">
        <f t="shared" si="24"/>
        <v>0</v>
      </c>
    </row>
    <row r="84" spans="1:46" x14ac:dyDescent="0.3">
      <c r="A84">
        <v>89</v>
      </c>
      <c r="E84" s="1">
        <f t="shared" si="11"/>
        <v>58.533441999600733</v>
      </c>
      <c r="F84" s="1">
        <f t="shared" si="21"/>
        <v>60.454241999600733</v>
      </c>
      <c r="G84" s="1">
        <f t="shared" si="22"/>
        <v>56.612641999600733</v>
      </c>
      <c r="H84" s="1">
        <f t="shared" si="23"/>
        <v>1.9207999999999998</v>
      </c>
      <c r="J84">
        <v>2010</v>
      </c>
      <c r="K84">
        <f t="shared" si="19"/>
        <v>1581.25</v>
      </c>
      <c r="L84">
        <f t="shared" si="20"/>
        <v>857.5</v>
      </c>
      <c r="M84" s="2">
        <v>3.0907110000000002</v>
      </c>
      <c r="N84" s="2">
        <v>1.9599999999999999E-4</v>
      </c>
      <c r="P84" s="2">
        <v>29.524004000000001</v>
      </c>
      <c r="Q84" s="2">
        <v>1.0499E-2</v>
      </c>
      <c r="R84" t="s">
        <v>37</v>
      </c>
      <c r="T84" s="2">
        <v>5.0422770000000003</v>
      </c>
      <c r="U84" s="2">
        <v>6.02E-4</v>
      </c>
      <c r="W84" s="2">
        <v>6.1010799999999996</v>
      </c>
      <c r="X84" s="2">
        <v>2.0230000000000001E-3</v>
      </c>
      <c r="Y84" s="2">
        <v>5.0528919999999999</v>
      </c>
      <c r="Z84" s="2">
        <v>5.4590000000000003E-3</v>
      </c>
      <c r="AA84">
        <f t="shared" si="16"/>
        <v>81.443061584903489</v>
      </c>
      <c r="AF84">
        <f t="shared" si="17"/>
        <v>0</v>
      </c>
      <c r="AM84">
        <f t="shared" si="18"/>
        <v>0</v>
      </c>
      <c r="AT84" s="2">
        <f t="shared" si="24"/>
        <v>0</v>
      </c>
    </row>
    <row r="85" spans="1:46" x14ac:dyDescent="0.3">
      <c r="A85">
        <v>90</v>
      </c>
      <c r="E85" s="1">
        <f t="shared" si="11"/>
        <v>58.671742492053042</v>
      </c>
      <c r="F85" s="1">
        <f t="shared" si="21"/>
        <v>60.659742492053041</v>
      </c>
      <c r="G85" s="1">
        <f t="shared" si="22"/>
        <v>56.683742492053042</v>
      </c>
      <c r="H85" s="1">
        <f t="shared" si="23"/>
        <v>1.9879999999999995</v>
      </c>
      <c r="J85">
        <v>2070</v>
      </c>
      <c r="K85">
        <f t="shared" si="19"/>
        <v>1626.25</v>
      </c>
      <c r="L85">
        <f t="shared" si="20"/>
        <v>887.5</v>
      </c>
      <c r="M85" s="2">
        <v>3.0905429999999998</v>
      </c>
      <c r="N85" s="2">
        <v>4.7899999999999999E-4</v>
      </c>
      <c r="P85" s="2">
        <v>29.519186000000001</v>
      </c>
      <c r="Q85" s="2">
        <v>2.5666999999999999E-2</v>
      </c>
      <c r="R85" t="s">
        <v>81</v>
      </c>
      <c r="T85" s="2">
        <v>5.0422409999999998</v>
      </c>
      <c r="U85" s="2">
        <v>3.7300000000000001E-4</v>
      </c>
      <c r="W85" s="2">
        <v>6.1021239999999999</v>
      </c>
      <c r="X85" s="2">
        <v>2.8279999999999998E-3</v>
      </c>
      <c r="Y85" s="2">
        <v>5.0639510000000003</v>
      </c>
      <c r="Z85" s="2">
        <v>7.6689999999999996E-3</v>
      </c>
      <c r="AA85">
        <f t="shared" si="16"/>
        <v>81.649247764933747</v>
      </c>
      <c r="AF85">
        <f t="shared" si="17"/>
        <v>0</v>
      </c>
      <c r="AM85">
        <f t="shared" si="18"/>
        <v>0</v>
      </c>
      <c r="AT85" s="2">
        <f t="shared" si="24"/>
        <v>0</v>
      </c>
    </row>
    <row r="86" spans="1:46" x14ac:dyDescent="0.3">
      <c r="A86">
        <v>91</v>
      </c>
      <c r="E86" s="1">
        <f t="shared" si="11"/>
        <v>58.843593363414435</v>
      </c>
      <c r="F86" s="1">
        <f t="shared" si="21"/>
        <v>60.954793363414439</v>
      </c>
      <c r="G86" s="1">
        <f t="shared" si="22"/>
        <v>56.732393363414438</v>
      </c>
      <c r="H86" s="1">
        <f t="shared" si="23"/>
        <v>2.1112000000000002</v>
      </c>
      <c r="J86">
        <v>2180</v>
      </c>
      <c r="K86">
        <f t="shared" si="19"/>
        <v>1708.75</v>
      </c>
      <c r="L86">
        <f t="shared" si="20"/>
        <v>942.5</v>
      </c>
      <c r="M86" s="2">
        <v>3.0906009999999999</v>
      </c>
      <c r="N86" s="2">
        <v>4.7399999999999997E-4</v>
      </c>
      <c r="P86" s="2">
        <v>29.52084</v>
      </c>
      <c r="Q86" s="2">
        <v>2.5350999999999999E-2</v>
      </c>
      <c r="R86" t="s">
        <v>81</v>
      </c>
      <c r="T86" s="2">
        <v>5.0433539999999999</v>
      </c>
      <c r="U86" s="2">
        <v>3.8200000000000002E-4</v>
      </c>
      <c r="W86" s="2">
        <v>6.1047659999999997</v>
      </c>
      <c r="X86" s="2">
        <v>4.411E-3</v>
      </c>
      <c r="Y86" s="2">
        <v>5.0677149999999997</v>
      </c>
      <c r="Z86" s="2">
        <v>1.1975E-2</v>
      </c>
      <c r="AA86">
        <f t="shared" si="16"/>
        <v>81.78070732920051</v>
      </c>
      <c r="AF86">
        <f t="shared" si="17"/>
        <v>0</v>
      </c>
      <c r="AM86">
        <f t="shared" si="18"/>
        <v>0</v>
      </c>
      <c r="AT86" s="2">
        <f t="shared" si="24"/>
        <v>0</v>
      </c>
    </row>
    <row r="87" spans="1:46" x14ac:dyDescent="0.3">
      <c r="A87">
        <v>92</v>
      </c>
      <c r="E87" s="1">
        <f t="shared" si="11"/>
        <v>58.75525984307437</v>
      </c>
      <c r="F87" s="1">
        <f t="shared" si="21"/>
        <v>60.944859843074369</v>
      </c>
      <c r="G87" s="1">
        <f t="shared" si="22"/>
        <v>56.565659843074364</v>
      </c>
      <c r="H87" s="1">
        <f t="shared" si="23"/>
        <v>2.1896000000000022</v>
      </c>
      <c r="J87">
        <v>2250</v>
      </c>
      <c r="K87">
        <f t="shared" si="19"/>
        <v>1761.25</v>
      </c>
      <c r="L87">
        <f t="shared" si="20"/>
        <v>977.5</v>
      </c>
      <c r="M87" s="2">
        <v>3.0915249999999999</v>
      </c>
      <c r="N87" s="2">
        <v>2.81E-4</v>
      </c>
      <c r="P87" s="2">
        <v>29.547331</v>
      </c>
      <c r="Q87" s="2">
        <v>1.5058999999999999E-2</v>
      </c>
      <c r="R87" t="s">
        <v>81</v>
      </c>
      <c r="T87" s="2">
        <v>5.04528</v>
      </c>
      <c r="U87" s="2">
        <v>1.92E-4</v>
      </c>
      <c r="AA87">
        <f t="shared" si="16"/>
        <v>0</v>
      </c>
      <c r="AF87">
        <f t="shared" si="17"/>
        <v>0</v>
      </c>
      <c r="AM87">
        <f t="shared" si="18"/>
        <v>0</v>
      </c>
      <c r="AN87" s="2">
        <v>5.0931100684322201</v>
      </c>
      <c r="AP87" s="2">
        <v>3.0425646828469799</v>
      </c>
      <c r="AR87" s="2">
        <v>5.3028758812121204</v>
      </c>
      <c r="AT87" s="2">
        <f t="shared" si="24"/>
        <v>82.173984137564105</v>
      </c>
    </row>
    <row r="88" spans="1:46" x14ac:dyDescent="0.3">
      <c r="A88">
        <v>93</v>
      </c>
      <c r="E88" s="1">
        <f t="shared" si="11"/>
        <v>58.956892753682858</v>
      </c>
      <c r="F88" s="1">
        <f t="shared" si="21"/>
        <v>61.236092753682854</v>
      </c>
      <c r="G88" s="1">
        <f t="shared" si="22"/>
        <v>56.677692753682855</v>
      </c>
      <c r="H88" s="1">
        <f t="shared" si="23"/>
        <v>2.2791999999999994</v>
      </c>
      <c r="J88">
        <v>2330</v>
      </c>
      <c r="K88">
        <f t="shared" si="19"/>
        <v>1821.25</v>
      </c>
      <c r="L88">
        <f t="shared" si="20"/>
        <v>1017.5</v>
      </c>
      <c r="M88" s="2">
        <v>3.0912229999999998</v>
      </c>
      <c r="N88" s="2">
        <v>2.6499999999999999E-4</v>
      </c>
      <c r="P88" s="2">
        <v>29.538672999999999</v>
      </c>
      <c r="Q88" s="2">
        <v>1.4193000000000001E-2</v>
      </c>
      <c r="R88" t="s">
        <v>81</v>
      </c>
      <c r="T88" s="2">
        <v>5.0456510000000003</v>
      </c>
      <c r="U88" s="2">
        <v>9.2900000000000003E-4</v>
      </c>
      <c r="AA88">
        <f t="shared" si="16"/>
        <v>0</v>
      </c>
      <c r="AF88">
        <f t="shared" si="17"/>
        <v>0</v>
      </c>
      <c r="AM88">
        <f t="shared" si="18"/>
        <v>0</v>
      </c>
      <c r="AN88" s="2">
        <v>5.1003210000000001</v>
      </c>
      <c r="AO88" s="2">
        <v>2.6048999999999999E-2</v>
      </c>
      <c r="AP88" s="2">
        <v>3.0456210000000001</v>
      </c>
      <c r="AQ88" s="2">
        <v>2.5240000000000002E-3</v>
      </c>
      <c r="AR88" s="2">
        <v>5.2967199999999997</v>
      </c>
      <c r="AS88" s="2">
        <v>4.5770000000000003E-3</v>
      </c>
      <c r="AT88" s="2">
        <f t="shared" si="24"/>
        <v>82.277366790245864</v>
      </c>
    </row>
    <row r="89" spans="1:46" x14ac:dyDescent="0.3">
      <c r="A89">
        <v>94</v>
      </c>
      <c r="E89" s="1">
        <f t="shared" si="11"/>
        <v>58.032206075257506</v>
      </c>
      <c r="F89" s="1">
        <f t="shared" si="21"/>
        <v>58.037806075257507</v>
      </c>
      <c r="G89" s="1">
        <f t="shared" si="22"/>
        <v>58.026606075257504</v>
      </c>
      <c r="H89" s="1">
        <f t="shared" si="23"/>
        <v>5.6000000000011596E-3</v>
      </c>
      <c r="J89">
        <v>300</v>
      </c>
      <c r="K89">
        <f t="shared" si="19"/>
        <v>298.75</v>
      </c>
      <c r="L89">
        <f t="shared" si="20"/>
        <v>2.5</v>
      </c>
      <c r="M89" s="2">
        <v>3.080279</v>
      </c>
      <c r="N89" s="2">
        <v>8.0599999999999997E-4</v>
      </c>
      <c r="P89" s="2">
        <v>29.226063</v>
      </c>
      <c r="Q89" s="2">
        <v>4.2976E-2</v>
      </c>
      <c r="T89" s="2">
        <v>5.0290460000000001</v>
      </c>
      <c r="U89" s="2">
        <v>2.6099999999999999E-3</v>
      </c>
      <c r="AA89">
        <f t="shared" si="16"/>
        <v>0</v>
      </c>
      <c r="AF89">
        <f t="shared" si="17"/>
        <v>0</v>
      </c>
      <c r="AG89" s="2">
        <v>4.9686760000000003</v>
      </c>
      <c r="AH89" s="2">
        <v>3.4120000000000001E-3</v>
      </c>
      <c r="AI89" s="2">
        <v>3.0990479999999998</v>
      </c>
      <c r="AJ89" s="2">
        <v>7.1000000000000002E-4</v>
      </c>
      <c r="AK89" s="2">
        <v>5.1602059999999996</v>
      </c>
      <c r="AL89" s="2">
        <v>1.062E-3</v>
      </c>
      <c r="AM89">
        <f t="shared" si="18"/>
        <v>79.457705591588294</v>
      </c>
      <c r="AT89" s="2">
        <f t="shared" si="24"/>
        <v>0</v>
      </c>
    </row>
    <row r="90" spans="1:46" x14ac:dyDescent="0.3">
      <c r="A90">
        <v>95</v>
      </c>
      <c r="E90" s="1">
        <f t="shared" si="11"/>
        <v>62.717438472986402</v>
      </c>
      <c r="F90" s="1">
        <f t="shared" si="21"/>
        <v>62.723038472986403</v>
      </c>
      <c r="G90" s="1">
        <f t="shared" si="22"/>
        <v>62.7118384729864</v>
      </c>
      <c r="H90" s="1">
        <f t="shared" si="23"/>
        <v>5.6000000000011596E-3</v>
      </c>
      <c r="J90">
        <v>300</v>
      </c>
      <c r="K90">
        <f t="shared" si="19"/>
        <v>298.75</v>
      </c>
      <c r="L90">
        <f t="shared" si="20"/>
        <v>2.5</v>
      </c>
      <c r="M90" s="2">
        <v>3.0607389999999999</v>
      </c>
      <c r="N90" s="2">
        <v>3.4900000000000003E-4</v>
      </c>
      <c r="P90" s="2">
        <v>28.673366999999999</v>
      </c>
      <c r="Q90" s="2">
        <v>1.8513999999999999E-2</v>
      </c>
      <c r="R90" t="s">
        <v>35</v>
      </c>
      <c r="T90" s="2">
        <v>5.0242050000000003</v>
      </c>
      <c r="U90" s="2">
        <v>8.7240000000000009E-3</v>
      </c>
      <c r="AA90">
        <f t="shared" si="16"/>
        <v>0</v>
      </c>
      <c r="AF90">
        <f t="shared" si="17"/>
        <v>0</v>
      </c>
      <c r="AM90">
        <f t="shared" si="18"/>
        <v>0</v>
      </c>
      <c r="AT90" s="2">
        <f t="shared" si="24"/>
        <v>0</v>
      </c>
    </row>
    <row r="91" spans="1:46" x14ac:dyDescent="0.3">
      <c r="A91">
        <v>96</v>
      </c>
      <c r="E91" s="1">
        <f t="shared" si="11"/>
        <v>63.554559125904262</v>
      </c>
      <c r="F91" s="1">
        <f t="shared" si="21"/>
        <v>64.680159125904268</v>
      </c>
      <c r="G91" s="1">
        <f t="shared" si="22"/>
        <v>62.428959125904264</v>
      </c>
      <c r="H91" s="1">
        <f t="shared" si="23"/>
        <v>1.1256000000000022</v>
      </c>
      <c r="J91">
        <v>1300</v>
      </c>
      <c r="K91">
        <f t="shared" si="19"/>
        <v>1048.75</v>
      </c>
      <c r="L91">
        <f t="shared" si="20"/>
        <v>502.5</v>
      </c>
      <c r="M91" s="2">
        <v>3.0641560000000001</v>
      </c>
      <c r="N91" s="2">
        <v>1.66E-4</v>
      </c>
      <c r="P91" s="2">
        <v>28.769518999999999</v>
      </c>
      <c r="Q91" s="2">
        <v>8.8260000000000005E-3</v>
      </c>
      <c r="T91" s="2">
        <v>5.0306300000000004</v>
      </c>
      <c r="U91" s="2">
        <v>2.6199999999999999E-3</v>
      </c>
      <c r="AA91">
        <f t="shared" si="16"/>
        <v>0</v>
      </c>
      <c r="AF91">
        <f t="shared" si="17"/>
        <v>0</v>
      </c>
      <c r="AG91" s="2">
        <v>4.921087</v>
      </c>
      <c r="AH91" s="2">
        <v>4.0130000000000001E-3</v>
      </c>
      <c r="AI91" s="2">
        <v>3.0968520000000002</v>
      </c>
      <c r="AJ91" s="2">
        <v>2.323E-3</v>
      </c>
      <c r="AK91" s="2">
        <v>5.2033139999999998</v>
      </c>
      <c r="AL91" s="2">
        <v>1.916E-3</v>
      </c>
      <c r="AM91">
        <f t="shared" si="18"/>
        <v>79.297871170328264</v>
      </c>
      <c r="AT91" s="2">
        <f t="shared" si="24"/>
        <v>0</v>
      </c>
    </row>
    <row r="92" spans="1:46" x14ac:dyDescent="0.3">
      <c r="A92">
        <v>97</v>
      </c>
      <c r="E92" s="1">
        <f t="shared" si="11"/>
        <v>63.473826094241318</v>
      </c>
      <c r="F92" s="1">
        <f t="shared" si="21"/>
        <v>64.644226094241318</v>
      </c>
      <c r="G92" s="1">
        <f t="shared" si="22"/>
        <v>62.303426094241317</v>
      </c>
      <c r="H92" s="1">
        <f t="shared" si="23"/>
        <v>1.1704000000000008</v>
      </c>
      <c r="J92">
        <v>1340</v>
      </c>
      <c r="K92">
        <f t="shared" si="19"/>
        <v>1078.75</v>
      </c>
      <c r="L92">
        <f t="shared" si="20"/>
        <v>522.5</v>
      </c>
      <c r="M92" s="2">
        <v>3.0647600000000002</v>
      </c>
      <c r="N92" s="2">
        <v>1.15E-4</v>
      </c>
      <c r="P92" s="2">
        <v>28.786548</v>
      </c>
      <c r="Q92" s="2">
        <v>6.123E-3</v>
      </c>
      <c r="T92" s="2">
        <v>5.024248</v>
      </c>
      <c r="U92" s="2">
        <v>1.4920000000000001E-3</v>
      </c>
      <c r="AA92">
        <f t="shared" si="16"/>
        <v>0</v>
      </c>
      <c r="AF92">
        <f t="shared" si="17"/>
        <v>0</v>
      </c>
      <c r="AG92" s="2">
        <v>4.9408139999999996</v>
      </c>
      <c r="AH92" s="2">
        <v>4.1609999999999998E-3</v>
      </c>
      <c r="AI92" s="2">
        <v>3.0818449999999999</v>
      </c>
      <c r="AJ92" s="2">
        <v>1.333E-3</v>
      </c>
      <c r="AK92" s="2">
        <v>5.2107890000000001</v>
      </c>
      <c r="AL92" s="2">
        <v>1.9910000000000001E-3</v>
      </c>
      <c r="AM92">
        <f t="shared" si="18"/>
        <v>79.343761386019622</v>
      </c>
      <c r="AT92" s="2">
        <f t="shared" si="24"/>
        <v>0</v>
      </c>
    </row>
    <row r="93" spans="1:46" x14ac:dyDescent="0.3">
      <c r="A93">
        <v>98</v>
      </c>
      <c r="E93" s="1">
        <f t="shared" ref="E93:E127" si="25" xml:space="preserve"> 3*$AR$2*(($AQ$2/(M93^3))^(2/3))*(1-($AQ$2/(M93^3))^(-1/3))*EXP((3/2)*($AS$2-1)*(1-($AQ$2/(M93^3))^(-1/3))) + $AT$2*(K93-300)</f>
        <v>63.35229680129563</v>
      </c>
      <c r="F93" s="1">
        <f t="shared" si="21"/>
        <v>64.612296801295628</v>
      </c>
      <c r="G93" s="1">
        <f t="shared" si="22"/>
        <v>62.092296801295632</v>
      </c>
      <c r="H93" s="1">
        <f t="shared" si="23"/>
        <v>1.259999999999998</v>
      </c>
      <c r="J93">
        <v>1420</v>
      </c>
      <c r="K93">
        <f t="shared" si="19"/>
        <v>1138.75</v>
      </c>
      <c r="L93">
        <f t="shared" si="20"/>
        <v>562.5</v>
      </c>
      <c r="M93" s="2">
        <v>3.0658080000000001</v>
      </c>
      <c r="N93" s="2">
        <v>1.2E-4</v>
      </c>
      <c r="P93" s="2">
        <v>28.816082999999999</v>
      </c>
      <c r="Q93" s="2">
        <v>6.3930000000000002E-3</v>
      </c>
      <c r="T93" s="2">
        <v>5.0183309999999999</v>
      </c>
      <c r="U93" s="2">
        <v>6.8199999999999999E-4</v>
      </c>
      <c r="AA93">
        <f t="shared" si="16"/>
        <v>0</v>
      </c>
      <c r="AF93">
        <f t="shared" si="17"/>
        <v>0</v>
      </c>
      <c r="AG93" s="2">
        <v>4.9582819999999996</v>
      </c>
      <c r="AH93" s="2">
        <v>3.3509999999999998E-3</v>
      </c>
      <c r="AI93" s="2">
        <v>3.0719959999999999</v>
      </c>
      <c r="AJ93" s="2">
        <v>1.0549999999999999E-3</v>
      </c>
      <c r="AK93" s="2">
        <v>5.2123910000000002</v>
      </c>
      <c r="AL93" s="2">
        <v>1.5889999999999999E-3</v>
      </c>
      <c r="AM93">
        <f t="shared" si="18"/>
        <v>79.394214360770974</v>
      </c>
      <c r="AT93" s="2">
        <f t="shared" si="24"/>
        <v>0</v>
      </c>
    </row>
    <row r="94" spans="1:46" x14ac:dyDescent="0.3">
      <c r="A94">
        <v>99</v>
      </c>
      <c r="E94" s="1">
        <f t="shared" si="25"/>
        <v>63.683341509462913</v>
      </c>
      <c r="F94" s="1">
        <f t="shared" si="21"/>
        <v>65.010541509462911</v>
      </c>
      <c r="G94" s="1">
        <f t="shared" si="22"/>
        <v>62.356141509462915</v>
      </c>
      <c r="H94" s="1">
        <f t="shared" si="23"/>
        <v>1.3271999999999977</v>
      </c>
      <c r="J94">
        <v>1480</v>
      </c>
      <c r="K94">
        <f t="shared" si="19"/>
        <v>1183.75</v>
      </c>
      <c r="L94">
        <f t="shared" si="20"/>
        <v>592.5</v>
      </c>
      <c r="M94" s="2">
        <v>3.0648650000000002</v>
      </c>
      <c r="N94" s="2">
        <v>6.0499999999999996E-4</v>
      </c>
      <c r="P94" s="2">
        <v>28.789486</v>
      </c>
      <c r="Q94" s="2">
        <v>3.2101999999999999E-2</v>
      </c>
      <c r="T94" s="2">
        <v>5.0186809999999999</v>
      </c>
      <c r="U94" s="2">
        <v>8.7900000000000001E-4</v>
      </c>
      <c r="AA94">
        <f t="shared" si="16"/>
        <v>0</v>
      </c>
      <c r="AF94">
        <f t="shared" si="17"/>
        <v>0</v>
      </c>
      <c r="AG94" s="2">
        <v>4.9668840000000003</v>
      </c>
      <c r="AH94" s="2">
        <v>2.6129999999999999E-3</v>
      </c>
      <c r="AI94" s="2">
        <v>3.0668489999999999</v>
      </c>
      <c r="AJ94" s="2">
        <v>8.1599999999999999E-4</v>
      </c>
      <c r="AK94" s="2">
        <v>5.2145820000000001</v>
      </c>
      <c r="AL94" s="2">
        <v>1.235E-3</v>
      </c>
      <c r="AM94">
        <f t="shared" si="18"/>
        <v>79.432075775121419</v>
      </c>
      <c r="AT94" s="2">
        <f t="shared" si="24"/>
        <v>0</v>
      </c>
    </row>
    <row r="95" spans="1:46" x14ac:dyDescent="0.3">
      <c r="A95">
        <v>100</v>
      </c>
      <c r="E95" s="1">
        <f t="shared" si="25"/>
        <v>63.310858314855714</v>
      </c>
      <c r="F95" s="1">
        <f t="shared" si="21"/>
        <v>64.716458314855714</v>
      </c>
      <c r="G95" s="1">
        <f t="shared" si="22"/>
        <v>61.905258314855715</v>
      </c>
      <c r="H95" s="1">
        <f t="shared" si="23"/>
        <v>1.4055999999999997</v>
      </c>
      <c r="J95">
        <v>1550</v>
      </c>
      <c r="K95">
        <f t="shared" si="19"/>
        <v>1236.25</v>
      </c>
      <c r="L95">
        <f t="shared" si="20"/>
        <v>627.5</v>
      </c>
      <c r="M95" s="2">
        <v>3.0668760000000002</v>
      </c>
      <c r="N95" s="2">
        <v>3.3399999999999999E-4</v>
      </c>
      <c r="P95" s="2">
        <v>28.846209000000002</v>
      </c>
      <c r="Q95" s="2">
        <v>1.7724E-2</v>
      </c>
      <c r="T95" s="2">
        <v>5.0203290000000003</v>
      </c>
      <c r="U95" s="2">
        <v>9.6400000000000001E-4</v>
      </c>
      <c r="AA95">
        <f t="shared" si="16"/>
        <v>0</v>
      </c>
      <c r="AF95">
        <f t="shared" si="17"/>
        <v>0</v>
      </c>
      <c r="AG95" s="2">
        <v>4.9736159999999998</v>
      </c>
      <c r="AH95" s="2">
        <v>2.6090000000000002E-3</v>
      </c>
      <c r="AI95" s="2">
        <v>3.0633819999999998</v>
      </c>
      <c r="AJ95" s="2">
        <v>8.0999999999999996E-4</v>
      </c>
      <c r="AK95" s="2">
        <v>5.2173990000000003</v>
      </c>
      <c r="AL95" s="2">
        <v>1.23E-3</v>
      </c>
      <c r="AM95">
        <f t="shared" si="18"/>
        <v>79.492738448026699</v>
      </c>
      <c r="AT95" s="2">
        <f t="shared" si="24"/>
        <v>0</v>
      </c>
    </row>
    <row r="96" spans="1:46" x14ac:dyDescent="0.3">
      <c r="A96">
        <v>101</v>
      </c>
      <c r="E96" s="1">
        <f t="shared" si="25"/>
        <v>63.503563436738332</v>
      </c>
      <c r="F96" s="1">
        <f t="shared" si="21"/>
        <v>64.998763436738329</v>
      </c>
      <c r="G96" s="1">
        <f t="shared" si="22"/>
        <v>62.008363436738335</v>
      </c>
      <c r="H96" s="1">
        <f t="shared" si="23"/>
        <v>1.495199999999997</v>
      </c>
      <c r="J96">
        <v>1630</v>
      </c>
      <c r="K96">
        <f t="shared" si="19"/>
        <v>1296.25</v>
      </c>
      <c r="L96">
        <f t="shared" si="20"/>
        <v>667.5</v>
      </c>
      <c r="M96" s="2">
        <v>3.0666359999999999</v>
      </c>
      <c r="N96" s="2">
        <v>3.8299999999999999E-4</v>
      </c>
      <c r="P96" s="2">
        <v>28.839438000000001</v>
      </c>
      <c r="Q96" s="2">
        <v>2.0334999999999999E-2</v>
      </c>
      <c r="T96" s="2">
        <v>5.0190989999999998</v>
      </c>
      <c r="U96" s="2">
        <v>1.84E-4</v>
      </c>
      <c r="AA96">
        <f t="shared" si="16"/>
        <v>0</v>
      </c>
      <c r="AF96">
        <f t="shared" si="17"/>
        <v>0</v>
      </c>
      <c r="AG96" s="2">
        <v>4.9788309999999996</v>
      </c>
      <c r="AH96" s="2">
        <v>4.9950000000000003E-3</v>
      </c>
      <c r="AI96" s="2">
        <v>3.0581680000000002</v>
      </c>
      <c r="AJ96" s="2">
        <v>1.212E-3</v>
      </c>
      <c r="AK96" s="2">
        <v>5.2220500000000003</v>
      </c>
      <c r="AL96" s="2">
        <v>1.8010000000000001E-3</v>
      </c>
      <c r="AM96">
        <f t="shared" si="18"/>
        <v>79.511464077559069</v>
      </c>
      <c r="AT96" s="2">
        <f t="shared" si="24"/>
        <v>0</v>
      </c>
    </row>
    <row r="97" spans="1:46" x14ac:dyDescent="0.3">
      <c r="A97">
        <v>102</v>
      </c>
      <c r="E97" s="1">
        <f t="shared" si="25"/>
        <v>63.567151008611006</v>
      </c>
      <c r="F97" s="1">
        <f t="shared" si="21"/>
        <v>65.118351008611</v>
      </c>
      <c r="G97" s="1">
        <f t="shared" si="22"/>
        <v>62.015951008611005</v>
      </c>
      <c r="H97" s="1">
        <f t="shared" si="23"/>
        <v>1.5511999999999979</v>
      </c>
      <c r="J97">
        <v>1680</v>
      </c>
      <c r="K97">
        <f t="shared" si="19"/>
        <v>1333.75</v>
      </c>
      <c r="L97">
        <f t="shared" si="20"/>
        <v>692.5</v>
      </c>
      <c r="M97" s="2">
        <v>3.0667200000000001</v>
      </c>
      <c r="N97" s="2">
        <v>4.6999999999999999E-4</v>
      </c>
      <c r="P97" s="2">
        <v>28.841812000000001</v>
      </c>
      <c r="Q97" s="2">
        <v>2.4979999999999999E-2</v>
      </c>
      <c r="T97" s="2">
        <v>5.0192379999999996</v>
      </c>
      <c r="U97" s="2">
        <v>4.0700000000000003E-4</v>
      </c>
      <c r="AA97">
        <f t="shared" si="16"/>
        <v>0</v>
      </c>
      <c r="AF97">
        <f t="shared" si="17"/>
        <v>0</v>
      </c>
      <c r="AG97" s="2">
        <v>4.9904310000000001</v>
      </c>
      <c r="AH97" s="2">
        <v>2.882E-3</v>
      </c>
      <c r="AI97" s="2">
        <v>3.0526909999999998</v>
      </c>
      <c r="AJ97" s="2">
        <v>7.3899999999999997E-4</v>
      </c>
      <c r="AK97" s="2">
        <v>5.2283179999999998</v>
      </c>
      <c r="AL97" s="2">
        <v>1.3029999999999999E-3</v>
      </c>
      <c r="AM97">
        <f t="shared" si="18"/>
        <v>79.649471074992533</v>
      </c>
      <c r="AT97" s="2">
        <f t="shared" si="24"/>
        <v>0</v>
      </c>
    </row>
    <row r="98" spans="1:46" x14ac:dyDescent="0.3">
      <c r="A98">
        <v>103</v>
      </c>
      <c r="E98" s="1">
        <f t="shared" si="25"/>
        <v>63.219500882986019</v>
      </c>
      <c r="F98" s="1">
        <f t="shared" si="21"/>
        <v>64.86030088298601</v>
      </c>
      <c r="G98" s="1">
        <f t="shared" si="22"/>
        <v>61.578700882986013</v>
      </c>
      <c r="H98" s="1">
        <f t="shared" si="23"/>
        <v>1.6407999999999987</v>
      </c>
      <c r="J98">
        <v>1760</v>
      </c>
      <c r="K98">
        <f t="shared" si="19"/>
        <v>1393.75</v>
      </c>
      <c r="L98">
        <f t="shared" si="20"/>
        <v>732.5</v>
      </c>
      <c r="M98" s="2">
        <v>3.068711</v>
      </c>
      <c r="N98" s="2">
        <v>1E-4</v>
      </c>
      <c r="P98" s="2">
        <v>28.898015000000001</v>
      </c>
      <c r="Q98" s="2">
        <v>5.3020000000000003E-3</v>
      </c>
      <c r="T98" s="2">
        <v>5.0202349999999996</v>
      </c>
      <c r="U98" s="2">
        <v>8.0699999999999999E-4</v>
      </c>
      <c r="AA98">
        <f t="shared" si="16"/>
        <v>0</v>
      </c>
      <c r="AF98">
        <f t="shared" si="17"/>
        <v>0</v>
      </c>
      <c r="AG98" s="2">
        <v>5.0020800000000003</v>
      </c>
      <c r="AH98" s="2">
        <v>3.8070000000000001E-3</v>
      </c>
      <c r="AI98" s="2">
        <v>3.0466500000000001</v>
      </c>
      <c r="AJ98" s="2">
        <v>9.6599999999999995E-4</v>
      </c>
      <c r="AK98" s="2">
        <v>5.2334690000000004</v>
      </c>
      <c r="AL98" s="2">
        <v>1.7149999999999999E-3</v>
      </c>
      <c r="AM98">
        <f t="shared" si="18"/>
        <v>79.755906304774015</v>
      </c>
      <c r="AT98" s="2">
        <f t="shared" si="24"/>
        <v>0</v>
      </c>
    </row>
    <row r="99" spans="1:46" x14ac:dyDescent="0.3">
      <c r="A99">
        <v>104</v>
      </c>
      <c r="E99" s="1">
        <f t="shared" si="25"/>
        <v>63.255362101010661</v>
      </c>
      <c r="F99" s="1">
        <f t="shared" si="21"/>
        <v>64.974562101010662</v>
      </c>
      <c r="G99" s="1">
        <f t="shared" si="22"/>
        <v>61.53616210101066</v>
      </c>
      <c r="H99" s="1">
        <f t="shared" si="23"/>
        <v>1.7192000000000007</v>
      </c>
      <c r="J99">
        <v>1830</v>
      </c>
      <c r="K99">
        <f t="shared" si="19"/>
        <v>1446.25</v>
      </c>
      <c r="L99">
        <f t="shared" si="20"/>
        <v>767.5</v>
      </c>
      <c r="M99" s="2">
        <v>3.0690499999999998</v>
      </c>
      <c r="N99" s="2">
        <v>3.0600000000000001E-4</v>
      </c>
      <c r="P99" s="2">
        <v>28.907596999999999</v>
      </c>
      <c r="Q99" s="2">
        <v>1.6258999999999999E-2</v>
      </c>
      <c r="T99" s="2">
        <v>5.0207069999999998</v>
      </c>
      <c r="U99" s="2">
        <v>2.5099999999999998E-4</v>
      </c>
      <c r="AA99">
        <f t="shared" si="16"/>
        <v>0</v>
      </c>
      <c r="AF99">
        <f t="shared" si="17"/>
        <v>0</v>
      </c>
      <c r="AG99" s="2">
        <v>5.0063810000000002</v>
      </c>
      <c r="AH99" s="2">
        <v>3.627E-3</v>
      </c>
      <c r="AI99" s="2">
        <v>3.0443120000000001</v>
      </c>
      <c r="AJ99" s="2">
        <v>9.1699999999999995E-4</v>
      </c>
      <c r="AK99" s="2">
        <v>5.2381549999999999</v>
      </c>
      <c r="AL99" s="2">
        <v>1.634E-3</v>
      </c>
      <c r="AM99">
        <f t="shared" si="18"/>
        <v>79.834645736811552</v>
      </c>
      <c r="AT99" s="2">
        <f t="shared" si="24"/>
        <v>0</v>
      </c>
    </row>
    <row r="100" spans="1:46" x14ac:dyDescent="0.3">
      <c r="A100">
        <v>105</v>
      </c>
      <c r="E100" s="1">
        <f t="shared" si="25"/>
        <v>63.200884626017235</v>
      </c>
      <c r="F100" s="1">
        <f t="shared" si="21"/>
        <v>64.99848462601723</v>
      </c>
      <c r="G100" s="1">
        <f t="shared" si="22"/>
        <v>61.403284626017232</v>
      </c>
      <c r="H100" s="1">
        <f t="shared" si="23"/>
        <v>1.7975999999999992</v>
      </c>
      <c r="J100">
        <v>1900</v>
      </c>
      <c r="K100">
        <f t="shared" si="19"/>
        <v>1498.75</v>
      </c>
      <c r="L100">
        <f t="shared" si="20"/>
        <v>802.5</v>
      </c>
      <c r="M100" s="2">
        <v>3.0697649999999999</v>
      </c>
      <c r="N100" s="2">
        <v>3.5300000000000002E-4</v>
      </c>
      <c r="P100" s="2">
        <v>28.927795</v>
      </c>
      <c r="Q100" s="2">
        <v>1.8751E-2</v>
      </c>
      <c r="T100" s="2">
        <v>5.0222949999999997</v>
      </c>
      <c r="U100" s="2">
        <v>3.3300000000000002E-4</v>
      </c>
      <c r="AA100">
        <f t="shared" si="16"/>
        <v>0</v>
      </c>
      <c r="AF100">
        <f t="shared" si="17"/>
        <v>0</v>
      </c>
      <c r="AG100" s="2">
        <v>5.0160999999999998</v>
      </c>
      <c r="AH100" s="2">
        <v>5.0270000000000002E-3</v>
      </c>
      <c r="AI100" s="2">
        <v>3.0384899999999999</v>
      </c>
      <c r="AJ100" s="2">
        <v>1.2589999999999999E-3</v>
      </c>
      <c r="AK100" s="2">
        <v>5.2456139999999998</v>
      </c>
      <c r="AL100" s="2">
        <v>2.2599999999999999E-3</v>
      </c>
      <c r="AM100">
        <f t="shared" si="18"/>
        <v>79.950342219794038</v>
      </c>
      <c r="AT100" s="2">
        <f t="shared" si="24"/>
        <v>0</v>
      </c>
    </row>
    <row r="101" spans="1:46" x14ac:dyDescent="0.3">
      <c r="A101">
        <v>106</v>
      </c>
      <c r="E101" s="1">
        <f t="shared" si="25"/>
        <v>63.091035513054791</v>
      </c>
      <c r="F101" s="1">
        <f t="shared" si="21"/>
        <v>64.978235513054784</v>
      </c>
      <c r="G101" s="1">
        <f t="shared" si="22"/>
        <v>61.203835513054791</v>
      </c>
      <c r="H101" s="1">
        <f t="shared" si="23"/>
        <v>1.8871999999999964</v>
      </c>
      <c r="J101">
        <v>1980</v>
      </c>
      <c r="K101">
        <f t="shared" si="19"/>
        <v>1558.75</v>
      </c>
      <c r="L101">
        <f t="shared" si="20"/>
        <v>842.5</v>
      </c>
      <c r="M101" s="2">
        <v>3.070783</v>
      </c>
      <c r="N101" s="2">
        <v>1.3300000000000001E-4</v>
      </c>
      <c r="P101" s="2">
        <v>28.956593000000002</v>
      </c>
      <c r="Q101" s="2">
        <v>7.0749999999999997E-3</v>
      </c>
      <c r="T101" s="2">
        <v>5.0237829999999999</v>
      </c>
      <c r="U101" s="2">
        <v>4.2499999999999998E-4</v>
      </c>
      <c r="W101" s="2">
        <v>6.068594</v>
      </c>
      <c r="X101" s="2">
        <v>2.9780000000000002E-3</v>
      </c>
      <c r="Y101" s="2">
        <v>5.022113</v>
      </c>
      <c r="Z101" s="2">
        <v>8.0160000000000006E-3</v>
      </c>
      <c r="AA101">
        <f t="shared" si="16"/>
        <v>80.087231888684059</v>
      </c>
      <c r="AF101">
        <f t="shared" si="17"/>
        <v>0</v>
      </c>
      <c r="AM101">
        <f t="shared" si="18"/>
        <v>0</v>
      </c>
      <c r="AT101" s="2">
        <f t="shared" si="24"/>
        <v>0</v>
      </c>
    </row>
    <row r="102" spans="1:46" x14ac:dyDescent="0.3">
      <c r="A102">
        <v>107</v>
      </c>
      <c r="E102" s="1">
        <f t="shared" si="25"/>
        <v>63.034347149059208</v>
      </c>
      <c r="F102" s="1">
        <f t="shared" si="21"/>
        <v>65.011147149059212</v>
      </c>
      <c r="G102" s="1">
        <f t="shared" si="22"/>
        <v>61.057547149059211</v>
      </c>
      <c r="H102" s="1">
        <f t="shared" si="23"/>
        <v>1.9768000000000008</v>
      </c>
      <c r="J102">
        <v>2060</v>
      </c>
      <c r="K102">
        <f t="shared" si="19"/>
        <v>1618.75</v>
      </c>
      <c r="L102">
        <f t="shared" si="20"/>
        <v>882.5</v>
      </c>
      <c r="M102" s="2">
        <v>3.0715819999999998</v>
      </c>
      <c r="N102" s="2">
        <v>1.8799999999999999E-4</v>
      </c>
      <c r="P102" s="2">
        <v>28.979189999999999</v>
      </c>
      <c r="Q102" s="2">
        <v>1.0011000000000001E-2</v>
      </c>
      <c r="R102" t="s">
        <v>44</v>
      </c>
      <c r="T102" s="2">
        <v>5.0239599999999998</v>
      </c>
      <c r="U102" s="2">
        <v>3.9500000000000001E-4</v>
      </c>
      <c r="W102" s="2">
        <v>6.0700640000000003</v>
      </c>
      <c r="X102" s="2">
        <v>1.3489999999999999E-3</v>
      </c>
      <c r="Y102" s="2">
        <v>5.0317809999999996</v>
      </c>
      <c r="Z102" s="2">
        <v>3.6480000000000002E-3</v>
      </c>
      <c r="AA102">
        <f t="shared" si="16"/>
        <v>80.280285285180625</v>
      </c>
      <c r="AF102">
        <f t="shared" si="17"/>
        <v>0</v>
      </c>
      <c r="AM102">
        <f t="shared" si="18"/>
        <v>0</v>
      </c>
      <c r="AT102" s="2">
        <f t="shared" si="24"/>
        <v>0</v>
      </c>
    </row>
    <row r="103" spans="1:46" x14ac:dyDescent="0.3">
      <c r="A103">
        <v>108</v>
      </c>
      <c r="E103" s="1">
        <f t="shared" si="25"/>
        <v>63.455062590586415</v>
      </c>
      <c r="F103" s="1">
        <f t="shared" si="21"/>
        <v>65.566262590586419</v>
      </c>
      <c r="G103" s="1">
        <f t="shared" si="22"/>
        <v>61.343862590586419</v>
      </c>
      <c r="H103" s="1">
        <f t="shared" si="23"/>
        <v>2.1112000000000002</v>
      </c>
      <c r="J103">
        <v>2180</v>
      </c>
      <c r="K103">
        <f t="shared" si="19"/>
        <v>1708.75</v>
      </c>
      <c r="L103">
        <f t="shared" si="20"/>
        <v>942.5</v>
      </c>
      <c r="M103" s="2">
        <v>3.0706660000000001</v>
      </c>
      <c r="N103" s="2">
        <v>3.0699999999999998E-4</v>
      </c>
      <c r="P103" s="2">
        <v>28.953268000000001</v>
      </c>
      <c r="Q103" s="2">
        <v>1.6337999999999998E-2</v>
      </c>
      <c r="R103" t="s">
        <v>37</v>
      </c>
      <c r="T103" s="2">
        <v>5.0244309999999999</v>
      </c>
      <c r="U103" s="2">
        <v>1.2310000000000001E-3</v>
      </c>
      <c r="W103" s="2">
        <v>6.0723830000000003</v>
      </c>
      <c r="X103" s="2">
        <v>1.0189999999999999E-3</v>
      </c>
      <c r="Y103" s="2">
        <v>5.0389480000000004</v>
      </c>
      <c r="Z103" s="2">
        <v>2.7620000000000001E-3</v>
      </c>
      <c r="AA103">
        <f t="shared" si="16"/>
        <v>80.456071706460136</v>
      </c>
      <c r="AF103">
        <f t="shared" si="17"/>
        <v>0</v>
      </c>
      <c r="AM103">
        <f t="shared" si="18"/>
        <v>0</v>
      </c>
      <c r="AT103" s="2">
        <f t="shared" si="24"/>
        <v>0</v>
      </c>
    </row>
    <row r="104" spans="1:46" x14ac:dyDescent="0.3">
      <c r="A104">
        <v>109</v>
      </c>
      <c r="E104" s="1">
        <f t="shared" si="25"/>
        <v>63.012229125797475</v>
      </c>
      <c r="F104" s="1">
        <f t="shared" si="21"/>
        <v>65.235429125797481</v>
      </c>
      <c r="G104" s="1">
        <f t="shared" si="22"/>
        <v>60.789029125797477</v>
      </c>
      <c r="H104" s="1">
        <f t="shared" si="23"/>
        <v>2.2232000000000021</v>
      </c>
      <c r="J104">
        <v>2280</v>
      </c>
      <c r="K104">
        <f t="shared" si="19"/>
        <v>1783.75</v>
      </c>
      <c r="L104">
        <f t="shared" si="20"/>
        <v>992.5</v>
      </c>
      <c r="M104" s="2">
        <v>3.0732270000000002</v>
      </c>
      <c r="N104" s="2">
        <v>6.8400000000000004E-4</v>
      </c>
      <c r="P104" s="2">
        <v>29.025779</v>
      </c>
      <c r="Q104" s="2">
        <v>3.6384E-2</v>
      </c>
      <c r="S104" t="s">
        <v>35</v>
      </c>
      <c r="T104" s="2">
        <v>5.0260410000000002</v>
      </c>
      <c r="U104" s="2">
        <v>1.954E-3</v>
      </c>
      <c r="W104" s="2">
        <v>6.0743020000000003</v>
      </c>
      <c r="X104" s="2">
        <v>8.5099999999999998E-4</v>
      </c>
      <c r="Y104" s="2">
        <v>5.0486240000000002</v>
      </c>
      <c r="Z104" s="2">
        <v>2.3180000000000002E-3</v>
      </c>
      <c r="AA104">
        <f t="shared" si="16"/>
        <v>80.661524140976482</v>
      </c>
      <c r="AF104">
        <f t="shared" si="17"/>
        <v>0</v>
      </c>
      <c r="AM104">
        <f t="shared" si="18"/>
        <v>0</v>
      </c>
      <c r="AT104" s="2">
        <f t="shared" si="24"/>
        <v>0</v>
      </c>
    </row>
    <row r="105" spans="1:46" x14ac:dyDescent="0.3">
      <c r="A105">
        <v>110</v>
      </c>
      <c r="E105" s="1">
        <f t="shared" si="25"/>
        <v>63.606991249604157</v>
      </c>
      <c r="F105" s="1">
        <f t="shared" si="21"/>
        <v>65.930991249604148</v>
      </c>
      <c r="G105" s="1">
        <f t="shared" si="22"/>
        <v>61.282991249604152</v>
      </c>
      <c r="H105" s="1">
        <f t="shared" si="23"/>
        <v>2.3239999999999981</v>
      </c>
      <c r="J105">
        <v>2370</v>
      </c>
      <c r="K105">
        <f t="shared" si="19"/>
        <v>1851.25</v>
      </c>
      <c r="L105">
        <f t="shared" si="20"/>
        <v>1037.5</v>
      </c>
      <c r="M105" s="2">
        <v>3.0713650000000001</v>
      </c>
      <c r="N105" s="2">
        <v>1.6000000000000001E-4</v>
      </c>
      <c r="P105" s="2">
        <v>28.973051999999999</v>
      </c>
      <c r="Q105" s="2">
        <v>8.4899999999999993E-3</v>
      </c>
      <c r="R105" t="s">
        <v>81</v>
      </c>
      <c r="T105" s="2">
        <v>5.0278910000000003</v>
      </c>
      <c r="U105" s="2">
        <v>1.403E-3</v>
      </c>
      <c r="W105" s="2">
        <v>6.0730019999999998</v>
      </c>
      <c r="X105" s="2">
        <v>1.3799999999999999E-3</v>
      </c>
      <c r="Y105" s="2">
        <v>5.0595100000000004</v>
      </c>
      <c r="Z105" s="2">
        <v>3.7820000000000002E-3</v>
      </c>
      <c r="AA105">
        <f t="shared" si="16"/>
        <v>80.800852512090671</v>
      </c>
      <c r="AF105">
        <f t="shared" si="17"/>
        <v>0</v>
      </c>
      <c r="AM105">
        <f t="shared" si="18"/>
        <v>0</v>
      </c>
      <c r="AT105" s="2">
        <f t="shared" si="24"/>
        <v>0</v>
      </c>
    </row>
    <row r="106" spans="1:46" x14ac:dyDescent="0.3">
      <c r="A106">
        <v>111</v>
      </c>
      <c r="E106" s="1">
        <f t="shared" si="25"/>
        <v>63.430978445453057</v>
      </c>
      <c r="F106" s="1">
        <f t="shared" si="21"/>
        <v>65.81097844545306</v>
      </c>
      <c r="G106" s="1">
        <f t="shared" si="22"/>
        <v>61.050978445453062</v>
      </c>
      <c r="H106" s="1">
        <f t="shared" si="23"/>
        <v>2.379999999999999</v>
      </c>
      <c r="J106">
        <v>2420</v>
      </c>
      <c r="K106">
        <f t="shared" si="19"/>
        <v>1888.75</v>
      </c>
      <c r="L106">
        <f t="shared" si="20"/>
        <v>1062.5</v>
      </c>
      <c r="M106" s="2">
        <v>3.0724550000000002</v>
      </c>
      <c r="N106" s="2">
        <v>5.0600000000000005E-4</v>
      </c>
      <c r="P106" s="2">
        <v>29.003914000000002</v>
      </c>
      <c r="Q106" s="2">
        <v>2.691E-2</v>
      </c>
      <c r="R106" t="s">
        <v>81</v>
      </c>
      <c r="T106" s="2">
        <v>5.0286809999999997</v>
      </c>
      <c r="U106" s="2">
        <v>1.356E-3</v>
      </c>
      <c r="W106" s="2">
        <v>6.0774309999999998</v>
      </c>
      <c r="X106" s="2">
        <v>4.7670000000000004E-3</v>
      </c>
      <c r="Y106" s="2">
        <v>5.0759780000000001</v>
      </c>
      <c r="Z106" s="2">
        <v>1.3152E-2</v>
      </c>
      <c r="AA106">
        <f t="shared" si="16"/>
        <v>81.182129793934337</v>
      </c>
      <c r="AF106">
        <f t="shared" si="17"/>
        <v>0</v>
      </c>
      <c r="AM106">
        <f t="shared" si="18"/>
        <v>0</v>
      </c>
      <c r="AT106" s="2">
        <f t="shared" si="24"/>
        <v>0</v>
      </c>
    </row>
    <row r="107" spans="1:46" x14ac:dyDescent="0.3">
      <c r="A107">
        <v>112</v>
      </c>
      <c r="E107" s="1">
        <f t="shared" si="25"/>
        <v>63.863466026383918</v>
      </c>
      <c r="F107" s="1">
        <f t="shared" si="21"/>
        <v>66.34426602638392</v>
      </c>
      <c r="G107" s="1">
        <f t="shared" si="22"/>
        <v>61.382666026383916</v>
      </c>
      <c r="H107" s="1">
        <f t="shared" si="23"/>
        <v>2.4808000000000021</v>
      </c>
      <c r="J107">
        <v>2510</v>
      </c>
      <c r="K107">
        <f t="shared" si="19"/>
        <v>1956.25</v>
      </c>
      <c r="L107">
        <f t="shared" si="20"/>
        <v>1107.5</v>
      </c>
      <c r="M107" s="2">
        <v>3.0712760000000001</v>
      </c>
      <c r="N107" s="2">
        <v>1.4799999999999999E-4</v>
      </c>
      <c r="P107" s="2">
        <v>28.970528000000002</v>
      </c>
      <c r="Q107" s="2">
        <v>7.8980000000000005E-3</v>
      </c>
      <c r="R107" t="s">
        <v>81</v>
      </c>
      <c r="T107" s="2">
        <v>5.0308479999999998</v>
      </c>
      <c r="U107" s="2">
        <v>1.361E-3</v>
      </c>
      <c r="AA107">
        <f t="shared" si="16"/>
        <v>0</v>
      </c>
      <c r="AF107">
        <f t="shared" si="17"/>
        <v>0</v>
      </c>
      <c r="AM107">
        <f t="shared" si="18"/>
        <v>0</v>
      </c>
      <c r="AN107" s="2">
        <v>5.0807289999999998</v>
      </c>
      <c r="AO107" s="2">
        <v>3.9960000000000004E-3</v>
      </c>
      <c r="AP107" s="2">
        <v>3.0326879999999998</v>
      </c>
      <c r="AQ107" s="2">
        <v>1.279E-3</v>
      </c>
      <c r="AR107" s="2">
        <v>5.2865799999999998</v>
      </c>
      <c r="AS107" s="2">
        <v>2.2769999999999999E-3</v>
      </c>
      <c r="AT107" s="2">
        <f t="shared" si="24"/>
        <v>81.457030180656204</v>
      </c>
    </row>
    <row r="108" spans="1:46" x14ac:dyDescent="0.3">
      <c r="A108">
        <v>113</v>
      </c>
      <c r="E108" s="1">
        <f t="shared" si="25"/>
        <v>63.241833612979384</v>
      </c>
      <c r="F108" s="1">
        <f t="shared" si="21"/>
        <v>65.756233612979386</v>
      </c>
      <c r="G108" s="1">
        <f t="shared" si="22"/>
        <v>60.727433612979389</v>
      </c>
      <c r="H108" s="1">
        <f t="shared" si="23"/>
        <v>2.5143999999999984</v>
      </c>
      <c r="J108">
        <v>2540</v>
      </c>
      <c r="K108">
        <f t="shared" si="19"/>
        <v>1978.75</v>
      </c>
      <c r="L108">
        <f t="shared" si="20"/>
        <v>1122.5</v>
      </c>
      <c r="M108" s="2">
        <v>3.0741010000000002</v>
      </c>
      <c r="N108" s="2">
        <v>1.5169999999999999E-3</v>
      </c>
      <c r="P108" s="2">
        <v>29.050550999999999</v>
      </c>
      <c r="Q108" s="2">
        <v>8.0783999999999995E-2</v>
      </c>
      <c r="R108" t="s">
        <v>81</v>
      </c>
      <c r="T108" s="2">
        <v>5.0313559999999997</v>
      </c>
      <c r="U108" s="2">
        <v>5.3799999999999996E-4</v>
      </c>
      <c r="AA108">
        <f t="shared" si="16"/>
        <v>0</v>
      </c>
      <c r="AF108">
        <f t="shared" si="17"/>
        <v>0</v>
      </c>
      <c r="AM108">
        <f t="shared" si="18"/>
        <v>0</v>
      </c>
      <c r="AN108" s="2">
        <v>5.0874969999999999</v>
      </c>
      <c r="AO108" s="2">
        <v>1.4499999999999999E-3</v>
      </c>
      <c r="AP108" s="2">
        <v>3.0346000000000002</v>
      </c>
      <c r="AQ108" s="2">
        <v>4.8099999999999998E-4</v>
      </c>
      <c r="AR108" s="2">
        <v>5.2807589999999998</v>
      </c>
      <c r="AS108" s="2">
        <v>1.139E-3</v>
      </c>
      <c r="AT108" s="2">
        <f t="shared" si="24"/>
        <v>81.52709496739871</v>
      </c>
    </row>
    <row r="109" spans="1:46" x14ac:dyDescent="0.3">
      <c r="A109">
        <v>114</v>
      </c>
      <c r="E109" s="1">
        <f t="shared" si="25"/>
        <v>62.154879744833394</v>
      </c>
      <c r="F109" s="1">
        <f t="shared" si="21"/>
        <v>62.160479744833395</v>
      </c>
      <c r="G109" s="1">
        <f t="shared" si="22"/>
        <v>62.149279744833393</v>
      </c>
      <c r="H109" s="1">
        <f t="shared" si="23"/>
        <v>5.6000000000011596E-3</v>
      </c>
      <c r="J109">
        <v>300</v>
      </c>
      <c r="K109">
        <f t="shared" si="19"/>
        <v>298.75</v>
      </c>
      <c r="L109">
        <f t="shared" si="20"/>
        <v>2.5</v>
      </c>
      <c r="M109" s="2">
        <v>3.063015</v>
      </c>
      <c r="N109" s="2">
        <v>1.15E-4</v>
      </c>
      <c r="P109" s="2">
        <v>28.737393000000001</v>
      </c>
      <c r="Q109" s="2">
        <v>6.0930000000000003E-3</v>
      </c>
      <c r="T109" s="2">
        <v>5.014742</v>
      </c>
      <c r="AA109">
        <f t="shared" si="16"/>
        <v>0</v>
      </c>
      <c r="AF109">
        <f t="shared" si="17"/>
        <v>0</v>
      </c>
      <c r="AM109">
        <f t="shared" si="18"/>
        <v>0</v>
      </c>
      <c r="AT109" s="2">
        <f t="shared" si="24"/>
        <v>0</v>
      </c>
    </row>
    <row r="110" spans="1:46" x14ac:dyDescent="0.3">
      <c r="A110">
        <v>115</v>
      </c>
      <c r="E110" s="1" t="e">
        <f t="shared" si="25"/>
        <v>#DIV/0!</v>
      </c>
      <c r="F110" s="1" t="e">
        <f t="shared" si="21"/>
        <v>#DIV/0!</v>
      </c>
      <c r="G110" s="1" t="e">
        <f t="shared" si="22"/>
        <v>#DIV/0!</v>
      </c>
      <c r="H110" s="1" t="e">
        <f t="shared" si="23"/>
        <v>#DIV/0!</v>
      </c>
      <c r="J110">
        <v>300</v>
      </c>
      <c r="K110">
        <f t="shared" si="19"/>
        <v>298.75</v>
      </c>
      <c r="L110">
        <f t="shared" si="20"/>
        <v>2.5</v>
      </c>
      <c r="AA110">
        <f t="shared" si="16"/>
        <v>0</v>
      </c>
      <c r="AF110">
        <f t="shared" si="17"/>
        <v>0</v>
      </c>
      <c r="AM110">
        <f t="shared" si="18"/>
        <v>0</v>
      </c>
      <c r="AT110" s="2">
        <f t="shared" si="24"/>
        <v>0</v>
      </c>
    </row>
    <row r="111" spans="1:46" x14ac:dyDescent="0.3">
      <c r="A111">
        <v>116</v>
      </c>
      <c r="E111" s="1" t="e">
        <f t="shared" si="25"/>
        <v>#DIV/0!</v>
      </c>
      <c r="F111" s="1" t="e">
        <f t="shared" si="21"/>
        <v>#DIV/0!</v>
      </c>
      <c r="G111" s="1" t="e">
        <f t="shared" si="22"/>
        <v>#DIV/0!</v>
      </c>
      <c r="H111" s="1" t="e">
        <f t="shared" si="23"/>
        <v>#DIV/0!</v>
      </c>
      <c r="J111">
        <v>300</v>
      </c>
      <c r="K111">
        <f t="shared" si="19"/>
        <v>298.75</v>
      </c>
      <c r="L111">
        <f t="shared" si="20"/>
        <v>2.5</v>
      </c>
      <c r="AA111">
        <f t="shared" si="16"/>
        <v>0</v>
      </c>
      <c r="AF111">
        <f t="shared" si="17"/>
        <v>0</v>
      </c>
      <c r="AM111">
        <f t="shared" si="18"/>
        <v>0</v>
      </c>
      <c r="AT111" s="2">
        <f t="shared" si="24"/>
        <v>0</v>
      </c>
    </row>
    <row r="112" spans="1:46" x14ac:dyDescent="0.3">
      <c r="A112">
        <v>117</v>
      </c>
      <c r="D112">
        <v>65</v>
      </c>
      <c r="E112" s="1">
        <f t="shared" si="25"/>
        <v>64.169892438461801</v>
      </c>
      <c r="F112" s="1">
        <f t="shared" si="21"/>
        <v>64.175492438461788</v>
      </c>
      <c r="G112" s="1">
        <f t="shared" si="22"/>
        <v>64.1642924384618</v>
      </c>
      <c r="H112" s="1">
        <f t="shared" si="23"/>
        <v>5.5999999999940542E-3</v>
      </c>
      <c r="J112">
        <v>300</v>
      </c>
      <c r="K112">
        <f t="shared" si="19"/>
        <v>298.75</v>
      </c>
      <c r="L112">
        <f t="shared" si="20"/>
        <v>2.5</v>
      </c>
      <c r="M112" s="2">
        <v>3.0549460000000002</v>
      </c>
      <c r="T112" s="2">
        <v>5.0099289999999996</v>
      </c>
      <c r="AA112">
        <f t="shared" si="16"/>
        <v>0</v>
      </c>
      <c r="AF112">
        <f t="shared" si="17"/>
        <v>0</v>
      </c>
      <c r="AM112">
        <f t="shared" si="18"/>
        <v>0</v>
      </c>
      <c r="AT112" s="2">
        <f t="shared" si="24"/>
        <v>0</v>
      </c>
    </row>
    <row r="113" spans="1:46" x14ac:dyDescent="0.3">
      <c r="A113">
        <v>118</v>
      </c>
      <c r="D113">
        <v>70</v>
      </c>
      <c r="E113" s="1" t="e">
        <f t="shared" si="25"/>
        <v>#DIV/0!</v>
      </c>
      <c r="F113" s="1" t="e">
        <f t="shared" si="21"/>
        <v>#DIV/0!</v>
      </c>
      <c r="G113" s="1" t="e">
        <f t="shared" si="22"/>
        <v>#DIV/0!</v>
      </c>
      <c r="H113" s="1" t="e">
        <f t="shared" si="23"/>
        <v>#DIV/0!</v>
      </c>
      <c r="J113">
        <v>300</v>
      </c>
      <c r="K113">
        <f t="shared" si="19"/>
        <v>298.75</v>
      </c>
      <c r="L113">
        <f t="shared" si="20"/>
        <v>2.5</v>
      </c>
      <c r="AA113">
        <f t="shared" si="16"/>
        <v>0</v>
      </c>
      <c r="AF113">
        <f t="shared" si="17"/>
        <v>0</v>
      </c>
      <c r="AM113">
        <f t="shared" si="18"/>
        <v>0</v>
      </c>
      <c r="AT113" s="2">
        <f t="shared" si="24"/>
        <v>0</v>
      </c>
    </row>
    <row r="114" spans="1:46" x14ac:dyDescent="0.3">
      <c r="A114">
        <v>119</v>
      </c>
      <c r="E114" s="1">
        <f t="shared" si="25"/>
        <v>68.847733418840519</v>
      </c>
      <c r="F114" s="1">
        <f t="shared" si="21"/>
        <v>69.962133418840523</v>
      </c>
      <c r="G114" s="1">
        <f t="shared" si="22"/>
        <v>67.73333341884053</v>
      </c>
      <c r="H114" s="1">
        <f t="shared" si="23"/>
        <v>1.1143999999999963</v>
      </c>
      <c r="J114">
        <v>1290</v>
      </c>
      <c r="K114">
        <f t="shared" si="19"/>
        <v>1041.25</v>
      </c>
      <c r="L114">
        <f t="shared" si="20"/>
        <v>497.5</v>
      </c>
      <c r="M114" s="2">
        <v>3.043288</v>
      </c>
      <c r="N114" s="2">
        <v>3.3E-4</v>
      </c>
      <c r="P114" s="2">
        <v>28.185735000000001</v>
      </c>
      <c r="Q114" s="2">
        <v>1.7412E-2</v>
      </c>
      <c r="T114" s="2">
        <v>5.0147089999999999</v>
      </c>
      <c r="U114" s="2">
        <v>1.2880000000000001E-3</v>
      </c>
      <c r="AA114">
        <f t="shared" si="16"/>
        <v>0</v>
      </c>
      <c r="AF114">
        <f t="shared" si="17"/>
        <v>0</v>
      </c>
      <c r="AG114" s="2">
        <v>4.8591939999999996</v>
      </c>
      <c r="AH114" s="2">
        <v>3.6089999999999998E-3</v>
      </c>
      <c r="AI114" s="2">
        <v>3.0760930000000002</v>
      </c>
      <c r="AJ114" s="2">
        <v>7.7099999999999998E-4</v>
      </c>
      <c r="AK114" s="2">
        <v>5.1810859999999996</v>
      </c>
      <c r="AL114" s="2">
        <v>6.6399999999999999E-4</v>
      </c>
      <c r="AM114">
        <f t="shared" si="18"/>
        <v>77.443415925294417</v>
      </c>
      <c r="AT114" s="2">
        <f t="shared" si="24"/>
        <v>0</v>
      </c>
    </row>
    <row r="115" spans="1:46" x14ac:dyDescent="0.3">
      <c r="A115">
        <v>120</v>
      </c>
      <c r="E115" s="1">
        <f t="shared" si="25"/>
        <v>68.943870737669272</v>
      </c>
      <c r="F115" s="1">
        <f t="shared" si="21"/>
        <v>70.14787073766928</v>
      </c>
      <c r="G115" s="1">
        <f t="shared" si="22"/>
        <v>67.739870737669278</v>
      </c>
      <c r="H115" s="1">
        <f t="shared" si="23"/>
        <v>1.2040000000000006</v>
      </c>
      <c r="J115">
        <v>1370</v>
      </c>
      <c r="K115">
        <f t="shared" si="19"/>
        <v>1101.25</v>
      </c>
      <c r="L115">
        <f t="shared" si="20"/>
        <v>537.5</v>
      </c>
      <c r="M115" s="2">
        <v>3.0434329999999998</v>
      </c>
      <c r="N115" s="2">
        <v>3.48E-4</v>
      </c>
      <c r="P115" s="2">
        <v>28.189737999999998</v>
      </c>
      <c r="Q115" s="2">
        <v>1.8343000000000002E-2</v>
      </c>
      <c r="T115" s="2">
        <v>5.0129599999999996</v>
      </c>
      <c r="U115" s="2">
        <v>3.6900000000000001E-3</v>
      </c>
      <c r="AA115">
        <f t="shared" si="16"/>
        <v>0</v>
      </c>
      <c r="AF115">
        <f t="shared" si="17"/>
        <v>0</v>
      </c>
      <c r="AG115" s="2">
        <v>4.9305349999999999</v>
      </c>
      <c r="AH115" s="2">
        <v>7.8740000000000008E-3</v>
      </c>
      <c r="AI115" s="2">
        <v>3.0716299999999999</v>
      </c>
      <c r="AJ115" s="2">
        <v>2.7000000000000001E-3</v>
      </c>
      <c r="AK115" s="2">
        <v>5.1773949999999997</v>
      </c>
      <c r="AL115" s="2">
        <v>4.156E-3</v>
      </c>
      <c r="AM115">
        <f t="shared" si="18"/>
        <v>78.410504220345558</v>
      </c>
      <c r="AT115" s="2">
        <f t="shared" si="24"/>
        <v>0</v>
      </c>
    </row>
    <row r="116" spans="1:46" x14ac:dyDescent="0.3">
      <c r="A116">
        <v>121</v>
      </c>
      <c r="E116" s="1">
        <f t="shared" si="25"/>
        <v>68.917040877424398</v>
      </c>
      <c r="F116" s="1">
        <f t="shared" si="21"/>
        <v>70.199440877424394</v>
      </c>
      <c r="G116" s="1">
        <f t="shared" si="22"/>
        <v>67.634640877424388</v>
      </c>
      <c r="H116" s="1">
        <f t="shared" si="23"/>
        <v>1.2824000000000026</v>
      </c>
      <c r="J116">
        <v>1440</v>
      </c>
      <c r="K116">
        <f t="shared" si="19"/>
        <v>1153.75</v>
      </c>
      <c r="L116">
        <f t="shared" si="20"/>
        <v>572.5</v>
      </c>
      <c r="M116" s="2">
        <v>3.043981</v>
      </c>
      <c r="N116" s="2">
        <v>6.6299999999999996E-4</v>
      </c>
      <c r="P116" s="2">
        <v>28.204982999999999</v>
      </c>
      <c r="Q116" s="2">
        <v>3.4960999999999999E-2</v>
      </c>
      <c r="T116" s="2">
        <v>5.0143180000000003</v>
      </c>
      <c r="U116" s="2">
        <v>3.6949999999999999E-3</v>
      </c>
      <c r="AA116">
        <f t="shared" si="16"/>
        <v>0</v>
      </c>
      <c r="AF116">
        <f t="shared" si="17"/>
        <v>0</v>
      </c>
      <c r="AG116" s="2">
        <v>4.9394309999999999</v>
      </c>
      <c r="AH116" s="2">
        <v>6.6220000000000003E-3</v>
      </c>
      <c r="AI116" s="2">
        <v>3.0621849999999999</v>
      </c>
      <c r="AJ116" s="2">
        <v>2.2430000000000002E-3</v>
      </c>
      <c r="AK116" s="2">
        <v>5.1834730000000002</v>
      </c>
      <c r="AL116" s="2">
        <v>3.4849999999999998E-3</v>
      </c>
      <c r="AM116">
        <f t="shared" si="18"/>
        <v>78.402369549804916</v>
      </c>
      <c r="AT116" s="2">
        <f t="shared" si="24"/>
        <v>0</v>
      </c>
    </row>
    <row r="117" spans="1:46" x14ac:dyDescent="0.3">
      <c r="A117">
        <v>122</v>
      </c>
      <c r="E117" s="1">
        <f t="shared" si="25"/>
        <v>68.929590747687399</v>
      </c>
      <c r="F117" s="1">
        <f t="shared" si="21"/>
        <v>70.323990747687404</v>
      </c>
      <c r="G117" s="1">
        <f t="shared" si="22"/>
        <v>67.535190747687409</v>
      </c>
      <c r="H117" s="1">
        <f t="shared" si="23"/>
        <v>1.3943999999999974</v>
      </c>
      <c r="J117">
        <v>1540</v>
      </c>
      <c r="K117">
        <f t="shared" si="19"/>
        <v>1228.75</v>
      </c>
      <c r="L117">
        <f t="shared" si="20"/>
        <v>622.5</v>
      </c>
      <c r="M117" s="2">
        <v>3.0445720000000001</v>
      </c>
      <c r="N117" s="2">
        <v>6.6699999999999995E-4</v>
      </c>
      <c r="P117" s="2">
        <v>28.221419000000001</v>
      </c>
      <c r="Q117" s="2">
        <v>3.5159999999999997E-2</v>
      </c>
      <c r="T117" s="2">
        <v>5.0012379999999999</v>
      </c>
      <c r="U117" s="2">
        <v>4.1289999999999999E-3</v>
      </c>
      <c r="AA117">
        <f t="shared" si="16"/>
        <v>0</v>
      </c>
      <c r="AF117">
        <f t="shared" si="17"/>
        <v>0</v>
      </c>
      <c r="AG117" s="2">
        <v>4.9505439999999998</v>
      </c>
      <c r="AH117" s="2">
        <v>5.4130000000000003E-3</v>
      </c>
      <c r="AI117" s="2">
        <v>3.0534300000000001</v>
      </c>
      <c r="AJ117" s="2">
        <v>1.8090000000000001E-3</v>
      </c>
      <c r="AK117" s="2">
        <v>5.1893000000000002</v>
      </c>
      <c r="AL117" s="2">
        <v>2.836E-3</v>
      </c>
      <c r="AM117">
        <f t="shared" si="18"/>
        <v>78.44218304942865</v>
      </c>
      <c r="AT117" s="2">
        <f t="shared" si="24"/>
        <v>0</v>
      </c>
    </row>
    <row r="118" spans="1:46" x14ac:dyDescent="0.3">
      <c r="A118">
        <v>123</v>
      </c>
      <c r="E118" s="1">
        <f t="shared" si="25"/>
        <v>69.200797776529811</v>
      </c>
      <c r="F118" s="1">
        <f t="shared" si="21"/>
        <v>70.673597776529817</v>
      </c>
      <c r="G118" s="1">
        <f t="shared" si="22"/>
        <v>67.727997776529818</v>
      </c>
      <c r="H118" s="1">
        <f t="shared" si="23"/>
        <v>1.4727999999999994</v>
      </c>
      <c r="J118">
        <v>1610</v>
      </c>
      <c r="K118">
        <f t="shared" si="19"/>
        <v>1281.25</v>
      </c>
      <c r="L118">
        <f t="shared" si="20"/>
        <v>657.5</v>
      </c>
      <c r="M118" s="2">
        <v>3.0439880000000001</v>
      </c>
      <c r="N118" s="2">
        <v>3.59E-4</v>
      </c>
      <c r="P118" s="2">
        <v>28.205171</v>
      </c>
      <c r="Q118" s="2">
        <v>1.8904000000000001E-2</v>
      </c>
      <c r="T118" s="2">
        <v>4.9988359999999998</v>
      </c>
      <c r="U118" s="2">
        <v>1.8320000000000001E-3</v>
      </c>
      <c r="AA118">
        <f t="shared" si="16"/>
        <v>0</v>
      </c>
      <c r="AF118">
        <f t="shared" si="17"/>
        <v>0</v>
      </c>
      <c r="AG118" s="2">
        <v>4.9643680000000003</v>
      </c>
      <c r="AH118" s="2">
        <v>2.8930000000000002E-3</v>
      </c>
      <c r="AI118" s="2">
        <v>3.04332</v>
      </c>
      <c r="AJ118" s="2">
        <v>9.5200000000000005E-4</v>
      </c>
      <c r="AK118" s="2">
        <v>5.1966070000000002</v>
      </c>
      <c r="AL118" s="2">
        <v>1.5089999999999999E-3</v>
      </c>
      <c r="AM118">
        <f t="shared" si="18"/>
        <v>78.511172204840975</v>
      </c>
      <c r="AT118" s="2">
        <f t="shared" si="24"/>
        <v>0</v>
      </c>
    </row>
    <row r="119" spans="1:46" x14ac:dyDescent="0.3">
      <c r="A119">
        <v>124</v>
      </c>
      <c r="E119" s="1">
        <f t="shared" si="25"/>
        <v>69.199934397848139</v>
      </c>
      <c r="F119" s="1">
        <f t="shared" si="21"/>
        <v>70.807134397848131</v>
      </c>
      <c r="G119" s="1">
        <f t="shared" si="22"/>
        <v>67.592734397848133</v>
      </c>
      <c r="H119" s="1">
        <f t="shared" si="23"/>
        <v>1.6071999999999989</v>
      </c>
      <c r="J119">
        <v>1730</v>
      </c>
      <c r="K119">
        <f t="shared" si="19"/>
        <v>1371.25</v>
      </c>
      <c r="L119">
        <f t="shared" si="20"/>
        <v>717.5</v>
      </c>
      <c r="M119" s="2">
        <v>3.0447579999999999</v>
      </c>
      <c r="N119" s="2">
        <v>3.0400000000000002E-4</v>
      </c>
      <c r="P119" s="2">
        <v>28.226578</v>
      </c>
      <c r="Q119" s="2">
        <v>1.6049999999999998E-2</v>
      </c>
      <c r="R119" t="s">
        <v>35</v>
      </c>
      <c r="T119" s="2">
        <v>4.9969809999999999</v>
      </c>
      <c r="U119" s="2">
        <v>2.6819999999999999E-3</v>
      </c>
      <c r="AA119">
        <f t="shared" si="16"/>
        <v>0</v>
      </c>
      <c r="AF119">
        <f t="shared" si="17"/>
        <v>0</v>
      </c>
      <c r="AG119" s="2">
        <v>4.9746249999999996</v>
      </c>
      <c r="AH119" s="2">
        <v>2.212E-3</v>
      </c>
      <c r="AI119" s="2">
        <v>3.0361910000000001</v>
      </c>
      <c r="AJ119" s="2">
        <v>7.2000000000000005E-4</v>
      </c>
      <c r="AK119" s="2">
        <v>5.2038929999999999</v>
      </c>
      <c r="AL119" s="2">
        <v>1.15E-3</v>
      </c>
      <c r="AM119">
        <f t="shared" si="18"/>
        <v>78.599140125616586</v>
      </c>
      <c r="AT119" s="2">
        <f t="shared" si="24"/>
        <v>0</v>
      </c>
    </row>
    <row r="120" spans="1:46" x14ac:dyDescent="0.3">
      <c r="A120">
        <v>125</v>
      </c>
      <c r="E120" s="1">
        <f t="shared" si="25"/>
        <v>69.07821241602214</v>
      </c>
      <c r="F120" s="1">
        <f t="shared" si="21"/>
        <v>70.819812416022131</v>
      </c>
      <c r="G120" s="1">
        <f t="shared" si="22"/>
        <v>67.336612416022135</v>
      </c>
      <c r="H120" s="1">
        <f t="shared" si="23"/>
        <v>1.7415999999999983</v>
      </c>
      <c r="J120">
        <v>1850</v>
      </c>
      <c r="K120">
        <f t="shared" si="19"/>
        <v>1461.25</v>
      </c>
      <c r="L120">
        <f t="shared" si="20"/>
        <v>777.5</v>
      </c>
      <c r="M120" s="2">
        <v>3.045992</v>
      </c>
      <c r="N120" s="2">
        <v>3.9800000000000002E-4</v>
      </c>
      <c r="P120" s="2">
        <v>28.260926999999999</v>
      </c>
      <c r="Q120" s="2">
        <v>2.0982000000000001E-2</v>
      </c>
      <c r="R120" t="s">
        <v>44</v>
      </c>
      <c r="T120" s="2">
        <v>4.9977150000000004</v>
      </c>
      <c r="U120" s="2">
        <v>7.7200000000000001E-4</v>
      </c>
      <c r="AA120">
        <f t="shared" si="16"/>
        <v>0</v>
      </c>
      <c r="AF120">
        <f t="shared" si="17"/>
        <v>0</v>
      </c>
      <c r="AG120" s="2">
        <v>4.9882400000000002</v>
      </c>
      <c r="AH120" s="2">
        <v>3.1549999999999998E-3</v>
      </c>
      <c r="AI120" s="2">
        <v>3.0265249999999999</v>
      </c>
      <c r="AJ120" s="2">
        <v>1.0280000000000001E-3</v>
      </c>
      <c r="AK120" s="2">
        <v>5.2135600000000002</v>
      </c>
      <c r="AL120" s="2">
        <v>2.2650000000000001E-3</v>
      </c>
      <c r="AM120">
        <f t="shared" si="18"/>
        <v>78.709287711574959</v>
      </c>
      <c r="AT120" s="2">
        <f t="shared" si="24"/>
        <v>0</v>
      </c>
    </row>
    <row r="121" spans="1:46" x14ac:dyDescent="0.3">
      <c r="A121">
        <v>126</v>
      </c>
      <c r="E121" s="1">
        <f t="shared" si="25"/>
        <v>69.069121957666255</v>
      </c>
      <c r="F121" s="1">
        <f t="shared" si="21"/>
        <v>70.889121957666248</v>
      </c>
      <c r="G121" s="1">
        <f t="shared" si="22"/>
        <v>67.249121957666247</v>
      </c>
      <c r="H121" s="1">
        <f t="shared" si="23"/>
        <v>1.8200000000000003</v>
      </c>
      <c r="J121">
        <v>1920</v>
      </c>
      <c r="K121">
        <f t="shared" si="19"/>
        <v>1513.75</v>
      </c>
      <c r="L121">
        <f t="shared" si="20"/>
        <v>812.5</v>
      </c>
      <c r="M121" s="2">
        <v>3.0464769999999999</v>
      </c>
      <c r="N121" s="2">
        <v>5.2700000000000002E-4</v>
      </c>
      <c r="P121" s="2">
        <v>28.274425000000001</v>
      </c>
      <c r="Q121" s="2">
        <v>2.7796999999999999E-2</v>
      </c>
      <c r="T121" s="2">
        <v>4.9975649999999998</v>
      </c>
      <c r="U121" s="2">
        <v>7.2300000000000001E-4</v>
      </c>
      <c r="AA121">
        <f t="shared" si="16"/>
        <v>0</v>
      </c>
      <c r="AF121">
        <f t="shared" si="17"/>
        <v>0</v>
      </c>
      <c r="AG121" s="2">
        <v>4.9974910000000001</v>
      </c>
      <c r="AH121" s="2">
        <v>1.825E-3</v>
      </c>
      <c r="AI121" s="2">
        <v>3.0211809999999999</v>
      </c>
      <c r="AJ121" s="2">
        <v>5.8900000000000001E-4</v>
      </c>
      <c r="AK121" s="2">
        <v>5.2218210000000003</v>
      </c>
      <c r="AL121" s="2">
        <v>1.3079999999999999E-3</v>
      </c>
      <c r="AM121">
        <f t="shared" si="18"/>
        <v>78.840749802430992</v>
      </c>
      <c r="AT121" s="2">
        <f t="shared" si="24"/>
        <v>0</v>
      </c>
    </row>
    <row r="122" spans="1:46" x14ac:dyDescent="0.3">
      <c r="A122">
        <v>127</v>
      </c>
      <c r="E122" s="1">
        <f t="shared" si="25"/>
        <v>69.144974727207597</v>
      </c>
      <c r="F122" s="1">
        <f t="shared" si="21"/>
        <v>71.043374727207606</v>
      </c>
      <c r="G122" s="1">
        <f t="shared" si="22"/>
        <v>67.246574727207602</v>
      </c>
      <c r="H122" s="1">
        <f t="shared" si="23"/>
        <v>1.8984000000000023</v>
      </c>
      <c r="J122">
        <v>1990</v>
      </c>
      <c r="K122">
        <f t="shared" si="19"/>
        <v>1566.25</v>
      </c>
      <c r="L122">
        <f t="shared" si="20"/>
        <v>847.5</v>
      </c>
      <c r="M122" s="2">
        <v>3.046637</v>
      </c>
      <c r="N122" s="2">
        <v>4.5300000000000001E-4</v>
      </c>
      <c r="P122" s="2">
        <v>28.278880000000001</v>
      </c>
      <c r="Q122" s="2">
        <v>2.3904000000000002E-2</v>
      </c>
      <c r="R122" t="s">
        <v>37</v>
      </c>
      <c r="T122" s="2">
        <v>4.9975610000000001</v>
      </c>
      <c r="U122" s="2">
        <v>4.8500000000000003E-4</v>
      </c>
      <c r="W122" s="2">
        <v>6.0351309999999998</v>
      </c>
      <c r="X122" s="2">
        <v>2.3159999999999999E-3</v>
      </c>
      <c r="Y122" s="2">
        <v>5.0006950000000003</v>
      </c>
      <c r="Z122" s="2">
        <v>6.2560000000000003E-3</v>
      </c>
      <c r="AA122">
        <f t="shared" si="16"/>
        <v>78.868649806709882</v>
      </c>
      <c r="AF122">
        <f t="shared" si="17"/>
        <v>0</v>
      </c>
      <c r="AM122">
        <f t="shared" si="18"/>
        <v>0</v>
      </c>
      <c r="AT122" s="2">
        <f t="shared" si="24"/>
        <v>0</v>
      </c>
    </row>
    <row r="123" spans="1:46" x14ac:dyDescent="0.3">
      <c r="A123">
        <v>128</v>
      </c>
      <c r="E123" s="1">
        <f t="shared" si="25"/>
        <v>69.275000654136264</v>
      </c>
      <c r="F123" s="1">
        <f t="shared" si="21"/>
        <v>71.319000654136261</v>
      </c>
      <c r="G123" s="1">
        <f t="shared" si="22"/>
        <v>67.231000654136267</v>
      </c>
      <c r="H123" s="1">
        <f t="shared" si="23"/>
        <v>2.0439999999999969</v>
      </c>
      <c r="J123">
        <v>2120</v>
      </c>
      <c r="K123">
        <f t="shared" si="19"/>
        <v>1663.75</v>
      </c>
      <c r="L123">
        <f t="shared" si="20"/>
        <v>912.5</v>
      </c>
      <c r="M123" s="2">
        <v>3.0469759999999999</v>
      </c>
      <c r="N123" s="2">
        <v>3.7300000000000001E-4</v>
      </c>
      <c r="P123" s="2">
        <v>28.288325</v>
      </c>
      <c r="Q123" s="2">
        <v>1.9709000000000001E-2</v>
      </c>
      <c r="R123" t="s">
        <v>37</v>
      </c>
      <c r="T123" s="2">
        <v>4.9982480000000002</v>
      </c>
      <c r="U123" s="2">
        <v>6.7000000000000002E-4</v>
      </c>
      <c r="W123" s="2">
        <v>6.0377850000000004</v>
      </c>
      <c r="X123" s="2">
        <v>9.5E-4</v>
      </c>
      <c r="Y123" s="2">
        <v>5.0106729999999997</v>
      </c>
      <c r="Z123" s="2">
        <v>2.5769999999999999E-3</v>
      </c>
      <c r="AA123">
        <f t="shared" si="16"/>
        <v>79.09553821507761</v>
      </c>
      <c r="AF123">
        <f t="shared" si="17"/>
        <v>0</v>
      </c>
      <c r="AM123">
        <f t="shared" si="18"/>
        <v>0</v>
      </c>
      <c r="AT123" s="2">
        <f t="shared" si="24"/>
        <v>0</v>
      </c>
    </row>
    <row r="124" spans="1:46" x14ac:dyDescent="0.3">
      <c r="A124">
        <v>129</v>
      </c>
      <c r="E124" s="1">
        <f t="shared" si="25"/>
        <v>69.147844478814619</v>
      </c>
      <c r="F124" s="1">
        <f t="shared" si="21"/>
        <v>71.270244478814618</v>
      </c>
      <c r="G124" s="1">
        <f t="shared" si="22"/>
        <v>67.02544447881462</v>
      </c>
      <c r="H124" s="1">
        <f t="shared" si="23"/>
        <v>2.122399999999999</v>
      </c>
      <c r="J124">
        <v>2190</v>
      </c>
      <c r="K124">
        <f t="shared" si="19"/>
        <v>1716.25</v>
      </c>
      <c r="L124">
        <f t="shared" si="20"/>
        <v>947.5</v>
      </c>
      <c r="M124" s="2">
        <v>3.047917</v>
      </c>
      <c r="N124" s="2">
        <v>5.0100000000000003E-4</v>
      </c>
      <c r="P124" s="2">
        <v>28.314520000000002</v>
      </c>
      <c r="Q124" s="2">
        <v>2.6443000000000001E-2</v>
      </c>
      <c r="R124" t="s">
        <v>81</v>
      </c>
      <c r="T124" s="2">
        <v>4.9997420000000004</v>
      </c>
      <c r="U124" s="2">
        <v>6.4499999999999996E-4</v>
      </c>
      <c r="W124" s="2">
        <v>6.0360690000000004</v>
      </c>
      <c r="X124" s="2">
        <v>1.817E-3</v>
      </c>
      <c r="Y124" s="2">
        <v>5.021401</v>
      </c>
      <c r="Z124" s="2">
        <v>4.9579999999999997E-3</v>
      </c>
      <c r="AA124">
        <f t="shared" si="16"/>
        <v>79.219834743795104</v>
      </c>
      <c r="AF124">
        <f t="shared" si="17"/>
        <v>0</v>
      </c>
      <c r="AM124">
        <f t="shared" si="18"/>
        <v>0</v>
      </c>
      <c r="AT124" s="2">
        <f t="shared" si="24"/>
        <v>0</v>
      </c>
    </row>
    <row r="125" spans="1:46" x14ac:dyDescent="0.3">
      <c r="A125">
        <v>130</v>
      </c>
      <c r="E125" s="1">
        <f t="shared" si="25"/>
        <v>69.145784634248272</v>
      </c>
      <c r="F125" s="1">
        <f t="shared" si="21"/>
        <v>71.357784634248276</v>
      </c>
      <c r="G125" s="1">
        <f t="shared" si="22"/>
        <v>66.933784634248283</v>
      </c>
      <c r="H125" s="1">
        <f t="shared" si="23"/>
        <v>2.2119999999999962</v>
      </c>
      <c r="J125">
        <v>2270</v>
      </c>
      <c r="K125">
        <f t="shared" si="19"/>
        <v>1776.25</v>
      </c>
      <c r="L125">
        <f t="shared" si="20"/>
        <v>987.5</v>
      </c>
      <c r="M125" s="2">
        <v>3.0484429999999998</v>
      </c>
      <c r="N125" s="2">
        <v>7.7399999999999995E-4</v>
      </c>
      <c r="P125" s="2">
        <v>28.329187999999998</v>
      </c>
      <c r="Q125" s="2">
        <v>4.0856999999999997E-2</v>
      </c>
      <c r="R125" t="s">
        <v>81</v>
      </c>
      <c r="T125" s="2">
        <v>4.9995310000000002</v>
      </c>
      <c r="U125" s="2">
        <v>9.7799999999999992E-4</v>
      </c>
      <c r="AA125">
        <f t="shared" si="16"/>
        <v>0</v>
      </c>
      <c r="AF125">
        <f t="shared" si="17"/>
        <v>0</v>
      </c>
      <c r="AM125">
        <f t="shared" si="18"/>
        <v>0</v>
      </c>
      <c r="AN125" s="2">
        <v>5.0333940000000004</v>
      </c>
      <c r="AO125" s="2">
        <v>1.908E-3</v>
      </c>
      <c r="AP125" s="2">
        <v>3.0130949999999999</v>
      </c>
      <c r="AQ125" s="2">
        <v>4.28E-4</v>
      </c>
      <c r="AR125" s="2">
        <v>5.2369649999999996</v>
      </c>
      <c r="AS125" s="2">
        <v>7.7200000000000001E-4</v>
      </c>
      <c r="AT125" s="2">
        <f t="shared" si="24"/>
        <v>79.424305006629595</v>
      </c>
    </row>
    <row r="126" spans="1:46" x14ac:dyDescent="0.3">
      <c r="A126">
        <v>131</v>
      </c>
      <c r="E126" s="1">
        <f t="shared" si="25"/>
        <v>69.268479434521154</v>
      </c>
      <c r="F126" s="1">
        <f t="shared" si="21"/>
        <v>71.58127943452115</v>
      </c>
      <c r="G126" s="1">
        <f t="shared" si="22"/>
        <v>66.955679434521159</v>
      </c>
      <c r="H126" s="1">
        <f t="shared" si="23"/>
        <v>2.3127999999999957</v>
      </c>
      <c r="J126">
        <v>2360</v>
      </c>
      <c r="K126">
        <f t="shared" si="19"/>
        <v>1843.75</v>
      </c>
      <c r="L126">
        <f t="shared" si="20"/>
        <v>1032.5</v>
      </c>
      <c r="M126" s="2">
        <v>3.0485530000000001</v>
      </c>
      <c r="N126" s="2">
        <v>5.7700000000000004E-4</v>
      </c>
      <c r="P126" s="2">
        <v>28.332248</v>
      </c>
      <c r="Q126" s="2">
        <v>3.0487E-2</v>
      </c>
      <c r="R126" t="s">
        <v>35</v>
      </c>
      <c r="T126" s="2">
        <v>5.0014799999999999</v>
      </c>
      <c r="U126" s="2">
        <v>1.658E-3</v>
      </c>
      <c r="AA126">
        <f t="shared" si="16"/>
        <v>0</v>
      </c>
      <c r="AF126">
        <f t="shared" si="17"/>
        <v>0</v>
      </c>
      <c r="AM126">
        <f t="shared" si="18"/>
        <v>0</v>
      </c>
      <c r="AN126" s="2">
        <v>5.0354260000000002</v>
      </c>
      <c r="AO126" s="2">
        <v>7.6109999999999997E-3</v>
      </c>
      <c r="AP126" s="2">
        <v>3.020248</v>
      </c>
      <c r="AQ126" s="2">
        <v>2.3709999999999998E-3</v>
      </c>
      <c r="AR126" s="2">
        <v>5.2379110000000004</v>
      </c>
      <c r="AS126" s="2">
        <v>4.1440000000000001E-3</v>
      </c>
      <c r="AT126" s="2">
        <f t="shared" si="24"/>
        <v>79.659382998042034</v>
      </c>
    </row>
    <row r="127" spans="1:46" x14ac:dyDescent="0.3">
      <c r="A127">
        <v>132</v>
      </c>
      <c r="E127" s="1">
        <f t="shared" si="25"/>
        <v>69.035380019935374</v>
      </c>
      <c r="F127" s="1">
        <f t="shared" si="21"/>
        <v>71.437780019935374</v>
      </c>
      <c r="G127" s="1">
        <f t="shared" si="22"/>
        <v>66.632980019935374</v>
      </c>
      <c r="H127" s="1">
        <f t="shared" si="23"/>
        <v>2.4024000000000001</v>
      </c>
      <c r="J127">
        <v>2440</v>
      </c>
      <c r="K127">
        <f t="shared" si="19"/>
        <v>1903.75</v>
      </c>
      <c r="L127">
        <f t="shared" si="20"/>
        <v>1072.5</v>
      </c>
      <c r="M127" s="2">
        <v>3.0499749999999999</v>
      </c>
      <c r="N127" s="2">
        <v>9.7400000000000004E-4</v>
      </c>
      <c r="P127" s="2">
        <v>28.371928</v>
      </c>
      <c r="Q127" s="2">
        <v>5.1470000000000002E-2</v>
      </c>
      <c r="T127" s="2">
        <v>4.9979089999999999</v>
      </c>
      <c r="U127" s="2">
        <v>2.176E-3</v>
      </c>
      <c r="AA127">
        <f t="shared" si="16"/>
        <v>0</v>
      </c>
      <c r="AF127">
        <f t="shared" si="17"/>
        <v>0</v>
      </c>
      <c r="AM127">
        <f t="shared" si="18"/>
        <v>0</v>
      </c>
      <c r="AN127" s="2">
        <v>5.0427980000000003</v>
      </c>
      <c r="AO127" s="2">
        <v>1.529E-3</v>
      </c>
      <c r="AP127" s="2">
        <v>3.009614</v>
      </c>
      <c r="AQ127" s="2">
        <v>4.6999999999999999E-4</v>
      </c>
      <c r="AR127" s="2">
        <v>5.2546220000000003</v>
      </c>
      <c r="AS127" s="2">
        <v>8.34E-4</v>
      </c>
      <c r="AT127" s="2">
        <f t="shared" si="24"/>
        <v>79.748743683228994</v>
      </c>
    </row>
    <row r="128" spans="1:46" x14ac:dyDescent="0.3">
      <c r="A128">
        <v>133</v>
      </c>
      <c r="E128" s="1">
        <f xml:space="preserve"> 3*$AR$2*(($AQ$2/(M129^3))^(2/3))*(1-($AQ$2/(M129^3))^(-1/3))*EXP((3/2)*($AS$2-1)*(1-($AQ$2/(M129^3))^(-1/3))) + $AT$2*(K128-300)</f>
        <v>69.187498262976902</v>
      </c>
      <c r="F128" s="1">
        <f xml:space="preserve"> 3*$AR$2*(($AQ$2/(M129^3))^(2/3))*(1-($AQ$2/(M129^3))^(-1/3))*EXP((3/2)*($AS$2-1)*(1-($AQ$2/(M129^3))^(-1/3))) + $AT$2*((K128+L128)-300)</f>
        <v>71.657098262976902</v>
      </c>
      <c r="G128" s="1">
        <f xml:space="preserve"> 3*$AR$2*(($AQ$2/(M129^3))^(2/3))*(1-($AQ$2/(M129^3))^(-1/3))*EXP((3/2)*($AS$2-1)*(1-($AQ$2/(M129^3))^(-1/3))) + $AT$2*((K128-L128)-300)</f>
        <v>66.717898262976902</v>
      </c>
      <c r="H128" s="1">
        <f t="shared" si="23"/>
        <v>2.4695999999999998</v>
      </c>
      <c r="J128">
        <v>2500</v>
      </c>
      <c r="K128">
        <f t="shared" si="19"/>
        <v>1948.75</v>
      </c>
      <c r="L128">
        <f t="shared" si="20"/>
        <v>1102.5</v>
      </c>
      <c r="M128" s="2">
        <v>3.0494669999999999</v>
      </c>
      <c r="N128" s="2">
        <v>8.9999999999999998E-4</v>
      </c>
      <c r="P128" s="2">
        <v>28.357766000000002</v>
      </c>
      <c r="Q128" s="2">
        <v>4.7537000000000003E-2</v>
      </c>
      <c r="T128" s="2">
        <v>4.9974610000000004</v>
      </c>
      <c r="U128" s="2">
        <v>2.9919999999999999E-3</v>
      </c>
      <c r="AA128">
        <f t="shared" si="16"/>
        <v>0</v>
      </c>
      <c r="AF128">
        <f t="shared" si="17"/>
        <v>0</v>
      </c>
      <c r="AM128">
        <f t="shared" si="18"/>
        <v>0</v>
      </c>
      <c r="AN128" s="2">
        <v>5.0527949999999997</v>
      </c>
      <c r="AO128" s="2">
        <v>3.9529999999999999E-3</v>
      </c>
      <c r="AP128" s="2">
        <v>3.009433</v>
      </c>
      <c r="AQ128" s="2">
        <v>9.4799999999999995E-4</v>
      </c>
      <c r="AR128" s="2">
        <v>5.2513199999999998</v>
      </c>
      <c r="AS128" s="2">
        <v>1.745E-3</v>
      </c>
      <c r="AT128" s="2">
        <f t="shared" si="24"/>
        <v>79.85182406336385</v>
      </c>
    </row>
    <row r="129" spans="1:46" x14ac:dyDescent="0.3">
      <c r="A129">
        <v>134</v>
      </c>
      <c r="E129" s="1">
        <f t="shared" ref="E129:E135" si="26" xml:space="preserve"> 3*$AR$2*(($AQ$2/(M130^3))^(2/3))*(1-($AQ$2/(M130^3))^(-1/3))*EXP((3/2)*($AS$2-1)*(1-($AQ$2/(M130^3))^(-1/3))) + $AT$2*(K129-300)</f>
        <v>69.453346168222197</v>
      </c>
      <c r="F129" s="1">
        <f t="shared" ref="F129:F135" si="27" xml:space="preserve"> 3*$AR$2*(($AQ$2/(M130^3))^(2/3))*(1-($AQ$2/(M130^3))^(-1/3))*EXP((3/2)*($AS$2-1)*(1-($AQ$2/(M130^3))^(-1/3))) + $AT$2*((K129+L129)-300)</f>
        <v>72.046146168222194</v>
      </c>
      <c r="G129" s="1">
        <f t="shared" ref="G129:G135" si="28" xml:space="preserve"> 3*$AR$2*(($AQ$2/(M130^3))^(2/3))*(1-($AQ$2/(M130^3))^(-1/3))*EXP((3/2)*($AS$2-1)*(1-($AQ$2/(M130^3))^(-1/3))) + $AT$2*((K129-L129)-300)</f>
        <v>66.8605461682222</v>
      </c>
      <c r="H129" s="1">
        <f t="shared" si="23"/>
        <v>2.5927999999999969</v>
      </c>
      <c r="J129">
        <v>2610</v>
      </c>
      <c r="K129">
        <f t="shared" si="19"/>
        <v>2031.25</v>
      </c>
      <c r="L129">
        <f t="shared" si="20"/>
        <v>1157.5</v>
      </c>
      <c r="M129" s="2">
        <v>3.049776</v>
      </c>
      <c r="N129" s="2">
        <v>1.06E-3</v>
      </c>
      <c r="P129" s="2">
        <v>28.366381000000001</v>
      </c>
      <c r="Q129" s="2">
        <v>5.6003999999999998E-2</v>
      </c>
      <c r="T129" s="2">
        <v>4.9988890000000001</v>
      </c>
      <c r="U129" s="2">
        <v>2.7999999999999998E-4</v>
      </c>
      <c r="AA129">
        <f t="shared" si="16"/>
        <v>0</v>
      </c>
      <c r="AF129">
        <f t="shared" si="17"/>
        <v>0</v>
      </c>
      <c r="AM129">
        <f t="shared" si="18"/>
        <v>0</v>
      </c>
      <c r="AN129" s="2">
        <v>5.0590599999999997</v>
      </c>
      <c r="AO129" s="2">
        <v>3.568E-3</v>
      </c>
      <c r="AP129" s="2">
        <v>3.008575</v>
      </c>
      <c r="AQ129" s="2">
        <v>8.61E-4</v>
      </c>
      <c r="AR129" s="2">
        <v>5.2574560000000004</v>
      </c>
      <c r="AS129" s="2">
        <v>1.3619999999999999E-3</v>
      </c>
      <c r="AT129" s="2">
        <f t="shared" si="24"/>
        <v>80.021432063467913</v>
      </c>
    </row>
    <row r="130" spans="1:46" x14ac:dyDescent="0.3">
      <c r="A130">
        <v>135</v>
      </c>
      <c r="E130" s="1">
        <f t="shared" si="26"/>
        <v>69.442663997393566</v>
      </c>
      <c r="F130" s="1">
        <f t="shared" si="27"/>
        <v>72.102663997393563</v>
      </c>
      <c r="G130" s="1">
        <f t="shared" si="28"/>
        <v>66.782663997393556</v>
      </c>
      <c r="H130" s="1">
        <f t="shared" si="23"/>
        <v>2.6600000000000037</v>
      </c>
      <c r="J130">
        <v>2670</v>
      </c>
      <c r="K130">
        <f t="shared" si="19"/>
        <v>2076.25</v>
      </c>
      <c r="L130">
        <f t="shared" si="20"/>
        <v>1187.5</v>
      </c>
      <c r="M130" s="2">
        <v>3.0494620000000001</v>
      </c>
      <c r="N130" s="2">
        <v>1.1410000000000001E-3</v>
      </c>
      <c r="P130" s="2">
        <v>28.357614000000002</v>
      </c>
      <c r="Q130" s="2">
        <v>6.0257999999999999E-2</v>
      </c>
      <c r="R130" t="s">
        <v>50</v>
      </c>
      <c r="AA130">
        <f t="shared" si="16"/>
        <v>0</v>
      </c>
      <c r="AF130">
        <f t="shared" si="17"/>
        <v>0</v>
      </c>
      <c r="AM130">
        <f t="shared" si="18"/>
        <v>0</v>
      </c>
      <c r="AT130" s="2">
        <f t="shared" si="24"/>
        <v>0</v>
      </c>
    </row>
    <row r="131" spans="1:46" x14ac:dyDescent="0.3">
      <c r="A131">
        <v>136</v>
      </c>
      <c r="E131" s="1" t="e">
        <f t="shared" si="26"/>
        <v>#DIV/0!</v>
      </c>
      <c r="F131" s="1" t="e">
        <f t="shared" si="27"/>
        <v>#DIV/0!</v>
      </c>
      <c r="G131" s="1" t="e">
        <f t="shared" si="28"/>
        <v>#DIV/0!</v>
      </c>
      <c r="H131" s="1" t="e">
        <f t="shared" si="23"/>
        <v>#DIV/0!</v>
      </c>
      <c r="J131">
        <v>2750</v>
      </c>
      <c r="K131">
        <f t="shared" si="19"/>
        <v>2136.25</v>
      </c>
      <c r="L131">
        <f t="shared" si="20"/>
        <v>1227.5</v>
      </c>
      <c r="M131" s="2">
        <v>3.0498940000000001</v>
      </c>
      <c r="N131" s="2">
        <v>1.1789999999999999E-3</v>
      </c>
      <c r="P131" s="2">
        <v>28.369672999999999</v>
      </c>
      <c r="Q131" s="2">
        <v>6.2296999999999998E-2</v>
      </c>
      <c r="R131" t="s">
        <v>51</v>
      </c>
      <c r="AA131">
        <f t="shared" ref="AA131:AA135" si="29">(W131*COS(RADIANS(30))*W131*Y131)/2</f>
        <v>0</v>
      </c>
      <c r="AF131">
        <f t="shared" ref="AF131:AF135" si="30">(AB131*COS(RADIANS(30))*AB131*AD131)*2</f>
        <v>0</v>
      </c>
      <c r="AM131">
        <f t="shared" ref="AM131:AM135" si="31">AG131*AI131*AK131</f>
        <v>0</v>
      </c>
      <c r="AT131" s="2">
        <f t="shared" si="24"/>
        <v>0</v>
      </c>
    </row>
    <row r="132" spans="1:46" x14ac:dyDescent="0.3">
      <c r="A132">
        <v>137</v>
      </c>
      <c r="E132" s="1" t="e">
        <f t="shared" si="26"/>
        <v>#DIV/0!</v>
      </c>
      <c r="F132" s="1" t="e">
        <f t="shared" si="27"/>
        <v>#DIV/0!</v>
      </c>
      <c r="G132" s="1" t="e">
        <f t="shared" si="28"/>
        <v>#DIV/0!</v>
      </c>
      <c r="H132" s="1" t="e">
        <f t="shared" si="23"/>
        <v>#DIV/0!</v>
      </c>
      <c r="J132">
        <v>2840</v>
      </c>
      <c r="K132">
        <f t="shared" si="19"/>
        <v>2203.75</v>
      </c>
      <c r="L132">
        <f t="shared" si="20"/>
        <v>1272.5</v>
      </c>
      <c r="AA132">
        <f t="shared" si="29"/>
        <v>0</v>
      </c>
      <c r="AF132">
        <f t="shared" si="30"/>
        <v>0</v>
      </c>
      <c r="AM132">
        <f t="shared" si="31"/>
        <v>0</v>
      </c>
      <c r="AT132" s="2">
        <f t="shared" si="24"/>
        <v>0</v>
      </c>
    </row>
    <row r="133" spans="1:46" x14ac:dyDescent="0.3">
      <c r="A133">
        <v>138</v>
      </c>
      <c r="E133" s="1" t="e">
        <f t="shared" si="26"/>
        <v>#DIV/0!</v>
      </c>
      <c r="F133" s="1" t="e">
        <f t="shared" si="27"/>
        <v>#DIV/0!</v>
      </c>
      <c r="G133" s="1" t="e">
        <f t="shared" si="28"/>
        <v>#DIV/0!</v>
      </c>
      <c r="H133" s="1" t="e">
        <f t="shared" si="23"/>
        <v>#DIV/0!</v>
      </c>
      <c r="J133">
        <v>2950</v>
      </c>
      <c r="K133">
        <f t="shared" si="19"/>
        <v>2286.25</v>
      </c>
      <c r="L133">
        <f t="shared" si="20"/>
        <v>1327.5</v>
      </c>
      <c r="AA133">
        <f t="shared" si="29"/>
        <v>0</v>
      </c>
      <c r="AF133">
        <f t="shared" si="30"/>
        <v>0</v>
      </c>
      <c r="AM133">
        <f t="shared" si="31"/>
        <v>0</v>
      </c>
      <c r="AT133" s="2">
        <f t="shared" si="24"/>
        <v>0</v>
      </c>
    </row>
    <row r="134" spans="1:46" x14ac:dyDescent="0.3">
      <c r="A134">
        <v>139</v>
      </c>
      <c r="E134" s="1" t="e">
        <f t="shared" si="26"/>
        <v>#DIV/0!</v>
      </c>
      <c r="F134" s="1" t="e">
        <f t="shared" si="27"/>
        <v>#DIV/0!</v>
      </c>
      <c r="G134" s="1" t="e">
        <f t="shared" si="28"/>
        <v>#DIV/0!</v>
      </c>
      <c r="H134" s="1" t="e">
        <f t="shared" si="23"/>
        <v>#DIV/0!</v>
      </c>
      <c r="J134">
        <v>2960</v>
      </c>
      <c r="K134">
        <f t="shared" si="19"/>
        <v>2293.75</v>
      </c>
      <c r="L134">
        <f t="shared" si="20"/>
        <v>1332.5</v>
      </c>
      <c r="AA134">
        <f t="shared" si="29"/>
        <v>0</v>
      </c>
      <c r="AF134">
        <f t="shared" si="30"/>
        <v>0</v>
      </c>
      <c r="AM134">
        <f t="shared" si="31"/>
        <v>0</v>
      </c>
      <c r="AT134" s="2">
        <f t="shared" si="24"/>
        <v>0</v>
      </c>
    </row>
    <row r="135" spans="1:46" x14ac:dyDescent="0.3">
      <c r="A135">
        <v>140</v>
      </c>
      <c r="E135" s="1" t="e">
        <f t="shared" si="26"/>
        <v>#DIV/0!</v>
      </c>
      <c r="F135" s="1" t="e">
        <f t="shared" si="27"/>
        <v>#DIV/0!</v>
      </c>
      <c r="G135" s="1" t="e">
        <f t="shared" si="28"/>
        <v>#DIV/0!</v>
      </c>
      <c r="H135" s="1" t="e">
        <f t="shared" si="23"/>
        <v>#DIV/0!</v>
      </c>
      <c r="J135">
        <v>300</v>
      </c>
      <c r="K135">
        <f t="shared" si="19"/>
        <v>298.75</v>
      </c>
      <c r="L135">
        <f t="shared" si="20"/>
        <v>2.5</v>
      </c>
      <c r="AA135">
        <f t="shared" si="29"/>
        <v>0</v>
      </c>
      <c r="AF135">
        <f t="shared" si="30"/>
        <v>0</v>
      </c>
      <c r="AM135">
        <f t="shared" si="31"/>
        <v>0</v>
      </c>
      <c r="AT135" s="2">
        <f t="shared" si="24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63"/>
  <sheetViews>
    <sheetView zoomScale="90" zoomScaleNormal="90" workbookViewId="0">
      <pane xSplit="1" topLeftCell="S1" activePane="topRight" state="frozen"/>
      <selection pane="topRight" activeCell="V4" sqref="V4:AS22"/>
    </sheetView>
  </sheetViews>
  <sheetFormatPr baseColWidth="10" defaultColWidth="9" defaultRowHeight="14" x14ac:dyDescent="0.3"/>
  <cols>
    <col min="5" max="8" width="9" style="1"/>
    <col min="13" max="16" width="9" style="2"/>
    <col min="18" max="18" width="9.33203125" customWidth="1"/>
    <col min="19" max="19" width="13" style="2" bestFit="1" customWidth="1"/>
    <col min="20" max="25" width="9" style="2"/>
    <col min="32" max="37" width="9" style="2"/>
  </cols>
  <sheetData>
    <row r="1" spans="1:45" x14ac:dyDescent="0.3">
      <c r="A1" t="s">
        <v>0</v>
      </c>
      <c r="B1" t="s">
        <v>25</v>
      </c>
      <c r="C1" t="s">
        <v>20</v>
      </c>
      <c r="D1" t="s">
        <v>18</v>
      </c>
      <c r="E1" s="1" t="s">
        <v>1</v>
      </c>
      <c r="F1" s="1" t="s">
        <v>2</v>
      </c>
      <c r="G1" s="1" t="s">
        <v>3</v>
      </c>
      <c r="H1" s="1" t="s">
        <v>4</v>
      </c>
      <c r="I1" t="s">
        <v>5</v>
      </c>
      <c r="J1" t="s">
        <v>21</v>
      </c>
      <c r="K1" t="s">
        <v>6</v>
      </c>
      <c r="L1" t="s">
        <v>7</v>
      </c>
      <c r="M1" s="2" t="s">
        <v>8</v>
      </c>
      <c r="N1" s="2" t="s">
        <v>9</v>
      </c>
      <c r="O1" s="2" t="s">
        <v>11</v>
      </c>
      <c r="P1" s="2" t="s">
        <v>12</v>
      </c>
      <c r="Q1" t="s">
        <v>17</v>
      </c>
      <c r="S1" s="2" t="s">
        <v>30</v>
      </c>
      <c r="T1" s="2" t="s">
        <v>31</v>
      </c>
      <c r="V1" s="2" t="s">
        <v>34</v>
      </c>
      <c r="W1" s="2" t="s">
        <v>32</v>
      </c>
      <c r="X1" s="2" t="s">
        <v>33</v>
      </c>
      <c r="Y1" s="2" t="s">
        <v>28</v>
      </c>
      <c r="Z1" s="2" t="s">
        <v>56</v>
      </c>
      <c r="AA1" s="2" t="s">
        <v>38</v>
      </c>
      <c r="AB1" s="2" t="s">
        <v>32</v>
      </c>
      <c r="AC1" s="2" t="s">
        <v>39</v>
      </c>
      <c r="AD1" s="2" t="s">
        <v>28</v>
      </c>
      <c r="AF1" s="2" t="s">
        <v>40</v>
      </c>
      <c r="AG1" s="2" t="s">
        <v>27</v>
      </c>
      <c r="AH1" s="2" t="s">
        <v>41</v>
      </c>
      <c r="AI1" s="2" t="s">
        <v>42</v>
      </c>
      <c r="AJ1" s="2" t="s">
        <v>43</v>
      </c>
      <c r="AK1" s="2" t="s">
        <v>28</v>
      </c>
      <c r="AL1" s="2" t="s">
        <v>60</v>
      </c>
      <c r="AO1" t="s">
        <v>13</v>
      </c>
      <c r="AP1" t="s">
        <v>14</v>
      </c>
      <c r="AQ1" t="s">
        <v>15</v>
      </c>
      <c r="AR1" t="s">
        <v>16</v>
      </c>
    </row>
    <row r="2" spans="1:45" x14ac:dyDescent="0.3">
      <c r="A2">
        <v>2</v>
      </c>
      <c r="B2" t="s">
        <v>26</v>
      </c>
      <c r="E2" s="1">
        <f t="shared" ref="E2:E63" si="0" xml:space="preserve"> 3*$AP$2*(($AO$2/(M2^3))^(2/3))*(1-($AO$2/(M2^3))^(-1/3))*EXP((3/2)*($AQ$2-1)*(1-($AO$2/(M2^3))^(-1/3))) + $AR$2*(K2-300)</f>
        <v>81.689810438767807</v>
      </c>
      <c r="F2" s="1">
        <f xml:space="preserve"> 3*$AP$2*(($AO$2/(M2^3))^(2/3))*(1-($AO$2/(M2^3))^(-1/3))*EXP((3/2)*($AQ$2-1)*(1-($AO$2/(M2^3))^(-1/3))) + $AR$2*((K2+L2)-300)</f>
        <v>81.695410438767794</v>
      </c>
      <c r="G2" s="1">
        <f xml:space="preserve"> 3*$AP$2*(($AO$2/(M2^3))^(2/3))*(1-($AO$2/(M2^3))^(-1/3))*EXP((3/2)*($AQ$2-1)*(1-($AO$2/(M2^3))^(-1/3))) + $AR$2*((K2-L2)-300)</f>
        <v>81.684210438767806</v>
      </c>
      <c r="H2" s="1">
        <f>(F2-G2)/2</f>
        <v>5.5999999999940542E-3</v>
      </c>
      <c r="J2">
        <v>300</v>
      </c>
      <c r="K2">
        <f t="shared" ref="K2:K59" si="1">(3*J2+295)/4</f>
        <v>298.75</v>
      </c>
      <c r="L2">
        <f>(J2-295)/2</f>
        <v>2.5</v>
      </c>
      <c r="M2" s="2">
        <v>2.9930500000000002</v>
      </c>
      <c r="Z2">
        <f>(V2*COS(RADIANS(30))*V2*X2)/2</f>
        <v>0</v>
      </c>
      <c r="AL2">
        <f>AF2*AH2*AJ2</f>
        <v>0</v>
      </c>
      <c r="AO2">
        <v>54.5</v>
      </c>
      <c r="AP2">
        <v>17.2</v>
      </c>
      <c r="AQ2">
        <v>5.89</v>
      </c>
      <c r="AR2">
        <v>2.2399999999999998E-3</v>
      </c>
    </row>
    <row r="3" spans="1:45" x14ac:dyDescent="0.3">
      <c r="A3">
        <v>3</v>
      </c>
      <c r="B3" t="s">
        <v>19</v>
      </c>
      <c r="D3">
        <v>50</v>
      </c>
      <c r="E3" s="1">
        <f t="shared" si="0"/>
        <v>81.000497476202625</v>
      </c>
      <c r="F3" s="1">
        <f xml:space="preserve"> 3*$AP$2*(($AO$2/(M3^3))^(2/3))*(1-($AO$2/(M3^3))^(-1/3))*EXP((3/2)*($AQ$2-1)*(1-($AO$2/(M3^3))^(-1/3))) + $AR$2*((K3+L3)-300)</f>
        <v>81.006097476202612</v>
      </c>
      <c r="G3" s="1">
        <f xml:space="preserve"> 3*$AP$2*(($AO$2/(M3^3))^(2/3))*(1-($AO$2/(M3^3))^(-1/3))*EXP((3/2)*($AQ$2-1)*(1-($AO$2/(M3^3))^(-1/3))) + $AR$2*((K3-L3)-300)</f>
        <v>80.994897476202624</v>
      </c>
      <c r="H3" s="1">
        <f t="shared" ref="H3:H63" si="2">(F3-G3)/2</f>
        <v>5.5999999999940542E-3</v>
      </c>
      <c r="J3">
        <v>300</v>
      </c>
      <c r="K3">
        <f t="shared" si="1"/>
        <v>298.75</v>
      </c>
      <c r="L3">
        <f t="shared" ref="L3:L59" si="3">(J3-295)/2</f>
        <v>2.5</v>
      </c>
      <c r="M3" s="2">
        <v>2.995247</v>
      </c>
      <c r="Z3">
        <f t="shared" ref="Z3:Z63" si="4">(V3*COS(RADIANS(30))*V3*X3)/2</f>
        <v>0</v>
      </c>
      <c r="AL3">
        <f t="shared" ref="AL3:AL63" si="5">AF3*AH3*AJ3</f>
        <v>0</v>
      </c>
    </row>
    <row r="4" spans="1:45" x14ac:dyDescent="0.3">
      <c r="A4">
        <v>4</v>
      </c>
      <c r="E4" s="1">
        <f t="shared" si="0"/>
        <v>81.168179026903275</v>
      </c>
      <c r="F4" s="1">
        <f t="shared" ref="F4:F63" si="6" xml:space="preserve"> 3*$AP$2*(($AO$2/(M4^3))^(2/3))*(1-($AO$2/(M4^3))^(-1/3))*EXP((3/2)*($AQ$2-1)*(1-($AO$2/(M4^3))^(-1/3))) + $AR$2*((K4+L4)-300)</f>
        <v>81.173779026903262</v>
      </c>
      <c r="G4" s="1">
        <f t="shared" ref="G4:G63" si="7" xml:space="preserve"> 3*$AP$2*(($AO$2/(M4^3))^(2/3))*(1-($AO$2/(M4^3))^(-1/3))*EXP((3/2)*($AQ$2-1)*(1-($AO$2/(M4^3))^(-1/3))) + $AR$2*((K4-L4)-300)</f>
        <v>81.162579026903273</v>
      </c>
      <c r="H4" s="1">
        <f t="shared" si="2"/>
        <v>5.5999999999940542E-3</v>
      </c>
      <c r="J4">
        <v>300</v>
      </c>
      <c r="K4">
        <f t="shared" si="1"/>
        <v>298.75</v>
      </c>
      <c r="L4">
        <f t="shared" si="3"/>
        <v>2.5</v>
      </c>
      <c r="M4" s="2">
        <v>2.9947110000000001</v>
      </c>
      <c r="Z4">
        <f t="shared" si="4"/>
        <v>0</v>
      </c>
      <c r="AL4">
        <f t="shared" si="5"/>
        <v>0</v>
      </c>
      <c r="AM4" s="2" t="s">
        <v>47</v>
      </c>
      <c r="AN4" s="2" t="s">
        <v>27</v>
      </c>
      <c r="AO4" s="2" t="s">
        <v>48</v>
      </c>
      <c r="AP4" s="2" t="s">
        <v>42</v>
      </c>
      <c r="AQ4" s="2" t="s">
        <v>49</v>
      </c>
      <c r="AR4" s="2" t="s">
        <v>28</v>
      </c>
      <c r="AS4" s="2" t="s">
        <v>61</v>
      </c>
    </row>
    <row r="5" spans="1:45" x14ac:dyDescent="0.3">
      <c r="A5">
        <v>5</v>
      </c>
      <c r="E5" s="1">
        <f t="shared" si="0"/>
        <v>82.470484542744813</v>
      </c>
      <c r="F5" s="1">
        <f t="shared" si="6"/>
        <v>83.5736845427448</v>
      </c>
      <c r="G5" s="1">
        <f t="shared" si="7"/>
        <v>81.367284542744812</v>
      </c>
      <c r="H5" s="1">
        <f t="shared" si="2"/>
        <v>1.103199999999994</v>
      </c>
      <c r="J5">
        <v>1280</v>
      </c>
      <c r="K5">
        <f t="shared" si="1"/>
        <v>1033.75</v>
      </c>
      <c r="L5">
        <f t="shared" si="3"/>
        <v>492.5</v>
      </c>
      <c r="M5" s="2">
        <v>2.9958119999999999</v>
      </c>
      <c r="N5" s="2">
        <v>2.8419999999999999E-3</v>
      </c>
      <c r="O5">
        <v>26.887083000000001</v>
      </c>
      <c r="P5">
        <v>0.147448</v>
      </c>
      <c r="Z5">
        <f t="shared" si="4"/>
        <v>0</v>
      </c>
      <c r="AF5" s="2">
        <v>4.8214880000000004</v>
      </c>
      <c r="AG5" s="2">
        <v>4.2460999999999999E-2</v>
      </c>
      <c r="AH5" s="2">
        <v>3.0159099999999999</v>
      </c>
      <c r="AI5" s="2">
        <v>4.6509999999999998E-3</v>
      </c>
      <c r="AJ5" s="2">
        <v>5.1172560000000002</v>
      </c>
      <c r="AK5" s="2">
        <v>7.9810000000000002E-3</v>
      </c>
      <c r="AL5">
        <f t="shared" si="5"/>
        <v>74.410909254179131</v>
      </c>
      <c r="AM5" s="2"/>
      <c r="AN5" s="2"/>
      <c r="AO5" s="2"/>
      <c r="AP5" s="2"/>
      <c r="AQ5" s="2"/>
      <c r="AR5" s="2"/>
      <c r="AS5">
        <f>AM5*AO5*AQ5</f>
        <v>0</v>
      </c>
    </row>
    <row r="6" spans="1:45" x14ac:dyDescent="0.3">
      <c r="A6">
        <v>6</v>
      </c>
      <c r="E6" s="1">
        <f t="shared" si="0"/>
        <v>82.498295213764663</v>
      </c>
      <c r="F6" s="1">
        <f t="shared" si="6"/>
        <v>83.679895213764667</v>
      </c>
      <c r="G6" s="1">
        <f t="shared" si="7"/>
        <v>81.31669521376466</v>
      </c>
      <c r="H6" s="1">
        <f t="shared" si="2"/>
        <v>1.1816000000000031</v>
      </c>
      <c r="J6">
        <v>1350</v>
      </c>
      <c r="K6">
        <f t="shared" si="1"/>
        <v>1086.25</v>
      </c>
      <c r="L6">
        <f t="shared" si="3"/>
        <v>527.5</v>
      </c>
      <c r="M6" s="2">
        <v>2.9961000000000002</v>
      </c>
      <c r="N6" s="2">
        <v>2.8509999999999998E-3</v>
      </c>
      <c r="O6">
        <v>26.894839000000001</v>
      </c>
      <c r="P6">
        <v>0.147953</v>
      </c>
      <c r="Z6">
        <f t="shared" si="4"/>
        <v>0</v>
      </c>
      <c r="AF6" s="2">
        <v>4.8555229999999998</v>
      </c>
      <c r="AG6" s="2">
        <v>7.7270000000000004E-3</v>
      </c>
      <c r="AH6" s="2">
        <v>3.0193949999999998</v>
      </c>
      <c r="AI6" s="2">
        <v>1.934E-3</v>
      </c>
      <c r="AJ6" s="2">
        <v>5.1140129999999999</v>
      </c>
      <c r="AK6" s="2">
        <v>2.823E-3</v>
      </c>
      <c r="AL6">
        <f t="shared" si="5"/>
        <v>74.975224505587974</v>
      </c>
      <c r="AM6" s="2"/>
      <c r="AN6" s="2"/>
      <c r="AO6" s="2"/>
      <c r="AP6" s="2"/>
      <c r="AQ6" s="2"/>
      <c r="AR6" s="2"/>
      <c r="AS6">
        <f t="shared" ref="AS6:AS63" si="8">AM6*AO6*AQ6</f>
        <v>0</v>
      </c>
    </row>
    <row r="7" spans="1:45" x14ac:dyDescent="0.3">
      <c r="A7">
        <v>7</v>
      </c>
      <c r="E7" s="1">
        <f t="shared" si="0"/>
        <v>82.536452384218052</v>
      </c>
      <c r="F7" s="1">
        <f t="shared" si="6"/>
        <v>83.818852384218047</v>
      </c>
      <c r="G7" s="1">
        <f t="shared" si="7"/>
        <v>81.254052384218042</v>
      </c>
      <c r="H7" s="1">
        <f t="shared" si="2"/>
        <v>1.2824000000000026</v>
      </c>
      <c r="J7">
        <v>1440</v>
      </c>
      <c r="K7">
        <f t="shared" si="1"/>
        <v>1153.75</v>
      </c>
      <c r="L7">
        <f t="shared" si="3"/>
        <v>572.5</v>
      </c>
      <c r="M7" s="2">
        <v>2.9964629999999999</v>
      </c>
      <c r="N7" s="2">
        <v>2.7820000000000002E-3</v>
      </c>
      <c r="O7">
        <v>26.904613999999999</v>
      </c>
      <c r="P7">
        <v>0.144374</v>
      </c>
      <c r="S7" s="2">
        <v>4.9403230000000002</v>
      </c>
      <c r="T7" s="2">
        <v>1.9840000000000001E-3</v>
      </c>
      <c r="Z7">
        <f t="shared" si="4"/>
        <v>0</v>
      </c>
      <c r="AF7" s="2">
        <v>4.8705049999999996</v>
      </c>
      <c r="AG7" s="2">
        <v>4.1920000000000004E-3</v>
      </c>
      <c r="AH7" s="2">
        <v>3.0160680000000002</v>
      </c>
      <c r="AI7" s="2">
        <v>1.0380000000000001E-3</v>
      </c>
      <c r="AJ7" s="2">
        <v>5.1158960000000002</v>
      </c>
      <c r="AK7" s="2">
        <v>1.5200000000000001E-3</v>
      </c>
      <c r="AL7">
        <f t="shared" si="5"/>
        <v>75.151357450998916</v>
      </c>
      <c r="AM7" s="2"/>
      <c r="AN7" s="2"/>
      <c r="AO7" s="2"/>
      <c r="AP7" s="2"/>
      <c r="AQ7" s="2"/>
      <c r="AR7" s="2"/>
      <c r="AS7">
        <f t="shared" si="8"/>
        <v>0</v>
      </c>
    </row>
    <row r="8" spans="1:45" x14ac:dyDescent="0.3">
      <c r="A8">
        <v>8</v>
      </c>
      <c r="E8" s="1">
        <f t="shared" si="0"/>
        <v>82.604989496241529</v>
      </c>
      <c r="F8" s="1">
        <f t="shared" si="6"/>
        <v>83.864989496241535</v>
      </c>
      <c r="G8" s="1">
        <f t="shared" si="7"/>
        <v>81.344989496241524</v>
      </c>
      <c r="H8" s="1">
        <f t="shared" si="2"/>
        <v>1.2600000000000051</v>
      </c>
      <c r="J8">
        <v>1420</v>
      </c>
      <c r="K8">
        <f t="shared" si="1"/>
        <v>1138.75</v>
      </c>
      <c r="L8">
        <f t="shared" si="3"/>
        <v>562.5</v>
      </c>
      <c r="M8" s="2">
        <v>2.9961350000000002</v>
      </c>
      <c r="N8" s="2">
        <v>1.477E-3</v>
      </c>
      <c r="O8">
        <v>26.895768</v>
      </c>
      <c r="P8">
        <v>7.6623999999999998E-2</v>
      </c>
      <c r="S8" s="2">
        <v>4.9353990000000003</v>
      </c>
      <c r="T8" s="2">
        <v>4.3600000000000003E-4</v>
      </c>
      <c r="Z8">
        <f t="shared" si="4"/>
        <v>0</v>
      </c>
      <c r="AF8" s="2">
        <v>4.8875520000000003</v>
      </c>
      <c r="AG8" s="2">
        <v>2.3259999999999999E-3</v>
      </c>
      <c r="AH8" s="2">
        <v>3.0124870000000001</v>
      </c>
      <c r="AI8" s="2">
        <v>5.6899999999999995E-4</v>
      </c>
      <c r="AJ8" s="2">
        <v>5.1116330000000003</v>
      </c>
      <c r="AK8" s="2">
        <v>8.3299999999999997E-4</v>
      </c>
      <c r="AL8">
        <f t="shared" si="5"/>
        <v>75.262083644566005</v>
      </c>
      <c r="AM8" s="2"/>
      <c r="AN8" s="2"/>
      <c r="AO8" s="2"/>
      <c r="AP8" s="2"/>
      <c r="AQ8" s="2"/>
      <c r="AR8" s="2"/>
      <c r="AS8">
        <f t="shared" si="8"/>
        <v>0</v>
      </c>
    </row>
    <row r="9" spans="1:45" x14ac:dyDescent="0.3">
      <c r="A9">
        <v>9</v>
      </c>
      <c r="E9" s="1">
        <f t="shared" si="0"/>
        <v>82.723212644032827</v>
      </c>
      <c r="F9" s="1">
        <f t="shared" si="6"/>
        <v>84.061612644032834</v>
      </c>
      <c r="G9" s="1">
        <f t="shared" si="7"/>
        <v>81.384812644032834</v>
      </c>
      <c r="H9" s="1">
        <f t="shared" si="2"/>
        <v>1.3384</v>
      </c>
      <c r="J9">
        <v>1490</v>
      </c>
      <c r="K9">
        <f t="shared" si="1"/>
        <v>1191.25</v>
      </c>
      <c r="L9">
        <f t="shared" si="3"/>
        <v>597.5</v>
      </c>
      <c r="M9" s="2">
        <v>2.9961329999999999</v>
      </c>
      <c r="N9" s="2">
        <v>1.0150000000000001E-3</v>
      </c>
      <c r="O9">
        <v>26.89573</v>
      </c>
      <c r="P9">
        <v>5.2697000000000001E-2</v>
      </c>
      <c r="S9" s="2">
        <v>4.9398390000000001</v>
      </c>
      <c r="T9" s="2">
        <v>1.6980000000000001E-3</v>
      </c>
      <c r="Z9">
        <f t="shared" si="4"/>
        <v>0</v>
      </c>
      <c r="AF9" s="2">
        <v>4.8907530000000001</v>
      </c>
      <c r="AG9" s="2">
        <v>2.0349999999999999E-3</v>
      </c>
      <c r="AH9" s="2">
        <v>3.0106090000000001</v>
      </c>
      <c r="AI9" s="2">
        <v>5.3499999999999999E-4</v>
      </c>
      <c r="AJ9" s="2">
        <v>5.1166179999999999</v>
      </c>
      <c r="AK9" s="2">
        <v>7.9500000000000003E-4</v>
      </c>
      <c r="AL9">
        <f t="shared" si="5"/>
        <v>75.337825334329054</v>
      </c>
      <c r="AM9" s="2"/>
      <c r="AN9" s="2"/>
      <c r="AO9" s="2"/>
      <c r="AP9" s="2"/>
      <c r="AQ9" s="2"/>
      <c r="AR9" s="2"/>
      <c r="AS9">
        <f t="shared" si="8"/>
        <v>0</v>
      </c>
    </row>
    <row r="10" spans="1:45" x14ac:dyDescent="0.3">
      <c r="A10">
        <v>10</v>
      </c>
      <c r="B10" s="3"/>
      <c r="C10" s="3"/>
      <c r="D10" s="3"/>
      <c r="E10" s="1">
        <f t="shared" si="0"/>
        <v>83.006413133572323</v>
      </c>
      <c r="F10" s="1">
        <f t="shared" si="6"/>
        <v>84.423213133572318</v>
      </c>
      <c r="G10" s="1">
        <f t="shared" si="7"/>
        <v>81.589613133572314</v>
      </c>
      <c r="H10" s="1">
        <f t="shared" si="2"/>
        <v>1.4168000000000021</v>
      </c>
      <c r="J10">
        <v>1560</v>
      </c>
      <c r="K10">
        <f t="shared" si="1"/>
        <v>1243.75</v>
      </c>
      <c r="L10">
        <f t="shared" si="3"/>
        <v>632.5</v>
      </c>
      <c r="M10" s="2">
        <v>2.9956019999999999</v>
      </c>
      <c r="N10" s="2">
        <v>1.6280000000000001E-3</v>
      </c>
      <c r="O10">
        <v>26.881437999999999</v>
      </c>
      <c r="P10">
        <v>8.4474999999999995E-2</v>
      </c>
      <c r="S10" s="2">
        <v>4.9402869999999997</v>
      </c>
      <c r="T10" s="2">
        <v>9.9799999999999997E-4</v>
      </c>
      <c r="Z10">
        <f t="shared" si="4"/>
        <v>0</v>
      </c>
      <c r="AF10" s="2">
        <v>4.8976819999999996</v>
      </c>
      <c r="AG10" s="2">
        <v>2.6510000000000001E-3</v>
      </c>
      <c r="AH10" s="2">
        <v>3.007212</v>
      </c>
      <c r="AI10" s="2">
        <v>6.9300000000000004E-4</v>
      </c>
      <c r="AJ10" s="2">
        <v>5.1212520000000001</v>
      </c>
      <c r="AK10" s="2">
        <v>1.034E-3</v>
      </c>
      <c r="AL10">
        <f t="shared" si="5"/>
        <v>75.427684499669482</v>
      </c>
      <c r="AM10" s="2"/>
      <c r="AN10" s="2"/>
      <c r="AO10" s="2"/>
      <c r="AP10" s="2"/>
      <c r="AQ10" s="2"/>
      <c r="AR10" s="2"/>
      <c r="AS10">
        <f t="shared" si="8"/>
        <v>0</v>
      </c>
    </row>
    <row r="11" spans="1:45" x14ac:dyDescent="0.3">
      <c r="A11">
        <v>11</v>
      </c>
      <c r="B11" s="3"/>
      <c r="C11" s="3"/>
      <c r="D11" s="3"/>
      <c r="E11" s="1">
        <f t="shared" si="0"/>
        <v>83.57962793427032</v>
      </c>
      <c r="F11" s="1">
        <f t="shared" si="6"/>
        <v>85.130827934270314</v>
      </c>
      <c r="G11" s="1">
        <f t="shared" si="7"/>
        <v>82.028427934270312</v>
      </c>
      <c r="H11" s="1">
        <f t="shared" si="2"/>
        <v>1.5512000000000015</v>
      </c>
      <c r="J11">
        <v>1680</v>
      </c>
      <c r="K11">
        <f t="shared" si="1"/>
        <v>1333.75</v>
      </c>
      <c r="L11">
        <f t="shared" si="3"/>
        <v>692.5</v>
      </c>
      <c r="M11" s="2">
        <v>2.9944139999999999</v>
      </c>
      <c r="N11" s="2">
        <v>1.9910000000000001E-3</v>
      </c>
      <c r="O11">
        <v>26.849456</v>
      </c>
      <c r="P11">
        <v>0.103237</v>
      </c>
      <c r="S11" s="2">
        <v>4.9387869999999996</v>
      </c>
      <c r="T11" s="2">
        <v>6.4999999999999994E-5</v>
      </c>
      <c r="Z11">
        <f t="shared" si="4"/>
        <v>0</v>
      </c>
      <c r="AF11" s="2">
        <v>4.9129560000000003</v>
      </c>
      <c r="AG11" s="2">
        <v>1.8829999999999999E-3</v>
      </c>
      <c r="AH11" s="2">
        <v>2.9986380000000001</v>
      </c>
      <c r="AI11" s="2">
        <v>4.8000000000000001E-4</v>
      </c>
      <c r="AJ11" s="2">
        <v>5.1356799999999998</v>
      </c>
      <c r="AK11" s="2">
        <v>8.4599999999999996E-4</v>
      </c>
      <c r="AL11">
        <f t="shared" si="5"/>
        <v>75.65974448447696</v>
      </c>
      <c r="AM11" s="2"/>
      <c r="AN11" s="2"/>
      <c r="AO11" s="2"/>
      <c r="AP11" s="2"/>
      <c r="AQ11" s="2"/>
      <c r="AR11" s="2"/>
      <c r="AS11">
        <f t="shared" si="8"/>
        <v>0</v>
      </c>
    </row>
    <row r="12" spans="1:45" x14ac:dyDescent="0.3">
      <c r="A12">
        <v>12</v>
      </c>
      <c r="B12" s="3"/>
      <c r="C12" s="3"/>
      <c r="D12" s="3"/>
      <c r="E12" s="1">
        <f t="shared" si="0"/>
        <v>83.675099287151937</v>
      </c>
      <c r="F12" s="1">
        <f t="shared" si="6"/>
        <v>85.293499287151946</v>
      </c>
      <c r="G12" s="1">
        <f t="shared" si="7"/>
        <v>82.056699287151943</v>
      </c>
      <c r="H12" s="1">
        <f t="shared" si="2"/>
        <v>1.6184000000000012</v>
      </c>
      <c r="J12">
        <v>1740</v>
      </c>
      <c r="K12">
        <f t="shared" si="1"/>
        <v>1378.75</v>
      </c>
      <c r="L12">
        <f t="shared" si="3"/>
        <v>722.5</v>
      </c>
      <c r="M12" s="2">
        <v>2.9944310000000001</v>
      </c>
      <c r="N12" s="2">
        <v>1.41E-3</v>
      </c>
      <c r="O12">
        <v>26.849906000000001</v>
      </c>
      <c r="P12">
        <v>7.3148000000000005E-2</v>
      </c>
      <c r="S12" s="2">
        <v>4.9411810000000003</v>
      </c>
      <c r="T12" s="2">
        <v>3.0299999999999999E-4</v>
      </c>
      <c r="Z12">
        <f t="shared" si="4"/>
        <v>0</v>
      </c>
      <c r="AF12" s="2">
        <v>4.9188400000000003</v>
      </c>
      <c r="AG12" s="2">
        <v>3.0690000000000001E-3</v>
      </c>
      <c r="AH12" s="2">
        <v>2.994678</v>
      </c>
      <c r="AI12" s="2">
        <v>7.7800000000000005E-4</v>
      </c>
      <c r="AJ12" s="2">
        <v>5.1432789999999997</v>
      </c>
      <c r="AK12" s="2">
        <v>1.3799999999999999E-3</v>
      </c>
      <c r="AL12">
        <f t="shared" si="5"/>
        <v>75.762258329492809</v>
      </c>
      <c r="AM12" s="2"/>
      <c r="AN12" s="2"/>
      <c r="AO12" s="2"/>
      <c r="AP12" s="2"/>
      <c r="AQ12" s="2"/>
      <c r="AR12" s="2"/>
      <c r="AS12">
        <f t="shared" si="8"/>
        <v>0</v>
      </c>
    </row>
    <row r="13" spans="1:45" ht="14.25" customHeight="1" x14ac:dyDescent="0.3">
      <c r="A13">
        <v>13</v>
      </c>
      <c r="B13" s="3"/>
      <c r="C13" s="3"/>
      <c r="D13" s="3"/>
      <c r="E13" s="1">
        <f t="shared" si="0"/>
        <v>83.742562876815683</v>
      </c>
      <c r="F13" s="1">
        <f t="shared" si="6"/>
        <v>85.439362876815679</v>
      </c>
      <c r="G13" s="1">
        <f t="shared" si="7"/>
        <v>82.045762876815672</v>
      </c>
      <c r="H13" s="1">
        <f t="shared" si="2"/>
        <v>1.6968000000000032</v>
      </c>
      <c r="J13">
        <v>1810</v>
      </c>
      <c r="K13">
        <f t="shared" si="1"/>
        <v>1431.25</v>
      </c>
      <c r="L13">
        <f t="shared" si="3"/>
        <v>757.5</v>
      </c>
      <c r="M13" s="2">
        <v>2.9945909999999998</v>
      </c>
      <c r="N13" s="2">
        <v>1.3680000000000001E-3</v>
      </c>
      <c r="O13">
        <v>26.854215</v>
      </c>
      <c r="P13">
        <v>7.0951E-2</v>
      </c>
      <c r="S13" s="2">
        <v>4.9433850000000001</v>
      </c>
      <c r="T13" s="2">
        <v>6.78E-4</v>
      </c>
      <c r="Z13">
        <f t="shared" si="4"/>
        <v>0</v>
      </c>
      <c r="AF13" s="2">
        <v>4.9228350000000001</v>
      </c>
      <c r="AG13" s="2">
        <v>3.5070000000000001E-3</v>
      </c>
      <c r="AH13" s="2">
        <v>2.992121</v>
      </c>
      <c r="AI13" s="2">
        <v>8.8500000000000004E-4</v>
      </c>
      <c r="AJ13" s="2">
        <v>5.1511589999999998</v>
      </c>
      <c r="AK13" s="2">
        <v>1.5790000000000001E-3</v>
      </c>
      <c r="AL13">
        <f t="shared" si="5"/>
        <v>75.875119355772583</v>
      </c>
      <c r="AM13" s="2"/>
      <c r="AN13" s="2"/>
      <c r="AO13" s="2"/>
      <c r="AP13" s="2"/>
      <c r="AQ13" s="2"/>
      <c r="AR13" s="2"/>
      <c r="AS13">
        <f t="shared" si="8"/>
        <v>0</v>
      </c>
    </row>
    <row r="14" spans="1:45" x14ac:dyDescent="0.3">
      <c r="A14">
        <v>14</v>
      </c>
      <c r="B14" s="3"/>
      <c r="C14" s="3"/>
      <c r="D14" s="3"/>
      <c r="E14" s="1">
        <f t="shared" si="0"/>
        <v>83.573985140226256</v>
      </c>
      <c r="F14" s="1">
        <f t="shared" si="6"/>
        <v>85.349185140226254</v>
      </c>
      <c r="G14" s="1">
        <f t="shared" si="7"/>
        <v>81.798785140226258</v>
      </c>
      <c r="H14" s="1">
        <f t="shared" si="2"/>
        <v>1.7751999999999981</v>
      </c>
      <c r="J14">
        <v>1880</v>
      </c>
      <c r="K14">
        <f t="shared" si="1"/>
        <v>1483.75</v>
      </c>
      <c r="L14">
        <f t="shared" si="3"/>
        <v>792.5</v>
      </c>
      <c r="M14">
        <v>2.9955059999999998</v>
      </c>
      <c r="N14" s="2">
        <v>8.0599999999999997E-4</v>
      </c>
      <c r="O14">
        <v>26.87884</v>
      </c>
      <c r="P14">
        <v>4.1800999999999998E-2</v>
      </c>
      <c r="Q14" t="s">
        <v>44</v>
      </c>
      <c r="S14" s="2">
        <v>4.9447510000000001</v>
      </c>
      <c r="T14" s="2">
        <v>1.45E-4</v>
      </c>
      <c r="Z14">
        <f t="shared" si="4"/>
        <v>0</v>
      </c>
      <c r="AF14" s="2">
        <v>4.9357199999999999</v>
      </c>
      <c r="AG14" s="2">
        <v>5.7190000000000001E-3</v>
      </c>
      <c r="AH14" s="2">
        <v>2.9842050000000002</v>
      </c>
      <c r="AI14" s="2">
        <v>1.4250000000000001E-3</v>
      </c>
      <c r="AJ14" s="2">
        <v>5.1601610000000004</v>
      </c>
      <c r="AK14" s="2">
        <v>2.568E-3</v>
      </c>
      <c r="AL14">
        <f t="shared" si="5"/>
        <v>76.005044962664726</v>
      </c>
      <c r="AM14" s="2"/>
      <c r="AN14" s="2"/>
      <c r="AO14" s="2"/>
      <c r="AP14" s="2"/>
      <c r="AQ14" s="2"/>
      <c r="AR14" s="2"/>
      <c r="AS14">
        <f t="shared" si="8"/>
        <v>0</v>
      </c>
    </row>
    <row r="15" spans="1:45" x14ac:dyDescent="0.3">
      <c r="A15">
        <v>15</v>
      </c>
      <c r="B15" s="3"/>
      <c r="C15" s="3"/>
      <c r="D15" s="3"/>
      <c r="E15" s="1">
        <f t="shared" si="0"/>
        <v>83.922228045151599</v>
      </c>
      <c r="F15" s="1">
        <f t="shared" si="6"/>
        <v>85.787028045151601</v>
      </c>
      <c r="G15" s="1">
        <f t="shared" si="7"/>
        <v>82.057428045151596</v>
      </c>
      <c r="H15" s="1">
        <f t="shared" si="2"/>
        <v>1.8648000000000025</v>
      </c>
      <c r="J15">
        <v>1960</v>
      </c>
      <c r="K15">
        <f t="shared" si="1"/>
        <v>1543.75</v>
      </c>
      <c r="L15">
        <f t="shared" si="3"/>
        <v>832.5</v>
      </c>
      <c r="M15">
        <v>2.9948220000000001</v>
      </c>
      <c r="N15" s="2">
        <v>1.2589999999999999E-3</v>
      </c>
      <c r="O15">
        <v>26.860429</v>
      </c>
      <c r="P15">
        <v>6.5287999999999999E-2</v>
      </c>
      <c r="Q15" t="s">
        <v>37</v>
      </c>
      <c r="S15" s="2">
        <v>4.9463100000000004</v>
      </c>
      <c r="T15" s="2">
        <v>8.2999999999999998E-5</v>
      </c>
      <c r="V15" s="2">
        <v>5.9637200000000004</v>
      </c>
      <c r="W15" s="2">
        <v>1.7539999999999999E-3</v>
      </c>
      <c r="X15" s="2">
        <v>4.9464699999999997</v>
      </c>
      <c r="Y15" s="2">
        <v>3.8670000000000002E-3</v>
      </c>
      <c r="Z15">
        <f t="shared" si="4"/>
        <v>76.178164687395807</v>
      </c>
      <c r="AL15">
        <f t="shared" si="5"/>
        <v>0</v>
      </c>
      <c r="AM15" s="2"/>
      <c r="AN15" s="2"/>
      <c r="AO15" s="2"/>
      <c r="AP15" s="2"/>
      <c r="AQ15" s="2"/>
      <c r="AR15" s="2"/>
      <c r="AS15">
        <f t="shared" si="8"/>
        <v>0</v>
      </c>
    </row>
    <row r="16" spans="1:45" x14ac:dyDescent="0.3">
      <c r="A16">
        <v>16</v>
      </c>
      <c r="B16" s="3"/>
      <c r="C16" s="3"/>
      <c r="D16" s="3"/>
      <c r="E16" s="1">
        <f t="shared" si="0"/>
        <v>83.776205775804058</v>
      </c>
      <c r="F16" s="1">
        <f t="shared" si="6"/>
        <v>85.75300577580407</v>
      </c>
      <c r="G16" s="1">
        <f t="shared" si="7"/>
        <v>81.799405775804061</v>
      </c>
      <c r="H16" s="1">
        <f t="shared" si="2"/>
        <v>1.9768000000000043</v>
      </c>
      <c r="J16">
        <v>2060</v>
      </c>
      <c r="K16">
        <f t="shared" si="1"/>
        <v>1618.75</v>
      </c>
      <c r="L16">
        <f t="shared" si="3"/>
        <v>882.5</v>
      </c>
      <c r="M16" s="2">
        <v>2.9958269999999998</v>
      </c>
      <c r="N16" s="2">
        <v>1.126E-3</v>
      </c>
      <c r="O16">
        <v>26.887498999999998</v>
      </c>
      <c r="P16">
        <v>5.8406E-2</v>
      </c>
      <c r="Q16" t="s">
        <v>37</v>
      </c>
      <c r="S16" s="2">
        <v>4.9488190000000003</v>
      </c>
      <c r="T16" s="2">
        <v>8.0000000000000007E-5</v>
      </c>
      <c r="V16" s="2">
        <v>5.968197</v>
      </c>
      <c r="W16" s="2">
        <v>1.688E-3</v>
      </c>
      <c r="X16" s="2">
        <v>4.9565099999999997</v>
      </c>
      <c r="Y16" s="2">
        <v>3.735E-3</v>
      </c>
      <c r="Z16">
        <f t="shared" si="4"/>
        <v>76.447435784676799</v>
      </c>
      <c r="AL16">
        <f t="shared" si="5"/>
        <v>0</v>
      </c>
      <c r="AM16" s="2"/>
      <c r="AN16" s="2"/>
      <c r="AO16" s="2"/>
      <c r="AP16" s="2"/>
      <c r="AQ16" s="2"/>
      <c r="AR16" s="2"/>
      <c r="AS16">
        <f t="shared" si="8"/>
        <v>0</v>
      </c>
    </row>
    <row r="17" spans="1:45" x14ac:dyDescent="0.3">
      <c r="A17">
        <v>17</v>
      </c>
      <c r="B17" s="3"/>
      <c r="C17" s="3"/>
      <c r="D17" s="3"/>
      <c r="E17" s="1">
        <f t="shared" si="0"/>
        <v>83.727069930842475</v>
      </c>
      <c r="F17" s="1">
        <f t="shared" si="6"/>
        <v>85.82706993084247</v>
      </c>
      <c r="G17" s="1">
        <f t="shared" si="7"/>
        <v>81.627069930842467</v>
      </c>
      <c r="H17" s="1">
        <f t="shared" si="2"/>
        <v>2.1000000000000014</v>
      </c>
      <c r="J17">
        <v>2170</v>
      </c>
      <c r="K17">
        <f t="shared" si="1"/>
        <v>1701.25</v>
      </c>
      <c r="L17">
        <f t="shared" si="3"/>
        <v>937.5</v>
      </c>
      <c r="M17" s="2">
        <v>2.996578</v>
      </c>
      <c r="N17" s="2">
        <v>1.124E-3</v>
      </c>
      <c r="O17">
        <v>26.907703999999999</v>
      </c>
      <c r="P17">
        <v>5.8354999999999997E-2</v>
      </c>
      <c r="Q17" t="s">
        <v>82</v>
      </c>
      <c r="S17" s="2">
        <v>4.9531980000000004</v>
      </c>
      <c r="T17" s="2">
        <v>1.8900000000000001E-4</v>
      </c>
      <c r="V17" s="2">
        <v>5.9723839999999999</v>
      </c>
      <c r="W17" s="2">
        <v>4.8599999999999997E-3</v>
      </c>
      <c r="X17" s="2">
        <v>4.9640310000000003</v>
      </c>
      <c r="Y17" s="2">
        <v>1.0779E-2</v>
      </c>
      <c r="Z17">
        <f t="shared" si="4"/>
        <v>76.670901129540496</v>
      </c>
      <c r="AL17">
        <f t="shared" si="5"/>
        <v>0</v>
      </c>
      <c r="AM17" s="2"/>
      <c r="AN17" s="2"/>
      <c r="AO17" s="2"/>
      <c r="AP17" s="2"/>
      <c r="AQ17" s="2"/>
      <c r="AR17" s="2"/>
      <c r="AS17">
        <f t="shared" si="8"/>
        <v>0</v>
      </c>
    </row>
    <row r="18" spans="1:45" x14ac:dyDescent="0.3">
      <c r="A18">
        <v>18</v>
      </c>
      <c r="B18" s="3"/>
      <c r="C18" s="3"/>
      <c r="D18" s="3"/>
      <c r="E18" s="1">
        <f t="shared" si="0"/>
        <v>83.228067611629882</v>
      </c>
      <c r="F18" s="1">
        <f t="shared" si="6"/>
        <v>85.406467611629878</v>
      </c>
      <c r="G18" s="1">
        <f t="shared" si="7"/>
        <v>81.049667611629886</v>
      </c>
      <c r="H18" s="1">
        <f t="shared" si="2"/>
        <v>2.1783999999999963</v>
      </c>
      <c r="J18">
        <v>2240</v>
      </c>
      <c r="K18">
        <f t="shared" si="1"/>
        <v>1753.75</v>
      </c>
      <c r="L18">
        <f t="shared" si="3"/>
        <v>972.5</v>
      </c>
      <c r="M18" s="2">
        <v>2.998567</v>
      </c>
      <c r="N18" s="2">
        <v>2.72E-4</v>
      </c>
      <c r="O18">
        <v>26.961326</v>
      </c>
      <c r="P18" s="2">
        <v>1.4116999999999999E-2</v>
      </c>
      <c r="S18" s="2">
        <v>4.957052</v>
      </c>
      <c r="T18" s="2">
        <v>4.4900000000000002E-4</v>
      </c>
      <c r="X18"/>
      <c r="Y18"/>
      <c r="Z18">
        <f t="shared" si="4"/>
        <v>0</v>
      </c>
      <c r="AL18">
        <f t="shared" si="5"/>
        <v>0</v>
      </c>
      <c r="AM18" s="2">
        <v>4.9623369999999998</v>
      </c>
      <c r="AN18" s="2">
        <v>5.0559999999999997E-3</v>
      </c>
      <c r="AO18" s="2">
        <v>2.9797959999999999</v>
      </c>
      <c r="AP18" s="2">
        <v>2.5850000000000001E-3</v>
      </c>
      <c r="AQ18" s="2">
        <v>5.1795989999999996</v>
      </c>
      <c r="AR18" s="2">
        <v>3.3579999999999999E-3</v>
      </c>
      <c r="AS18">
        <f t="shared" si="8"/>
        <v>76.589445578516106</v>
      </c>
    </row>
    <row r="19" spans="1:45" x14ac:dyDescent="0.3">
      <c r="A19">
        <v>19</v>
      </c>
      <c r="B19" s="3"/>
      <c r="C19" s="3"/>
      <c r="D19" s="3"/>
      <c r="E19" s="1">
        <f t="shared" si="0"/>
        <v>83.432109774872842</v>
      </c>
      <c r="F19" s="1">
        <f t="shared" si="6"/>
        <v>85.711309774872845</v>
      </c>
      <c r="G19" s="1">
        <f t="shared" si="7"/>
        <v>81.152909774872839</v>
      </c>
      <c r="H19" s="1">
        <f t="shared" si="2"/>
        <v>2.279200000000003</v>
      </c>
      <c r="J19">
        <v>2330</v>
      </c>
      <c r="K19">
        <f t="shared" si="1"/>
        <v>1821.25</v>
      </c>
      <c r="L19">
        <f t="shared" si="3"/>
        <v>1017.5</v>
      </c>
      <c r="M19" s="2">
        <v>2.9983960000000001</v>
      </c>
      <c r="N19" s="2">
        <v>9.7999999999999997E-4</v>
      </c>
      <c r="O19" s="2">
        <v>26.956702</v>
      </c>
      <c r="P19">
        <v>5.0916000000000003E-2</v>
      </c>
      <c r="S19" s="2">
        <v>4.9608150000000002</v>
      </c>
      <c r="T19" s="2">
        <v>1.2400000000000001E-4</v>
      </c>
      <c r="Z19">
        <f t="shared" si="4"/>
        <v>0</v>
      </c>
      <c r="AL19">
        <f t="shared" si="5"/>
        <v>0</v>
      </c>
      <c r="AM19" s="2">
        <v>4.9877289999999999</v>
      </c>
      <c r="AN19" s="2">
        <v>7.5110000000000003E-3</v>
      </c>
      <c r="AO19" s="2">
        <v>2.9757030000000002</v>
      </c>
      <c r="AP19" s="2">
        <v>3.7729999999999999E-3</v>
      </c>
      <c r="AQ19" s="2">
        <v>5.1877259999999996</v>
      </c>
      <c r="AR19" s="2">
        <v>4.9410000000000001E-3</v>
      </c>
      <c r="AS19">
        <f t="shared" si="8"/>
        <v>76.996230062309877</v>
      </c>
    </row>
    <row r="20" spans="1:45" x14ac:dyDescent="0.3">
      <c r="A20">
        <v>20</v>
      </c>
      <c r="B20" s="3"/>
      <c r="C20" s="3"/>
      <c r="D20" s="3"/>
      <c r="E20" s="1">
        <f t="shared" si="0"/>
        <v>83.347776731882902</v>
      </c>
      <c r="F20" s="1">
        <f t="shared" si="6"/>
        <v>85.750176731882902</v>
      </c>
      <c r="G20" s="1">
        <f t="shared" si="7"/>
        <v>80.945376731882902</v>
      </c>
      <c r="H20" s="1">
        <f t="shared" si="2"/>
        <v>2.4024000000000001</v>
      </c>
      <c r="J20">
        <v>2440</v>
      </c>
      <c r="K20">
        <f t="shared" si="1"/>
        <v>1903.75</v>
      </c>
      <c r="L20">
        <f t="shared" si="3"/>
        <v>1072.5</v>
      </c>
      <c r="M20" s="2">
        <v>2.9992679999999998</v>
      </c>
      <c r="N20" s="2">
        <v>5.71E-4</v>
      </c>
      <c r="O20" s="2">
        <v>26.980252</v>
      </c>
      <c r="P20">
        <v>2.9651E-2</v>
      </c>
      <c r="S20" s="2">
        <v>4.9616860000000003</v>
      </c>
      <c r="T20" s="2">
        <v>2.3000000000000001E-4</v>
      </c>
      <c r="Z20">
        <f t="shared" si="4"/>
        <v>0</v>
      </c>
      <c r="AL20">
        <f t="shared" si="5"/>
        <v>0</v>
      </c>
      <c r="AM20" s="2">
        <v>5.0010630000000003</v>
      </c>
      <c r="AN20" s="2">
        <v>2.4399999999999999E-3</v>
      </c>
      <c r="AO20" s="2">
        <v>2.9716670000000001</v>
      </c>
      <c r="AP20" s="2">
        <v>1.212E-3</v>
      </c>
      <c r="AQ20" s="2">
        <v>5.1951349999999996</v>
      </c>
      <c r="AR20" s="2">
        <v>1.6000000000000001E-3</v>
      </c>
      <c r="AS20">
        <f t="shared" si="8"/>
        <v>77.207467018773173</v>
      </c>
    </row>
    <row r="21" spans="1:45" x14ac:dyDescent="0.3">
      <c r="A21">
        <v>21</v>
      </c>
      <c r="E21" s="1">
        <f t="shared" si="0"/>
        <v>84.151867983977425</v>
      </c>
      <c r="F21" s="1">
        <f t="shared" si="6"/>
        <v>86.632667983977427</v>
      </c>
      <c r="G21" s="1">
        <f t="shared" si="7"/>
        <v>81.671067983977437</v>
      </c>
      <c r="H21" s="1">
        <f t="shared" si="2"/>
        <v>2.480799999999995</v>
      </c>
      <c r="J21">
        <v>2510</v>
      </c>
      <c r="K21">
        <f t="shared" si="1"/>
        <v>1956.25</v>
      </c>
      <c r="L21">
        <f t="shared" si="3"/>
        <v>1107.5</v>
      </c>
      <c r="M21" s="2">
        <v>2.9970490000000001</v>
      </c>
      <c r="N21" s="2">
        <v>1.952E-3</v>
      </c>
      <c r="O21" s="2">
        <v>26.920390000000001</v>
      </c>
      <c r="P21">
        <v>0.10133499999999999</v>
      </c>
      <c r="S21" s="2">
        <v>4.9627670000000004</v>
      </c>
      <c r="T21" s="2">
        <v>3.0800000000000001E-4</v>
      </c>
      <c r="Z21">
        <f t="shared" si="4"/>
        <v>0</v>
      </c>
      <c r="AL21">
        <f t="shared" si="5"/>
        <v>0</v>
      </c>
      <c r="AM21" s="2">
        <v>5.0077619999999996</v>
      </c>
      <c r="AN21" s="2">
        <v>3.9060000000000002E-3</v>
      </c>
      <c r="AO21" s="2">
        <v>2.971759</v>
      </c>
      <c r="AP21" s="2">
        <v>1.933E-3</v>
      </c>
      <c r="AQ21" s="2">
        <v>5.1946969999999997</v>
      </c>
      <c r="AR21" s="2">
        <v>2.552E-3</v>
      </c>
      <c r="AS21">
        <f t="shared" si="8"/>
        <v>77.306762812371417</v>
      </c>
    </row>
    <row r="22" spans="1:45" x14ac:dyDescent="0.3">
      <c r="A22">
        <v>22</v>
      </c>
      <c r="E22" s="1">
        <f t="shared" si="0"/>
        <v>82.620587774785946</v>
      </c>
      <c r="F22" s="1">
        <f t="shared" si="6"/>
        <v>82.626187774785933</v>
      </c>
      <c r="G22" s="1">
        <f t="shared" si="7"/>
        <v>82.614987774785945</v>
      </c>
      <c r="H22" s="1">
        <f t="shared" si="2"/>
        <v>5.5999999999940542E-3</v>
      </c>
      <c r="J22">
        <v>300</v>
      </c>
      <c r="K22">
        <f t="shared" si="1"/>
        <v>298.75</v>
      </c>
      <c r="L22">
        <f t="shared" si="3"/>
        <v>2.5</v>
      </c>
      <c r="M22" s="2">
        <v>2.99011</v>
      </c>
      <c r="S22" s="2">
        <v>4.9426800000000002</v>
      </c>
      <c r="Z22">
        <f t="shared" si="4"/>
        <v>0</v>
      </c>
      <c r="AL22">
        <f t="shared" si="5"/>
        <v>0</v>
      </c>
      <c r="AM22" s="2"/>
      <c r="AN22" s="2"/>
      <c r="AO22" s="2"/>
      <c r="AP22" s="2"/>
      <c r="AQ22" s="2"/>
      <c r="AR22" s="2"/>
      <c r="AS22">
        <f t="shared" si="8"/>
        <v>0</v>
      </c>
    </row>
    <row r="23" spans="1:45" x14ac:dyDescent="0.3">
      <c r="A23">
        <v>23</v>
      </c>
      <c r="E23" s="1" t="e">
        <f t="shared" si="0"/>
        <v>#DIV/0!</v>
      </c>
      <c r="F23" s="1" t="e">
        <f t="shared" si="6"/>
        <v>#DIV/0!</v>
      </c>
      <c r="G23" s="1" t="e">
        <f t="shared" si="7"/>
        <v>#DIV/0!</v>
      </c>
      <c r="H23" s="1" t="e">
        <f t="shared" si="2"/>
        <v>#DIV/0!</v>
      </c>
      <c r="J23">
        <v>300</v>
      </c>
      <c r="K23">
        <f t="shared" si="1"/>
        <v>298.75</v>
      </c>
      <c r="L23">
        <f t="shared" si="3"/>
        <v>2.5</v>
      </c>
      <c r="Z23">
        <f t="shared" si="4"/>
        <v>0</v>
      </c>
      <c r="AL23">
        <f t="shared" si="5"/>
        <v>0</v>
      </c>
      <c r="AM23" s="2"/>
      <c r="AN23" s="2"/>
      <c r="AO23" s="2"/>
      <c r="AP23" s="2"/>
      <c r="AQ23" s="2"/>
      <c r="AR23" s="2"/>
      <c r="AS23">
        <f t="shared" si="8"/>
        <v>0</v>
      </c>
    </row>
    <row r="24" spans="1:45" x14ac:dyDescent="0.3">
      <c r="A24">
        <v>24</v>
      </c>
      <c r="E24" s="1" t="e">
        <f t="shared" si="0"/>
        <v>#DIV/0!</v>
      </c>
      <c r="F24" s="1" t="e">
        <f t="shared" si="6"/>
        <v>#DIV/0!</v>
      </c>
      <c r="G24" s="1" t="e">
        <f t="shared" si="7"/>
        <v>#DIV/0!</v>
      </c>
      <c r="H24" s="1" t="e">
        <f t="shared" si="2"/>
        <v>#DIV/0!</v>
      </c>
      <c r="J24">
        <v>1240</v>
      </c>
      <c r="K24">
        <f t="shared" si="1"/>
        <v>1003.75</v>
      </c>
      <c r="L24">
        <f t="shared" si="3"/>
        <v>472.5</v>
      </c>
      <c r="P24"/>
      <c r="W24" s="4"/>
      <c r="Z24">
        <f t="shared" si="4"/>
        <v>0</v>
      </c>
      <c r="AL24">
        <f t="shared" si="5"/>
        <v>0</v>
      </c>
      <c r="AM24" s="2"/>
      <c r="AN24" s="2"/>
      <c r="AO24" s="2"/>
      <c r="AP24" s="2"/>
      <c r="AQ24" s="2"/>
      <c r="AR24" s="2"/>
      <c r="AS24">
        <f t="shared" si="8"/>
        <v>0</v>
      </c>
    </row>
    <row r="25" spans="1:45" x14ac:dyDescent="0.3">
      <c r="A25">
        <v>25</v>
      </c>
      <c r="E25" s="1" t="e">
        <f t="shared" si="0"/>
        <v>#DIV/0!</v>
      </c>
      <c r="F25" s="1" t="e">
        <f t="shared" si="6"/>
        <v>#DIV/0!</v>
      </c>
      <c r="G25" s="1" t="e">
        <f t="shared" si="7"/>
        <v>#DIV/0!</v>
      </c>
      <c r="H25" s="1" t="e">
        <f t="shared" si="2"/>
        <v>#DIV/0!</v>
      </c>
      <c r="J25">
        <v>1400</v>
      </c>
      <c r="K25">
        <f t="shared" si="1"/>
        <v>1123.75</v>
      </c>
      <c r="L25">
        <f t="shared" si="3"/>
        <v>552.5</v>
      </c>
      <c r="Z25">
        <f t="shared" si="4"/>
        <v>0</v>
      </c>
      <c r="AL25">
        <f t="shared" si="5"/>
        <v>0</v>
      </c>
      <c r="AM25" s="2"/>
      <c r="AN25" s="2"/>
      <c r="AO25" s="2"/>
      <c r="AP25" s="2"/>
      <c r="AQ25" s="2"/>
      <c r="AR25" s="2"/>
      <c r="AS25">
        <f t="shared" si="8"/>
        <v>0</v>
      </c>
    </row>
    <row r="26" spans="1:45" x14ac:dyDescent="0.3">
      <c r="A26">
        <v>26</v>
      </c>
      <c r="E26" s="1" t="e">
        <f t="shared" si="0"/>
        <v>#DIV/0!</v>
      </c>
      <c r="F26" s="1" t="e">
        <f t="shared" si="6"/>
        <v>#DIV/0!</v>
      </c>
      <c r="G26" s="1" t="e">
        <f t="shared" si="7"/>
        <v>#DIV/0!</v>
      </c>
      <c r="H26" s="1" t="e">
        <f t="shared" si="2"/>
        <v>#DIV/0!</v>
      </c>
      <c r="J26">
        <v>1460</v>
      </c>
      <c r="K26">
        <f t="shared" si="1"/>
        <v>1168.75</v>
      </c>
      <c r="L26">
        <f t="shared" si="3"/>
        <v>582.5</v>
      </c>
      <c r="Z26">
        <f t="shared" si="4"/>
        <v>0</v>
      </c>
      <c r="AL26">
        <f t="shared" si="5"/>
        <v>0</v>
      </c>
      <c r="AM26" s="2"/>
      <c r="AN26" s="2"/>
      <c r="AO26" s="2"/>
      <c r="AP26" s="2"/>
      <c r="AQ26" s="2"/>
      <c r="AR26" s="2"/>
      <c r="AS26">
        <f t="shared" si="8"/>
        <v>0</v>
      </c>
    </row>
    <row r="27" spans="1:45" x14ac:dyDescent="0.3">
      <c r="A27">
        <v>27</v>
      </c>
      <c r="E27" s="1">
        <f t="shared" si="0"/>
        <v>91.164511613372184</v>
      </c>
      <c r="F27" s="1">
        <f t="shared" si="6"/>
        <v>92.558911613372189</v>
      </c>
      <c r="G27" s="1">
        <f t="shared" si="7"/>
        <v>89.770111613372194</v>
      </c>
      <c r="H27" s="1">
        <f t="shared" si="2"/>
        <v>1.3943999999999974</v>
      </c>
      <c r="J27">
        <v>1540</v>
      </c>
      <c r="K27">
        <f t="shared" si="1"/>
        <v>1228.75</v>
      </c>
      <c r="L27">
        <f t="shared" si="3"/>
        <v>622.5</v>
      </c>
      <c r="M27" s="2">
        <v>2.9704969999999999</v>
      </c>
      <c r="N27" s="2">
        <v>1.63E-4</v>
      </c>
      <c r="O27" s="2">
        <v>26.21123</v>
      </c>
      <c r="P27">
        <v>8.3689999999999997E-3</v>
      </c>
      <c r="S27" s="2">
        <v>4.9082220000000003</v>
      </c>
      <c r="T27" s="2">
        <v>1.24E-3</v>
      </c>
      <c r="Z27">
        <f t="shared" si="4"/>
        <v>0</v>
      </c>
      <c r="AF27" s="2">
        <v>4.8471380000000002</v>
      </c>
      <c r="AG27" s="2">
        <v>7.6790000000000001E-3</v>
      </c>
      <c r="AH27" s="2">
        <v>3.0023819999999999</v>
      </c>
      <c r="AI27" s="2">
        <v>2.7000000000000001E-3</v>
      </c>
      <c r="AJ27" s="2">
        <v>5.0891840000000004</v>
      </c>
      <c r="AK27" s="2">
        <v>4.509E-3</v>
      </c>
      <c r="AL27">
        <f t="shared" si="5"/>
        <v>74.062690587760144</v>
      </c>
      <c r="AM27" s="2"/>
      <c r="AN27" s="2"/>
      <c r="AO27" s="2"/>
      <c r="AP27" s="2"/>
      <c r="AQ27" s="2"/>
      <c r="AR27" s="2"/>
      <c r="AS27">
        <f t="shared" si="8"/>
        <v>0</v>
      </c>
    </row>
    <row r="28" spans="1:45" x14ac:dyDescent="0.3">
      <c r="A28">
        <v>28</v>
      </c>
      <c r="E28" s="1">
        <f t="shared" si="0"/>
        <v>90.827803727349689</v>
      </c>
      <c r="F28" s="1">
        <f t="shared" si="6"/>
        <v>92.300603727349696</v>
      </c>
      <c r="G28" s="1">
        <f t="shared" si="7"/>
        <v>89.355003727349697</v>
      </c>
      <c r="H28" s="1">
        <f t="shared" si="2"/>
        <v>1.4727999999999994</v>
      </c>
      <c r="J28">
        <v>1610</v>
      </c>
      <c r="K28">
        <f t="shared" si="1"/>
        <v>1281.25</v>
      </c>
      <c r="L28">
        <f t="shared" si="3"/>
        <v>657.5</v>
      </c>
      <c r="M28" s="2">
        <v>2.9718330000000002</v>
      </c>
      <c r="N28" s="2">
        <v>1.4580000000000001E-3</v>
      </c>
      <c r="O28" s="2">
        <v>26.246614000000001</v>
      </c>
      <c r="P28">
        <v>7.5047000000000003E-2</v>
      </c>
      <c r="S28" s="2">
        <v>4.9096229999999998</v>
      </c>
      <c r="T28" s="2">
        <v>6.6299999999999996E-4</v>
      </c>
      <c r="Z28">
        <f t="shared" si="4"/>
        <v>0</v>
      </c>
      <c r="AF28" s="2">
        <v>4.8533749999999998</v>
      </c>
      <c r="AG28" s="2">
        <v>1.2728E-2</v>
      </c>
      <c r="AH28" s="2">
        <v>2.9972020000000001</v>
      </c>
      <c r="AI28" s="2">
        <v>3.3409999999999998E-3</v>
      </c>
      <c r="AJ28" s="2">
        <v>5.0993950000000003</v>
      </c>
      <c r="AK28" s="2">
        <v>5.803E-3</v>
      </c>
      <c r="AL28">
        <f t="shared" si="5"/>
        <v>74.178580149544672</v>
      </c>
      <c r="AM28" s="2"/>
      <c r="AN28" s="2"/>
      <c r="AO28" s="2"/>
      <c r="AP28" s="2"/>
      <c r="AQ28" s="2"/>
      <c r="AR28" s="2"/>
      <c r="AS28">
        <f t="shared" si="8"/>
        <v>0</v>
      </c>
    </row>
    <row r="29" spans="1:45" x14ac:dyDescent="0.3">
      <c r="A29">
        <v>29</v>
      </c>
      <c r="E29" s="1">
        <f t="shared" si="0"/>
        <v>90.951999793869831</v>
      </c>
      <c r="F29" s="1">
        <f t="shared" si="6"/>
        <v>92.648799793869827</v>
      </c>
      <c r="G29" s="1">
        <f t="shared" si="7"/>
        <v>89.255199793869821</v>
      </c>
      <c r="H29" s="1">
        <f t="shared" si="2"/>
        <v>1.6968000000000032</v>
      </c>
      <c r="J29">
        <v>1810</v>
      </c>
      <c r="K29">
        <f t="shared" si="1"/>
        <v>1431.25</v>
      </c>
      <c r="L29">
        <f t="shared" si="3"/>
        <v>757.5</v>
      </c>
      <c r="M29" s="2">
        <v>2.972458</v>
      </c>
      <c r="N29" s="2">
        <v>2.1350000000000002E-3</v>
      </c>
      <c r="O29" s="2">
        <v>26.263182</v>
      </c>
      <c r="P29">
        <v>0.109944</v>
      </c>
      <c r="S29" s="2">
        <v>4.9131280000000004</v>
      </c>
      <c r="T29" s="2">
        <v>2.1499999999999999E-4</v>
      </c>
      <c r="Z29">
        <f t="shared" si="4"/>
        <v>0</v>
      </c>
      <c r="AF29" s="2">
        <v>4.8898529999999996</v>
      </c>
      <c r="AG29" s="2">
        <v>1.632E-3</v>
      </c>
      <c r="AH29" s="2">
        <v>2.9758260000000001</v>
      </c>
      <c r="AI29" s="2">
        <v>1.7359999999999999E-3</v>
      </c>
      <c r="AJ29" s="2">
        <v>5.1135039999999998</v>
      </c>
      <c r="AK29" s="2">
        <v>4.4920000000000003E-3</v>
      </c>
      <c r="AL29">
        <f t="shared" si="5"/>
        <v>74.408395090517871</v>
      </c>
      <c r="AM29" s="2"/>
      <c r="AN29" s="2"/>
      <c r="AO29" s="2"/>
      <c r="AP29" s="2"/>
      <c r="AQ29" s="2"/>
      <c r="AR29" s="2"/>
      <c r="AS29">
        <f t="shared" si="8"/>
        <v>0</v>
      </c>
    </row>
    <row r="30" spans="1:45" x14ac:dyDescent="0.3">
      <c r="A30">
        <v>30</v>
      </c>
      <c r="E30" s="1">
        <f t="shared" si="0"/>
        <v>91.549171349610702</v>
      </c>
      <c r="F30" s="1">
        <f t="shared" si="6"/>
        <v>93.357971349610708</v>
      </c>
      <c r="G30" s="1">
        <f t="shared" si="7"/>
        <v>89.740371349610697</v>
      </c>
      <c r="H30" s="1">
        <f t="shared" si="2"/>
        <v>1.8088000000000051</v>
      </c>
      <c r="J30">
        <v>1910</v>
      </c>
      <c r="K30">
        <f t="shared" si="1"/>
        <v>1506.25</v>
      </c>
      <c r="L30">
        <f t="shared" si="3"/>
        <v>807.5</v>
      </c>
      <c r="M30" s="2">
        <v>2.971193</v>
      </c>
      <c r="N30" s="2">
        <v>1.4120000000000001E-3</v>
      </c>
      <c r="O30" s="2">
        <v>26.229651</v>
      </c>
      <c r="P30">
        <v>7.2674000000000002E-2</v>
      </c>
      <c r="S30" s="2">
        <v>4.9147670000000003</v>
      </c>
      <c r="T30" s="2">
        <v>8.7999999999999998E-5</v>
      </c>
      <c r="Z30">
        <f t="shared" si="4"/>
        <v>0</v>
      </c>
      <c r="AF30" s="2">
        <v>4.8996110000000002</v>
      </c>
      <c r="AG30" s="2">
        <v>1.2899999999999999E-3</v>
      </c>
      <c r="AH30" s="2">
        <v>2.9705400000000002</v>
      </c>
      <c r="AI30" s="2">
        <v>1.358E-3</v>
      </c>
      <c r="AJ30" s="2">
        <v>5.11761</v>
      </c>
      <c r="AK30" s="2">
        <v>3.542E-3</v>
      </c>
      <c r="AL30">
        <f t="shared" si="5"/>
        <v>74.484205922693548</v>
      </c>
      <c r="AM30" s="2"/>
      <c r="AN30" s="2"/>
      <c r="AO30" s="2"/>
      <c r="AP30" s="2"/>
      <c r="AQ30" s="2"/>
      <c r="AR30" s="2"/>
      <c r="AS30">
        <f t="shared" si="8"/>
        <v>0</v>
      </c>
    </row>
    <row r="31" spans="1:45" x14ac:dyDescent="0.3">
      <c r="A31">
        <v>31</v>
      </c>
      <c r="E31" s="1">
        <f t="shared" si="0"/>
        <v>90.996307371820947</v>
      </c>
      <c r="F31" s="1">
        <f t="shared" si="6"/>
        <v>92.569907371820946</v>
      </c>
      <c r="G31" s="1">
        <f t="shared" si="7"/>
        <v>89.422707371820948</v>
      </c>
      <c r="H31" s="1">
        <f t="shared" si="2"/>
        <v>1.573599999999999</v>
      </c>
      <c r="J31">
        <v>1700</v>
      </c>
      <c r="K31">
        <f t="shared" si="1"/>
        <v>1348.75</v>
      </c>
      <c r="L31">
        <f t="shared" si="3"/>
        <v>702.5</v>
      </c>
      <c r="M31" s="2">
        <v>2.9717820000000001</v>
      </c>
      <c r="N31" s="2">
        <v>2.2899999999999999E-3</v>
      </c>
      <c r="O31" s="2">
        <v>26.245259000000001</v>
      </c>
      <c r="P31">
        <v>0.11788700000000001</v>
      </c>
      <c r="S31" s="2">
        <v>4.9123250000000001</v>
      </c>
      <c r="T31" s="2">
        <v>1.3899999999999999E-4</v>
      </c>
      <c r="Z31">
        <f t="shared" si="4"/>
        <v>0</v>
      </c>
      <c r="AF31" s="2">
        <v>4.8852909999999996</v>
      </c>
      <c r="AG31" s="2">
        <v>4.7600000000000002E-4</v>
      </c>
      <c r="AH31" s="2">
        <v>2.9769899999999998</v>
      </c>
      <c r="AI31" s="2">
        <v>2.3800000000000001E-4</v>
      </c>
      <c r="AJ31" s="2">
        <v>5.1029679999999997</v>
      </c>
      <c r="AK31" s="2">
        <v>1.0640000000000001E-3</v>
      </c>
      <c r="AL31">
        <f t="shared" si="5"/>
        <v>74.214823512422726</v>
      </c>
      <c r="AM31" s="2"/>
      <c r="AN31" s="2"/>
      <c r="AO31" s="2"/>
      <c r="AP31" s="2"/>
      <c r="AQ31" s="2"/>
      <c r="AR31" s="2"/>
      <c r="AS31">
        <f t="shared" si="8"/>
        <v>0</v>
      </c>
    </row>
    <row r="32" spans="1:45" x14ac:dyDescent="0.3">
      <c r="A32">
        <v>32</v>
      </c>
      <c r="E32" s="1">
        <f t="shared" si="0"/>
        <v>91.320203263104474</v>
      </c>
      <c r="F32" s="1">
        <f t="shared" si="6"/>
        <v>92.781803263104464</v>
      </c>
      <c r="G32" s="1">
        <f t="shared" si="7"/>
        <v>89.85860326310447</v>
      </c>
      <c r="H32" s="1">
        <f t="shared" si="2"/>
        <v>1.4615999999999971</v>
      </c>
      <c r="J32">
        <v>1600</v>
      </c>
      <c r="K32">
        <f t="shared" si="1"/>
        <v>1273.75</v>
      </c>
      <c r="L32">
        <f t="shared" si="3"/>
        <v>652.5</v>
      </c>
      <c r="M32" s="2">
        <v>2.9703360000000001</v>
      </c>
      <c r="N32" s="2">
        <v>1.766E-3</v>
      </c>
      <c r="O32" s="2">
        <v>26.206958</v>
      </c>
      <c r="P32">
        <v>9.0855000000000005E-2</v>
      </c>
      <c r="S32" s="2">
        <v>4.9111479999999998</v>
      </c>
      <c r="T32" s="2">
        <v>1.8599999999999999E-4</v>
      </c>
      <c r="Z32">
        <f t="shared" si="4"/>
        <v>0</v>
      </c>
      <c r="AF32" s="2">
        <v>4.8797300000000003</v>
      </c>
      <c r="AG32" s="2">
        <v>3.388E-3</v>
      </c>
      <c r="AH32" s="2">
        <v>2.978065</v>
      </c>
      <c r="AI32" s="2">
        <v>1.8940000000000001E-3</v>
      </c>
      <c r="AJ32" s="2">
        <v>5.1137980000000001</v>
      </c>
      <c r="AK32" s="2">
        <v>4.5570000000000003E-3</v>
      </c>
      <c r="AL32">
        <f t="shared" si="5"/>
        <v>74.314495573278577</v>
      </c>
      <c r="AM32" s="2"/>
      <c r="AN32" s="2"/>
      <c r="AO32" s="2"/>
      <c r="AP32" s="2"/>
      <c r="AQ32" s="2"/>
      <c r="AR32" s="2"/>
      <c r="AS32">
        <f t="shared" si="8"/>
        <v>0</v>
      </c>
    </row>
    <row r="33" spans="1:45" x14ac:dyDescent="0.3">
      <c r="A33">
        <v>33</v>
      </c>
      <c r="E33" s="1">
        <f t="shared" si="0"/>
        <v>91.663944343882861</v>
      </c>
      <c r="F33" s="1">
        <f t="shared" si="6"/>
        <v>93.416744343882868</v>
      </c>
      <c r="G33" s="1">
        <f t="shared" si="7"/>
        <v>89.911144343882867</v>
      </c>
      <c r="H33" s="1">
        <f t="shared" si="2"/>
        <v>1.7528000000000006</v>
      </c>
      <c r="J33">
        <v>1860</v>
      </c>
      <c r="K33">
        <f>(3*J33+295)/4</f>
        <v>1468.75</v>
      </c>
      <c r="L33">
        <f>(J33-295)/2</f>
        <v>782.5</v>
      </c>
      <c r="M33" s="2">
        <v>2.9706090000000001</v>
      </c>
      <c r="N33" s="2">
        <v>1.6930000000000001E-3</v>
      </c>
      <c r="O33" s="2">
        <v>26.214191</v>
      </c>
      <c r="P33">
        <v>8.7093000000000004E-2</v>
      </c>
      <c r="S33" s="2">
        <v>4.9127140000000002</v>
      </c>
      <c r="T33" s="2">
        <v>1.8599999999999999E-4</v>
      </c>
      <c r="Z33">
        <f t="shared" si="4"/>
        <v>0</v>
      </c>
      <c r="AF33" s="2">
        <v>4.8883869999999998</v>
      </c>
      <c r="AG33" s="2">
        <v>2.5249999999999999E-3</v>
      </c>
      <c r="AH33" s="2">
        <v>2.9727869999999998</v>
      </c>
      <c r="AI33" s="2">
        <v>1.4E-3</v>
      </c>
      <c r="AJ33" s="2">
        <v>5.1223489999999998</v>
      </c>
      <c r="AK33" s="2">
        <v>3.398E-3</v>
      </c>
      <c r="AL33">
        <f t="shared" si="5"/>
        <v>74.43865860297268</v>
      </c>
      <c r="AM33" s="2"/>
      <c r="AN33" s="2"/>
      <c r="AO33" s="2"/>
      <c r="AP33" s="2"/>
      <c r="AQ33" s="2"/>
      <c r="AR33" s="2"/>
      <c r="AS33">
        <f t="shared" si="8"/>
        <v>0</v>
      </c>
    </row>
    <row r="34" spans="1:45" x14ac:dyDescent="0.3">
      <c r="A34">
        <v>34</v>
      </c>
      <c r="E34" s="1">
        <f t="shared" si="0"/>
        <v>92.705429096646057</v>
      </c>
      <c r="F34" s="1">
        <f t="shared" si="6"/>
        <v>94.547829096646069</v>
      </c>
      <c r="G34" s="1">
        <f t="shared" si="7"/>
        <v>90.863029096646059</v>
      </c>
      <c r="H34" s="1">
        <f t="shared" si="2"/>
        <v>1.8424000000000049</v>
      </c>
      <c r="J34">
        <v>1940</v>
      </c>
      <c r="K34">
        <f t="shared" si="1"/>
        <v>1528.75</v>
      </c>
      <c r="L34">
        <f t="shared" si="3"/>
        <v>822.5</v>
      </c>
      <c r="M34">
        <v>2.967959</v>
      </c>
      <c r="N34" s="2">
        <v>3.4699999999999998E-4</v>
      </c>
      <c r="O34">
        <v>26.144086999999999</v>
      </c>
      <c r="P34">
        <v>1.7859E-2</v>
      </c>
      <c r="Q34" t="s">
        <v>44</v>
      </c>
      <c r="S34" s="2">
        <v>4.9131229999999997</v>
      </c>
      <c r="T34" s="2">
        <v>3.39E-4</v>
      </c>
      <c r="X34"/>
      <c r="Y34"/>
      <c r="Z34">
        <f t="shared" si="4"/>
        <v>0</v>
      </c>
      <c r="AF34" s="2">
        <v>4.8975369999999998</v>
      </c>
      <c r="AG34" s="2">
        <v>2.7550000000000001E-3</v>
      </c>
      <c r="AH34" s="2">
        <v>2.9656690000000001</v>
      </c>
      <c r="AI34" s="2">
        <v>1.513E-3</v>
      </c>
      <c r="AJ34" s="2">
        <v>5.1312800000000003</v>
      </c>
      <c r="AK34" s="2">
        <v>3.7090000000000001E-3</v>
      </c>
      <c r="AL34">
        <f t="shared" si="5"/>
        <v>74.529141187989168</v>
      </c>
      <c r="AM34" s="2"/>
      <c r="AN34" s="2"/>
      <c r="AO34" s="2"/>
      <c r="AP34" s="2"/>
      <c r="AQ34" s="2"/>
      <c r="AR34" s="2"/>
      <c r="AS34">
        <f t="shared" si="8"/>
        <v>0</v>
      </c>
    </row>
    <row r="35" spans="1:45" x14ac:dyDescent="0.3">
      <c r="A35">
        <v>35</v>
      </c>
      <c r="E35" s="1">
        <f t="shared" si="0"/>
        <v>93.178583234357276</v>
      </c>
      <c r="F35" s="1">
        <f t="shared" si="6"/>
        <v>95.132983234357269</v>
      </c>
      <c r="G35" s="1">
        <f t="shared" si="7"/>
        <v>91.22418323435727</v>
      </c>
      <c r="H35" s="1">
        <f t="shared" si="2"/>
        <v>1.9543999999999997</v>
      </c>
      <c r="J35">
        <v>2040</v>
      </c>
      <c r="K35">
        <f t="shared" si="1"/>
        <v>1603.75</v>
      </c>
      <c r="L35">
        <f t="shared" si="3"/>
        <v>872.5</v>
      </c>
      <c r="M35" s="2">
        <v>2.9670730000000001</v>
      </c>
      <c r="N35" s="2">
        <v>4.8000000000000001E-5</v>
      </c>
      <c r="O35">
        <v>26.120691000000001</v>
      </c>
      <c r="P35" s="2">
        <v>2.4650000000000002E-3</v>
      </c>
      <c r="Q35" t="s">
        <v>37</v>
      </c>
      <c r="S35" s="2">
        <v>4.9140769999999998</v>
      </c>
      <c r="T35" s="2">
        <v>1.8900000000000001E-4</v>
      </c>
      <c r="V35" s="2">
        <v>5.9260669999999998</v>
      </c>
      <c r="W35" s="2">
        <v>1.4339999999999999E-3</v>
      </c>
      <c r="X35">
        <v>4.9002869999999996</v>
      </c>
      <c r="Y35">
        <v>3.4520000000000002E-3</v>
      </c>
      <c r="Z35">
        <f t="shared" si="4"/>
        <v>74.516983692870738</v>
      </c>
      <c r="AL35">
        <f t="shared" si="5"/>
        <v>0</v>
      </c>
      <c r="AM35" s="2"/>
      <c r="AN35" s="2"/>
      <c r="AO35" s="2"/>
      <c r="AP35" s="2"/>
      <c r="AQ35" s="2"/>
      <c r="AR35" s="2"/>
      <c r="AS35">
        <f t="shared" si="8"/>
        <v>0</v>
      </c>
    </row>
    <row r="36" spans="1:45" x14ac:dyDescent="0.3">
      <c r="A36">
        <v>36</v>
      </c>
      <c r="E36" s="1">
        <f t="shared" si="0"/>
        <v>93.44760607616098</v>
      </c>
      <c r="F36" s="1">
        <f t="shared" si="6"/>
        <v>95.491606076160977</v>
      </c>
      <c r="G36" s="1">
        <f t="shared" si="7"/>
        <v>91.403606076160983</v>
      </c>
      <c r="H36" s="1">
        <f t="shared" si="2"/>
        <v>2.0439999999999969</v>
      </c>
      <c r="J36">
        <v>2120</v>
      </c>
      <c r="K36">
        <f t="shared" si="1"/>
        <v>1663.75</v>
      </c>
      <c r="L36">
        <f t="shared" si="3"/>
        <v>912.5</v>
      </c>
      <c r="M36" s="2">
        <v>2.9666830000000002</v>
      </c>
      <c r="N36" s="2">
        <v>3.01E-4</v>
      </c>
      <c r="O36">
        <v>26.110403999999999</v>
      </c>
      <c r="P36" s="2">
        <v>1.5483E-2</v>
      </c>
      <c r="S36" s="2">
        <v>4.9153260000000003</v>
      </c>
      <c r="T36" s="2">
        <v>3.6000000000000002E-4</v>
      </c>
      <c r="V36" s="2">
        <v>5.923451</v>
      </c>
      <c r="W36" s="2">
        <v>1.1609999999999999E-3</v>
      </c>
      <c r="X36">
        <v>4.9119109999999999</v>
      </c>
      <c r="Y36">
        <v>2.8159999999999999E-3</v>
      </c>
      <c r="Z36">
        <f t="shared" si="4"/>
        <v>74.627814891200217</v>
      </c>
      <c r="AL36">
        <f t="shared" si="5"/>
        <v>0</v>
      </c>
      <c r="AM36" s="2"/>
      <c r="AN36" s="2"/>
      <c r="AO36" s="2"/>
      <c r="AP36" s="2"/>
      <c r="AQ36" s="2"/>
      <c r="AR36" s="2"/>
      <c r="AS36">
        <f t="shared" si="8"/>
        <v>0</v>
      </c>
    </row>
    <row r="37" spans="1:45" x14ac:dyDescent="0.3">
      <c r="A37">
        <v>37</v>
      </c>
      <c r="E37" s="1">
        <f t="shared" si="0"/>
        <v>93.36196591228429</v>
      </c>
      <c r="F37" s="1">
        <f t="shared" si="6"/>
        <v>95.529165912284299</v>
      </c>
      <c r="G37" s="1">
        <f t="shared" si="7"/>
        <v>91.194765912284296</v>
      </c>
      <c r="H37" s="1">
        <f t="shared" si="2"/>
        <v>2.1672000000000011</v>
      </c>
      <c r="J37">
        <v>2230</v>
      </c>
      <c r="K37">
        <f t="shared" si="1"/>
        <v>1746.25</v>
      </c>
      <c r="L37">
        <f t="shared" si="3"/>
        <v>967.5</v>
      </c>
      <c r="M37" s="2">
        <v>2.9674670000000001</v>
      </c>
      <c r="N37" s="2">
        <v>5.0000000000000002E-5</v>
      </c>
      <c r="O37" s="2">
        <v>26.1311</v>
      </c>
      <c r="P37">
        <v>2.5600000000000002E-3</v>
      </c>
      <c r="Q37" t="s">
        <v>82</v>
      </c>
      <c r="S37" s="2">
        <v>4.919772</v>
      </c>
      <c r="T37" s="2">
        <v>4.37E-4</v>
      </c>
      <c r="U37"/>
      <c r="Z37">
        <f t="shared" si="4"/>
        <v>0</v>
      </c>
      <c r="AL37">
        <f t="shared" si="5"/>
        <v>0</v>
      </c>
      <c r="AM37" s="2">
        <v>4.9320649999999997</v>
      </c>
      <c r="AN37" s="2">
        <v>1.537E-3</v>
      </c>
      <c r="AO37" s="2">
        <v>2.9524729999999999</v>
      </c>
      <c r="AP37" s="2">
        <v>8.2200000000000003E-4</v>
      </c>
      <c r="AQ37" s="2">
        <v>5.1464080000000001</v>
      </c>
      <c r="AR37" s="2">
        <v>2.0530000000000001E-3</v>
      </c>
      <c r="AS37">
        <f t="shared" si="8"/>
        <v>74.940906100558436</v>
      </c>
    </row>
    <row r="38" spans="1:45" x14ac:dyDescent="0.3">
      <c r="A38">
        <v>38</v>
      </c>
      <c r="E38" s="1">
        <f t="shared" si="0"/>
        <v>93.587371414847823</v>
      </c>
      <c r="F38" s="1">
        <f t="shared" si="6"/>
        <v>95.933771414847826</v>
      </c>
      <c r="G38" s="1">
        <f t="shared" si="7"/>
        <v>91.240971414847834</v>
      </c>
      <c r="H38" s="1">
        <f t="shared" si="2"/>
        <v>2.3463999999999956</v>
      </c>
      <c r="J38">
        <v>2390</v>
      </c>
      <c r="K38">
        <f t="shared" si="1"/>
        <v>1866.25</v>
      </c>
      <c r="L38">
        <f t="shared" si="3"/>
        <v>1047.5</v>
      </c>
      <c r="M38" s="2">
        <v>2.9675929999999999</v>
      </c>
      <c r="N38" s="2">
        <v>4.9100000000000001E-4</v>
      </c>
      <c r="O38" s="2">
        <v>26.134437999999999</v>
      </c>
      <c r="P38">
        <v>2.5259E-2</v>
      </c>
      <c r="S38" s="2">
        <v>4.9261600000000003</v>
      </c>
      <c r="T38" s="2">
        <v>2.14E-4</v>
      </c>
      <c r="Z38">
        <f t="shared" si="4"/>
        <v>0</v>
      </c>
      <c r="AL38">
        <f t="shared" si="5"/>
        <v>0</v>
      </c>
      <c r="AM38" s="2">
        <v>4.9478119999999999</v>
      </c>
      <c r="AN38" s="2">
        <v>2.797E-3</v>
      </c>
      <c r="AO38" s="2">
        <v>2.9471470000000002</v>
      </c>
      <c r="AP38" s="2">
        <v>9.2400000000000002E-4</v>
      </c>
      <c r="AQ38" s="2">
        <v>5.1534789999999999</v>
      </c>
      <c r="AR38" s="2">
        <v>2.2160000000000001E-3</v>
      </c>
      <c r="AS38">
        <f t="shared" si="8"/>
        <v>75.147666387682733</v>
      </c>
    </row>
    <row r="39" spans="1:45" x14ac:dyDescent="0.3">
      <c r="A39">
        <v>39</v>
      </c>
      <c r="E39" s="1">
        <f t="shared" si="0"/>
        <v>93.618819213577453</v>
      </c>
      <c r="F39" s="1">
        <f t="shared" si="6"/>
        <v>96.066019213577448</v>
      </c>
      <c r="G39" s="1">
        <f t="shared" si="7"/>
        <v>91.171619213577458</v>
      </c>
      <c r="H39" s="1">
        <f t="shared" si="2"/>
        <v>2.4471999999999952</v>
      </c>
      <c r="J39">
        <v>2480</v>
      </c>
      <c r="K39">
        <f t="shared" si="1"/>
        <v>1933.75</v>
      </c>
      <c r="L39">
        <f t="shared" si="3"/>
        <v>1092.5</v>
      </c>
      <c r="M39" s="2">
        <v>2.9679410000000002</v>
      </c>
      <c r="N39" s="2">
        <v>1.4899999999999999E-4</v>
      </c>
      <c r="O39" s="2">
        <v>26.143621</v>
      </c>
      <c r="P39">
        <v>7.6759999999999997E-3</v>
      </c>
      <c r="S39" s="2">
        <v>4.9259000000000004</v>
      </c>
      <c r="T39" s="2">
        <v>4.1E-5</v>
      </c>
      <c r="Z39">
        <f t="shared" si="4"/>
        <v>0</v>
      </c>
      <c r="AL39">
        <f t="shared" si="5"/>
        <v>0</v>
      </c>
      <c r="AM39" s="2">
        <v>4.9586269999999999</v>
      </c>
      <c r="AN39" s="2">
        <v>4.2940000000000001E-3</v>
      </c>
      <c r="AO39" s="2">
        <v>2.9443450000000002</v>
      </c>
      <c r="AP39" s="2">
        <v>1.5330000000000001E-3</v>
      </c>
      <c r="AQ39" s="2">
        <v>5.1595599999999999</v>
      </c>
      <c r="AR39" s="2">
        <v>2.4069999999999999E-3</v>
      </c>
      <c r="AS39">
        <f t="shared" si="8"/>
        <v>75.329104490075096</v>
      </c>
    </row>
    <row r="40" spans="1:45" x14ac:dyDescent="0.3">
      <c r="A40">
        <v>40</v>
      </c>
      <c r="E40" s="1">
        <f t="shared" si="0"/>
        <v>93.391057354655644</v>
      </c>
      <c r="F40" s="1">
        <f t="shared" si="6"/>
        <v>95.916657354655655</v>
      </c>
      <c r="G40" s="1">
        <f t="shared" si="7"/>
        <v>90.865457354655646</v>
      </c>
      <c r="H40" s="1">
        <f t="shared" si="2"/>
        <v>2.5256000000000043</v>
      </c>
      <c r="J40">
        <v>2550</v>
      </c>
      <c r="K40">
        <f t="shared" si="1"/>
        <v>1986.25</v>
      </c>
      <c r="L40">
        <f t="shared" si="3"/>
        <v>1127.5</v>
      </c>
      <c r="M40" s="2">
        <v>2.968947</v>
      </c>
      <c r="N40" s="2">
        <v>2.1699999999999999E-4</v>
      </c>
      <c r="O40" s="2">
        <v>26.170227000000001</v>
      </c>
      <c r="P40">
        <v>1.1152E-2</v>
      </c>
      <c r="S40" s="2">
        <v>4.9260089999999996</v>
      </c>
      <c r="T40" s="2">
        <v>1.34E-4</v>
      </c>
      <c r="Z40">
        <f t="shared" si="4"/>
        <v>0</v>
      </c>
      <c r="AL40">
        <f t="shared" si="5"/>
        <v>0</v>
      </c>
      <c r="AM40" s="2">
        <v>4.9563540000000001</v>
      </c>
      <c r="AN40" s="2">
        <v>1.039E-3</v>
      </c>
      <c r="AO40" s="2">
        <v>2.9441609999999998</v>
      </c>
      <c r="AP40" s="2">
        <v>3.2899999999999997E-4</v>
      </c>
      <c r="AQ40" s="2">
        <v>5.1586369999999997</v>
      </c>
      <c r="AR40" s="2">
        <v>5.0500000000000002E-4</v>
      </c>
      <c r="AS40">
        <f t="shared" si="8"/>
        <v>75.276400098253959</v>
      </c>
    </row>
    <row r="41" spans="1:45" x14ac:dyDescent="0.3">
      <c r="A41">
        <v>41</v>
      </c>
      <c r="E41" s="1">
        <f t="shared" si="0"/>
        <v>93.996193726193937</v>
      </c>
      <c r="F41" s="1">
        <f t="shared" si="6"/>
        <v>94.001793726193924</v>
      </c>
      <c r="G41" s="1">
        <f t="shared" si="7"/>
        <v>93.990593726193936</v>
      </c>
      <c r="H41" s="1">
        <f t="shared" si="2"/>
        <v>5.5999999999940542E-3</v>
      </c>
      <c r="J41">
        <v>300</v>
      </c>
      <c r="K41">
        <f t="shared" si="1"/>
        <v>298.75</v>
      </c>
      <c r="L41">
        <f t="shared" si="3"/>
        <v>2.5</v>
      </c>
      <c r="M41" s="2">
        <v>2.956429</v>
      </c>
      <c r="S41" s="2">
        <v>4.9070520000000002</v>
      </c>
      <c r="Z41">
        <f t="shared" si="4"/>
        <v>0</v>
      </c>
      <c r="AL41">
        <f t="shared" si="5"/>
        <v>0</v>
      </c>
      <c r="AM41" s="2">
        <v>4.8840110000000001</v>
      </c>
      <c r="AN41" s="2">
        <v>9.2750000000000003E-3</v>
      </c>
      <c r="AO41" s="2">
        <v>3.0112079999999999</v>
      </c>
      <c r="AP41" s="2">
        <v>4.1720000000000004E-3</v>
      </c>
      <c r="AQ41" s="2">
        <v>5.0090950000000003</v>
      </c>
      <c r="AR41" s="2">
        <v>6.7530000000000003E-3</v>
      </c>
      <c r="AS41">
        <v>73.667604999999995</v>
      </c>
    </row>
    <row r="42" spans="1:45" x14ac:dyDescent="0.3">
      <c r="A42">
        <v>42</v>
      </c>
      <c r="E42" s="1" t="e">
        <f t="shared" si="0"/>
        <v>#DIV/0!</v>
      </c>
      <c r="F42" s="1" t="e">
        <f t="shared" si="6"/>
        <v>#DIV/0!</v>
      </c>
      <c r="G42" s="1" t="e">
        <f t="shared" si="7"/>
        <v>#DIV/0!</v>
      </c>
      <c r="H42" s="1" t="e">
        <f t="shared" si="2"/>
        <v>#DIV/0!</v>
      </c>
      <c r="J42">
        <v>300</v>
      </c>
      <c r="K42">
        <f t="shared" si="1"/>
        <v>298.75</v>
      </c>
      <c r="L42">
        <f t="shared" si="3"/>
        <v>2.5</v>
      </c>
      <c r="Z42">
        <f t="shared" si="4"/>
        <v>0</v>
      </c>
      <c r="AL42">
        <f t="shared" si="5"/>
        <v>0</v>
      </c>
      <c r="AM42" s="2"/>
      <c r="AN42" s="2"/>
      <c r="AO42" s="2"/>
      <c r="AP42" s="2"/>
      <c r="AQ42" s="2"/>
      <c r="AR42" s="2"/>
      <c r="AS42">
        <f t="shared" si="8"/>
        <v>0</v>
      </c>
    </row>
    <row r="43" spans="1:45" x14ac:dyDescent="0.3">
      <c r="A43">
        <v>43</v>
      </c>
      <c r="B43" s="6"/>
      <c r="C43" s="6"/>
      <c r="D43" s="6"/>
      <c r="E43" s="1">
        <f t="shared" si="0"/>
        <v>104.75903960198185</v>
      </c>
      <c r="F43" s="1">
        <f t="shared" si="6"/>
        <v>106.36623960198185</v>
      </c>
      <c r="G43" s="1">
        <f t="shared" si="7"/>
        <v>103.15183960198185</v>
      </c>
      <c r="H43" s="1">
        <f t="shared" si="2"/>
        <v>1.6071999999999989</v>
      </c>
      <c r="J43">
        <v>1730</v>
      </c>
      <c r="K43">
        <f t="shared" si="1"/>
        <v>1371.25</v>
      </c>
      <c r="L43">
        <f t="shared" si="3"/>
        <v>717.5</v>
      </c>
      <c r="M43" s="2">
        <v>2.93398</v>
      </c>
      <c r="N43" s="2">
        <v>2.8240000000000001E-3</v>
      </c>
      <c r="O43" s="2">
        <v>25.256409000000001</v>
      </c>
      <c r="P43">
        <v>0.14348900000000001</v>
      </c>
      <c r="S43" s="2">
        <v>4.862336</v>
      </c>
      <c r="T43" s="2">
        <v>2.6879999999999999E-3</v>
      </c>
      <c r="Z43">
        <f t="shared" si="4"/>
        <v>0</v>
      </c>
      <c r="AF43" s="2">
        <v>4.8123180000000003</v>
      </c>
      <c r="AG43" s="2">
        <v>2.4520000000000002E-3</v>
      </c>
      <c r="AH43" s="2">
        <v>2.959308</v>
      </c>
      <c r="AI43" s="2">
        <v>8.4400000000000002E-4</v>
      </c>
      <c r="AJ43" s="2">
        <v>5.0312359999999998</v>
      </c>
      <c r="AK43" s="2">
        <v>1.3339999999999999E-3</v>
      </c>
      <c r="AL43">
        <f t="shared" si="5"/>
        <v>71.650491752507079</v>
      </c>
      <c r="AM43" s="2"/>
      <c r="AN43" s="2"/>
      <c r="AO43" s="2"/>
      <c r="AP43" s="2"/>
      <c r="AQ43" s="2"/>
      <c r="AR43" s="2"/>
      <c r="AS43">
        <f t="shared" si="8"/>
        <v>0</v>
      </c>
    </row>
    <row r="44" spans="1:45" x14ac:dyDescent="0.3">
      <c r="A44">
        <v>44</v>
      </c>
      <c r="B44" s="6"/>
      <c r="C44" s="6"/>
      <c r="D44" s="6"/>
      <c r="E44" s="1">
        <f t="shared" si="0"/>
        <v>105.1223868681255</v>
      </c>
      <c r="F44" s="1">
        <f t="shared" si="6"/>
        <v>106.8079868681255</v>
      </c>
      <c r="G44" s="1">
        <f t="shared" si="7"/>
        <v>103.43678686812549</v>
      </c>
      <c r="H44" s="1">
        <f t="shared" si="2"/>
        <v>1.6856000000000009</v>
      </c>
      <c r="J44">
        <v>1800</v>
      </c>
      <c r="K44">
        <f t="shared" si="1"/>
        <v>1423.75</v>
      </c>
      <c r="L44">
        <f t="shared" si="3"/>
        <v>752.5</v>
      </c>
      <c r="M44" s="2">
        <v>2.9333459999999998</v>
      </c>
      <c r="N44" s="2">
        <v>2.686E-3</v>
      </c>
      <c r="O44" s="2">
        <v>25.240017999999999</v>
      </c>
      <c r="P44">
        <v>0.13645399999999999</v>
      </c>
      <c r="S44" s="2">
        <v>4.861783</v>
      </c>
      <c r="T44" s="2">
        <v>4.28E-4</v>
      </c>
      <c r="Z44">
        <f t="shared" si="4"/>
        <v>0</v>
      </c>
      <c r="AF44" s="2">
        <v>4.8204989999999999</v>
      </c>
      <c r="AG44" s="2">
        <v>1.7440000000000001E-3</v>
      </c>
      <c r="AH44" s="2">
        <v>2.955066</v>
      </c>
      <c r="AI44" s="2">
        <v>5.9599999999999996E-4</v>
      </c>
      <c r="AJ44" s="2">
        <v>5.033487</v>
      </c>
      <c r="AK44" s="2">
        <v>9.4499999999999998E-4</v>
      </c>
      <c r="AL44">
        <f t="shared" si="5"/>
        <v>71.701482211445708</v>
      </c>
      <c r="AM44" s="2"/>
      <c r="AN44" s="2"/>
      <c r="AO44" s="2"/>
      <c r="AP44" s="2"/>
      <c r="AQ44" s="2"/>
      <c r="AR44" s="2"/>
      <c r="AS44">
        <f t="shared" si="8"/>
        <v>0</v>
      </c>
    </row>
    <row r="45" spans="1:45" x14ac:dyDescent="0.3">
      <c r="A45">
        <v>45</v>
      </c>
      <c r="B45" s="6"/>
      <c r="C45" s="6"/>
      <c r="D45" s="6"/>
      <c r="E45" s="1">
        <f t="shared" si="0"/>
        <v>106.20632104454715</v>
      </c>
      <c r="F45" s="1">
        <f t="shared" si="6"/>
        <v>108.08232104454714</v>
      </c>
      <c r="G45" s="1">
        <f t="shared" si="7"/>
        <v>104.33032104454715</v>
      </c>
      <c r="H45" s="1">
        <f t="shared" si="2"/>
        <v>1.8759999999999977</v>
      </c>
      <c r="J45">
        <v>1970</v>
      </c>
      <c r="K45">
        <f t="shared" si="1"/>
        <v>1551.25</v>
      </c>
      <c r="L45">
        <f t="shared" si="3"/>
        <v>837.5</v>
      </c>
      <c r="M45" s="2">
        <v>2.9312960000000001</v>
      </c>
      <c r="N45" s="2">
        <v>3.0300000000000001E-3</v>
      </c>
      <c r="O45" s="2">
        <v>25.187158</v>
      </c>
      <c r="P45">
        <v>0.153837</v>
      </c>
      <c r="S45" s="2">
        <v>4.8629870000000004</v>
      </c>
      <c r="T45" s="2">
        <v>3.0699999999999998E-4</v>
      </c>
      <c r="Z45">
        <f t="shared" si="4"/>
        <v>0</v>
      </c>
      <c r="AF45" s="2">
        <v>4.8334840000000003</v>
      </c>
      <c r="AG45" s="2">
        <v>2.3149999999999998E-3</v>
      </c>
      <c r="AH45" s="2">
        <v>2.9459050000000002</v>
      </c>
      <c r="AI45" s="2">
        <v>5.6099999999999998E-4</v>
      </c>
      <c r="AJ45" s="2">
        <v>5.0473720000000002</v>
      </c>
      <c r="AK45" s="2">
        <v>1.289E-3</v>
      </c>
      <c r="AL45">
        <f t="shared" si="5"/>
        <v>71.869452597504036</v>
      </c>
      <c r="AM45" s="2"/>
      <c r="AN45" s="2"/>
      <c r="AO45" s="2"/>
      <c r="AP45" s="2"/>
      <c r="AQ45" s="2"/>
      <c r="AR45" s="2"/>
      <c r="AS45">
        <f t="shared" si="8"/>
        <v>0</v>
      </c>
    </row>
    <row r="46" spans="1:45" x14ac:dyDescent="0.3">
      <c r="A46">
        <v>46</v>
      </c>
      <c r="E46" s="1">
        <f t="shared" si="0"/>
        <v>107.93799488665216</v>
      </c>
      <c r="F46" s="1">
        <f t="shared" si="6"/>
        <v>109.55639488665217</v>
      </c>
      <c r="G46" s="1">
        <f t="shared" si="7"/>
        <v>106.31959488665217</v>
      </c>
      <c r="H46" s="1">
        <f t="shared" si="2"/>
        <v>1.6184000000000012</v>
      </c>
      <c r="J46">
        <v>1740</v>
      </c>
      <c r="K46">
        <f t="shared" si="1"/>
        <v>1378.75</v>
      </c>
      <c r="L46">
        <f t="shared" si="3"/>
        <v>722.5</v>
      </c>
      <c r="M46" s="2">
        <v>2.9259270000000002</v>
      </c>
      <c r="N46" s="2">
        <v>1.6299999999999999E-3</v>
      </c>
      <c r="O46" s="2">
        <v>25.048999999999999</v>
      </c>
      <c r="P46">
        <v>8.2595000000000002E-2</v>
      </c>
      <c r="S46" s="2">
        <v>4.8604279999999997</v>
      </c>
      <c r="T46" s="2">
        <v>3.8699999999999997E-4</v>
      </c>
      <c r="Z46">
        <f t="shared" si="4"/>
        <v>0</v>
      </c>
      <c r="AF46" s="2">
        <v>4.8265760000000002</v>
      </c>
      <c r="AG46" s="2">
        <v>2.2690000000000002E-3</v>
      </c>
      <c r="AH46" s="2">
        <v>2.950863</v>
      </c>
      <c r="AI46" s="2">
        <v>7.4899999999999999E-4</v>
      </c>
      <c r="AJ46" s="2">
        <v>5.0349880000000002</v>
      </c>
      <c r="AK46" s="2">
        <v>1.4599999999999999E-3</v>
      </c>
      <c r="AL46">
        <f t="shared" si="5"/>
        <v>71.711141523393664</v>
      </c>
      <c r="AM46" s="2"/>
      <c r="AN46" s="2"/>
      <c r="AO46" s="2"/>
      <c r="AP46" s="2"/>
      <c r="AQ46" s="2"/>
      <c r="AR46" s="2"/>
      <c r="AS46">
        <f t="shared" si="8"/>
        <v>0</v>
      </c>
    </row>
    <row r="47" spans="1:45" x14ac:dyDescent="0.3">
      <c r="A47">
        <v>47</v>
      </c>
      <c r="E47" s="1">
        <f t="shared" si="0"/>
        <v>107.1962788598495</v>
      </c>
      <c r="F47" s="1">
        <f t="shared" si="6"/>
        <v>108.6914788598495</v>
      </c>
      <c r="G47" s="1">
        <f t="shared" si="7"/>
        <v>105.7010788598495</v>
      </c>
      <c r="H47" s="1">
        <f t="shared" si="2"/>
        <v>1.495199999999997</v>
      </c>
      <c r="J47">
        <v>1630</v>
      </c>
      <c r="K47">
        <f t="shared" si="1"/>
        <v>1296.25</v>
      </c>
      <c r="L47">
        <f t="shared" si="3"/>
        <v>667.5</v>
      </c>
      <c r="M47" s="2">
        <v>2.9273289999999998</v>
      </c>
      <c r="N47" s="2">
        <v>2.0730000000000002E-3</v>
      </c>
      <c r="O47" s="2">
        <v>25.085034</v>
      </c>
      <c r="P47">
        <v>0.105116</v>
      </c>
      <c r="S47" s="2">
        <v>4.8595969999999999</v>
      </c>
      <c r="T47" s="2">
        <v>2.5000000000000001E-4</v>
      </c>
      <c r="Z47">
        <f t="shared" si="4"/>
        <v>0</v>
      </c>
      <c r="AF47" s="2">
        <v>4.8227270000000004</v>
      </c>
      <c r="AG47" s="2">
        <v>1.804E-3</v>
      </c>
      <c r="AH47" s="2">
        <v>2.9531890000000001</v>
      </c>
      <c r="AI47" s="2">
        <v>5.9800000000000001E-4</v>
      </c>
      <c r="AJ47" s="2">
        <v>5.0307769999999996</v>
      </c>
      <c r="AK47" s="2">
        <v>1.1609999999999999E-3</v>
      </c>
      <c r="AL47">
        <f t="shared" si="5"/>
        <v>71.650460725508708</v>
      </c>
      <c r="AM47" s="2"/>
      <c r="AN47" s="2"/>
      <c r="AO47" s="2"/>
      <c r="AP47" s="2"/>
      <c r="AQ47" s="2"/>
      <c r="AR47" s="2"/>
      <c r="AS47">
        <f t="shared" si="8"/>
        <v>0</v>
      </c>
    </row>
    <row r="48" spans="1:45" x14ac:dyDescent="0.3">
      <c r="A48">
        <v>48</v>
      </c>
      <c r="E48" s="1">
        <f t="shared" si="0"/>
        <v>107.35219845822768</v>
      </c>
      <c r="F48" s="1">
        <f t="shared" si="6"/>
        <v>108.74659845822768</v>
      </c>
      <c r="G48" s="1">
        <f t="shared" si="7"/>
        <v>105.95779845822767</v>
      </c>
      <c r="H48" s="1">
        <f t="shared" si="2"/>
        <v>1.3944000000000045</v>
      </c>
      <c r="J48">
        <v>1540</v>
      </c>
      <c r="K48">
        <f t="shared" si="1"/>
        <v>1228.75</v>
      </c>
      <c r="L48">
        <f t="shared" si="3"/>
        <v>622.5</v>
      </c>
      <c r="M48" s="2">
        <v>2.926555</v>
      </c>
      <c r="N48" s="2">
        <v>1.155E-3</v>
      </c>
      <c r="O48" s="2">
        <v>25.065145000000001</v>
      </c>
      <c r="P48">
        <v>5.8526000000000002E-2</v>
      </c>
      <c r="S48" s="2">
        <v>4.8585409999999998</v>
      </c>
      <c r="T48" s="2">
        <v>1.6200000000000001E-4</v>
      </c>
      <c r="Z48">
        <f t="shared" si="4"/>
        <v>0</v>
      </c>
      <c r="AF48" s="2">
        <v>4.8180249999999996</v>
      </c>
      <c r="AG48" s="2">
        <v>1.444E-3</v>
      </c>
      <c r="AH48" s="2">
        <v>2.9557540000000002</v>
      </c>
      <c r="AI48" s="2">
        <v>4.8099999999999998E-4</v>
      </c>
      <c r="AJ48" s="2">
        <v>5.0255660000000004</v>
      </c>
      <c r="AK48" s="2">
        <v>9.3000000000000005E-4</v>
      </c>
      <c r="AL48">
        <f t="shared" si="5"/>
        <v>71.568566093409132</v>
      </c>
      <c r="AM48" s="2"/>
      <c r="AN48" s="2"/>
      <c r="AO48" s="2"/>
      <c r="AP48" s="2"/>
      <c r="AQ48" s="2"/>
      <c r="AR48" s="2"/>
      <c r="AS48">
        <f t="shared" si="8"/>
        <v>0</v>
      </c>
    </row>
    <row r="49" spans="1:45" x14ac:dyDescent="0.3">
      <c r="A49">
        <v>49</v>
      </c>
      <c r="E49" s="1">
        <f t="shared" si="0"/>
        <v>107.37308650438732</v>
      </c>
      <c r="F49" s="1">
        <f t="shared" si="6"/>
        <v>108.65548650438731</v>
      </c>
      <c r="G49" s="1">
        <f t="shared" si="7"/>
        <v>106.09068650438731</v>
      </c>
      <c r="H49" s="1">
        <f t="shared" si="2"/>
        <v>1.2824000000000026</v>
      </c>
      <c r="J49">
        <v>1440</v>
      </c>
      <c r="K49">
        <f t="shared" si="1"/>
        <v>1153.75</v>
      </c>
      <c r="L49">
        <f t="shared" si="3"/>
        <v>572.5</v>
      </c>
      <c r="M49" s="2">
        <v>2.9260799999999998</v>
      </c>
      <c r="N49" s="2">
        <v>1.031E-3</v>
      </c>
      <c r="O49" s="2">
        <v>25.052923</v>
      </c>
      <c r="P49">
        <v>5.2240000000000002E-2</v>
      </c>
      <c r="S49" s="2">
        <v>4.8581490000000001</v>
      </c>
      <c r="T49" s="2">
        <v>1.9100000000000001E-4</v>
      </c>
      <c r="Z49">
        <f t="shared" si="4"/>
        <v>0</v>
      </c>
      <c r="AF49" s="2">
        <v>4.8149660000000001</v>
      </c>
      <c r="AG49" s="2">
        <v>1.1360000000000001E-3</v>
      </c>
      <c r="AH49" s="2">
        <v>2.957322</v>
      </c>
      <c r="AI49" s="2">
        <v>4.1800000000000002E-4</v>
      </c>
      <c r="AJ49" s="2">
        <v>5.0223579999999997</v>
      </c>
      <c r="AK49" s="2">
        <v>8.2100000000000001E-4</v>
      </c>
      <c r="AL49">
        <f t="shared" si="5"/>
        <v>71.515389019590557</v>
      </c>
      <c r="AM49" s="2"/>
      <c r="AN49" s="2"/>
      <c r="AO49" s="2"/>
      <c r="AP49" s="2"/>
      <c r="AQ49" s="2"/>
      <c r="AR49" s="2"/>
      <c r="AS49">
        <f t="shared" si="8"/>
        <v>0</v>
      </c>
    </row>
    <row r="50" spans="1:45" x14ac:dyDescent="0.3">
      <c r="A50">
        <v>50</v>
      </c>
      <c r="E50" s="1">
        <f t="shared" si="0"/>
        <v>107.46407163664585</v>
      </c>
      <c r="F50" s="1">
        <f t="shared" si="6"/>
        <v>108.63447163664586</v>
      </c>
      <c r="G50" s="1">
        <f t="shared" si="7"/>
        <v>106.29367163664585</v>
      </c>
      <c r="H50" s="1">
        <f t="shared" si="2"/>
        <v>1.1704000000000008</v>
      </c>
      <c r="J50">
        <v>1340</v>
      </c>
      <c r="K50">
        <f t="shared" si="1"/>
        <v>1078.75</v>
      </c>
      <c r="L50">
        <f t="shared" si="3"/>
        <v>522.5</v>
      </c>
      <c r="M50" s="2">
        <v>2.92543</v>
      </c>
      <c r="N50" s="2">
        <v>7.9199999999999995E-4</v>
      </c>
      <c r="O50" s="2">
        <v>25.036251</v>
      </c>
      <c r="P50">
        <v>4.0138E-2</v>
      </c>
      <c r="S50" s="2">
        <v>4.857634</v>
      </c>
      <c r="T50" s="2">
        <v>1.93E-4</v>
      </c>
      <c r="Z50">
        <f t="shared" si="4"/>
        <v>0</v>
      </c>
      <c r="AF50" s="2">
        <v>4.8124399999999996</v>
      </c>
      <c r="AG50" s="2">
        <v>1.178E-3</v>
      </c>
      <c r="AH50" s="2">
        <v>2.958253</v>
      </c>
      <c r="AI50" s="2">
        <v>4.35E-4</v>
      </c>
      <c r="AJ50" s="2">
        <v>5.0191699999999999</v>
      </c>
      <c r="AK50" s="2">
        <v>8.5099999999999998E-4</v>
      </c>
      <c r="AL50">
        <f t="shared" si="5"/>
        <v>71.45498741344052</v>
      </c>
      <c r="AM50" s="2"/>
      <c r="AN50" s="2"/>
      <c r="AO50" s="2"/>
      <c r="AP50" s="2"/>
      <c r="AQ50" s="2"/>
      <c r="AR50" s="2"/>
      <c r="AS50">
        <f t="shared" si="8"/>
        <v>0</v>
      </c>
    </row>
    <row r="51" spans="1:45" x14ac:dyDescent="0.3">
      <c r="A51">
        <v>51</v>
      </c>
      <c r="E51" s="1">
        <f t="shared" si="0"/>
        <v>107.48441681678139</v>
      </c>
      <c r="F51" s="1">
        <f t="shared" si="6"/>
        <v>108.65481681678139</v>
      </c>
      <c r="G51" s="1">
        <f t="shared" si="7"/>
        <v>106.31401681678139</v>
      </c>
      <c r="H51" s="1">
        <f t="shared" si="2"/>
        <v>1.1704000000000008</v>
      </c>
      <c r="J51">
        <v>1340</v>
      </c>
      <c r="K51">
        <f t="shared" si="1"/>
        <v>1078.75</v>
      </c>
      <c r="L51">
        <f t="shared" si="3"/>
        <v>522.5</v>
      </c>
      <c r="M51" s="2">
        <v>2.925379</v>
      </c>
      <c r="N51" s="2">
        <v>9.2000000000000003E-4</v>
      </c>
      <c r="O51" s="2">
        <v>25.034932999999999</v>
      </c>
      <c r="P51">
        <v>4.6607000000000003E-2</v>
      </c>
      <c r="S51" s="2">
        <v>4.8576129999999997</v>
      </c>
      <c r="T51" s="2">
        <v>2.2599999999999999E-4</v>
      </c>
      <c r="Z51">
        <f t="shared" si="4"/>
        <v>0</v>
      </c>
      <c r="AF51" s="2">
        <v>4.812589</v>
      </c>
      <c r="AG51" s="2">
        <v>1.1559999999999999E-3</v>
      </c>
      <c r="AH51" s="2">
        <v>2.9583159999999999</v>
      </c>
      <c r="AI51" s="2">
        <v>4.2700000000000002E-4</v>
      </c>
      <c r="AJ51" s="2">
        <v>5.0181589999999998</v>
      </c>
      <c r="AK51" s="2">
        <v>8.3500000000000002E-4</v>
      </c>
      <c r="AL51">
        <f t="shared" si="5"/>
        <v>71.444327771629617</v>
      </c>
      <c r="AM51" s="2"/>
      <c r="AN51" s="2"/>
      <c r="AO51" s="2"/>
      <c r="AP51" s="2"/>
      <c r="AQ51" s="2"/>
      <c r="AR51" s="2"/>
      <c r="AS51">
        <f t="shared" si="8"/>
        <v>0</v>
      </c>
    </row>
    <row r="52" spans="1:45" x14ac:dyDescent="0.3">
      <c r="A52">
        <v>52</v>
      </c>
      <c r="E52" s="1">
        <f t="shared" si="0"/>
        <v>108.10597438372487</v>
      </c>
      <c r="F52" s="1">
        <f t="shared" si="6"/>
        <v>109.67957438372487</v>
      </c>
      <c r="G52" s="1">
        <f t="shared" si="7"/>
        <v>106.53237438372487</v>
      </c>
      <c r="H52" s="1">
        <f t="shared" si="2"/>
        <v>1.573599999999999</v>
      </c>
      <c r="J52">
        <v>1700</v>
      </c>
      <c r="K52">
        <f t="shared" si="1"/>
        <v>1348.75</v>
      </c>
      <c r="L52">
        <f t="shared" si="3"/>
        <v>702.5</v>
      </c>
      <c r="M52" s="2">
        <v>2.9253369999999999</v>
      </c>
      <c r="N52" s="2">
        <v>9.2699999999999998E-4</v>
      </c>
      <c r="O52" s="2">
        <v>25.033856</v>
      </c>
      <c r="P52">
        <v>4.6984999999999999E-2</v>
      </c>
      <c r="S52" s="2">
        <v>4.8593320000000002</v>
      </c>
      <c r="T52" s="2">
        <v>1.1E-4</v>
      </c>
      <c r="Z52">
        <f t="shared" si="4"/>
        <v>0</v>
      </c>
      <c r="AF52" s="2">
        <v>4.8222690000000004</v>
      </c>
      <c r="AG52" s="2">
        <v>1.719E-3</v>
      </c>
      <c r="AH52" s="2">
        <v>2.953049</v>
      </c>
      <c r="AI52" s="2">
        <v>5.6999999999999998E-4</v>
      </c>
      <c r="AJ52" s="2">
        <v>5.0300739999999999</v>
      </c>
      <c r="AK52" s="2">
        <v>1.1069999999999999E-3</v>
      </c>
      <c r="AL52">
        <f t="shared" si="5"/>
        <v>71.630248929702404</v>
      </c>
      <c r="AS52">
        <f t="shared" si="8"/>
        <v>0</v>
      </c>
    </row>
    <row r="53" spans="1:45" x14ac:dyDescent="0.3">
      <c r="A53">
        <v>53</v>
      </c>
      <c r="E53" s="1">
        <f t="shared" si="0"/>
        <v>108.20975034866407</v>
      </c>
      <c r="F53" s="1">
        <f t="shared" si="6"/>
        <v>109.89535034866407</v>
      </c>
      <c r="G53" s="1">
        <f t="shared" si="7"/>
        <v>106.52415034866407</v>
      </c>
      <c r="H53" s="1">
        <f t="shared" si="2"/>
        <v>1.6856000000000009</v>
      </c>
      <c r="J53">
        <v>1800</v>
      </c>
      <c r="K53">
        <f t="shared" si="1"/>
        <v>1423.75</v>
      </c>
      <c r="L53">
        <f t="shared" si="3"/>
        <v>752.5</v>
      </c>
      <c r="M53" s="2">
        <v>2.9254980000000002</v>
      </c>
      <c r="N53" s="2">
        <v>1.7080000000000001E-3</v>
      </c>
      <c r="O53" s="2">
        <v>25.037998000000002</v>
      </c>
      <c r="P53">
        <v>8.6565000000000003E-2</v>
      </c>
      <c r="S53" s="2">
        <v>4.8598869999999996</v>
      </c>
      <c r="T53" s="2">
        <v>3.2000000000000003E-4</v>
      </c>
      <c r="Z53">
        <f t="shared" si="4"/>
        <v>0</v>
      </c>
      <c r="AF53" s="2">
        <v>4.8291690000000003</v>
      </c>
      <c r="AG53" s="2">
        <v>2.0799999999999998E-3</v>
      </c>
      <c r="AH53" s="2">
        <v>2.9492769999999999</v>
      </c>
      <c r="AI53" s="2">
        <v>6.8499999999999995E-4</v>
      </c>
      <c r="AJ53" s="2">
        <v>5.0337420000000002</v>
      </c>
      <c r="AK53" s="2">
        <v>1.335E-3</v>
      </c>
      <c r="AL53">
        <f t="shared" si="5"/>
        <v>71.693357664410954</v>
      </c>
      <c r="AS53">
        <f t="shared" si="8"/>
        <v>0</v>
      </c>
    </row>
    <row r="54" spans="1:45" x14ac:dyDescent="0.3">
      <c r="A54">
        <v>54</v>
      </c>
      <c r="E54" s="1">
        <f t="shared" si="0"/>
        <v>108.33363681764186</v>
      </c>
      <c r="F54" s="1">
        <f t="shared" si="6"/>
        <v>110.07523681764185</v>
      </c>
      <c r="G54" s="1">
        <f t="shared" si="7"/>
        <v>106.59203681764185</v>
      </c>
      <c r="H54" s="1">
        <f t="shared" si="2"/>
        <v>1.7415999999999983</v>
      </c>
      <c r="J54">
        <v>1850</v>
      </c>
      <c r="K54">
        <f t="shared" si="1"/>
        <v>1461.25</v>
      </c>
      <c r="L54">
        <f t="shared" si="3"/>
        <v>777.5</v>
      </c>
      <c r="M54" s="2">
        <v>2.9253979999999999</v>
      </c>
      <c r="N54" s="2">
        <v>1.8600000000000001E-3</v>
      </c>
      <c r="O54" s="2">
        <v>25.035420999999999</v>
      </c>
      <c r="P54">
        <v>9.4223000000000001E-2</v>
      </c>
      <c r="S54" s="2">
        <v>4.8600560000000002</v>
      </c>
      <c r="T54" s="2">
        <v>3.19E-4</v>
      </c>
      <c r="Z54">
        <f t="shared" si="4"/>
        <v>0</v>
      </c>
      <c r="AF54" s="2">
        <v>4.8316359999999996</v>
      </c>
      <c r="AG54" s="2">
        <v>2.147E-3</v>
      </c>
      <c r="AH54" s="2">
        <v>2.9475069999999999</v>
      </c>
      <c r="AI54" s="2">
        <v>7.0500000000000001E-4</v>
      </c>
      <c r="AJ54" s="2">
        <v>5.0354640000000002</v>
      </c>
      <c r="AK54" s="2">
        <v>1.3780000000000001E-3</v>
      </c>
      <c r="AL54">
        <f t="shared" si="5"/>
        <v>71.711457444213011</v>
      </c>
      <c r="AS54">
        <f t="shared" si="8"/>
        <v>0</v>
      </c>
    </row>
    <row r="55" spans="1:45" x14ac:dyDescent="0.3">
      <c r="A55">
        <v>55</v>
      </c>
      <c r="E55" s="1">
        <f t="shared" si="0"/>
        <v>108.23461946740204</v>
      </c>
      <c r="F55" s="1">
        <f t="shared" si="6"/>
        <v>110.13301946740205</v>
      </c>
      <c r="G55" s="1">
        <f t="shared" si="7"/>
        <v>106.33621946740205</v>
      </c>
      <c r="H55" s="1">
        <f t="shared" si="2"/>
        <v>1.8984000000000023</v>
      </c>
      <c r="J55">
        <v>1990</v>
      </c>
      <c r="K55">
        <f t="shared" si="1"/>
        <v>1566.25</v>
      </c>
      <c r="L55">
        <f t="shared" si="3"/>
        <v>847.5</v>
      </c>
      <c r="M55" s="2">
        <v>2.926237</v>
      </c>
      <c r="N55" s="2">
        <v>3.0609999999999999E-3</v>
      </c>
      <c r="O55" s="2">
        <v>25.056975000000001</v>
      </c>
      <c r="P55">
        <v>0.15515999999999999</v>
      </c>
      <c r="S55" s="2">
        <v>4.8610170000000004</v>
      </c>
      <c r="T55" s="2">
        <v>2.0000000000000001E-4</v>
      </c>
      <c r="Z55">
        <f t="shared" si="4"/>
        <v>0</v>
      </c>
      <c r="AF55" s="2">
        <v>4.8380179999999999</v>
      </c>
      <c r="AG55" s="2">
        <v>1.008E-3</v>
      </c>
      <c r="AH55" s="2">
        <v>2.940731</v>
      </c>
      <c r="AI55" s="2">
        <v>5.5800000000000001E-4</v>
      </c>
      <c r="AJ55" s="2">
        <v>5.0534239999999997</v>
      </c>
      <c r="AK55" s="2">
        <v>6.2E-4</v>
      </c>
      <c r="AL55">
        <f t="shared" si="5"/>
        <v>71.896627339114104</v>
      </c>
      <c r="AS55">
        <f t="shared" si="8"/>
        <v>0</v>
      </c>
    </row>
    <row r="56" spans="1:45" x14ac:dyDescent="0.3">
      <c r="A56">
        <v>56</v>
      </c>
      <c r="E56" s="1">
        <f t="shared" si="0"/>
        <v>108.18976576416247</v>
      </c>
      <c r="F56" s="1">
        <f t="shared" si="6"/>
        <v>110.17776576416247</v>
      </c>
      <c r="G56" s="1">
        <f t="shared" si="7"/>
        <v>106.20176576416247</v>
      </c>
      <c r="H56" s="1">
        <f t="shared" si="2"/>
        <v>1.9879999999999995</v>
      </c>
      <c r="J56">
        <v>2070</v>
      </c>
      <c r="K56">
        <f t="shared" si="1"/>
        <v>1626.25</v>
      </c>
      <c r="L56">
        <f t="shared" si="3"/>
        <v>887.5</v>
      </c>
      <c r="M56" s="2">
        <v>2.926688</v>
      </c>
      <c r="N56" s="2">
        <v>3.1449999999999998E-3</v>
      </c>
      <c r="O56" s="2">
        <v>25.068563000000001</v>
      </c>
      <c r="P56">
        <v>0.159412</v>
      </c>
      <c r="S56" s="2">
        <v>4.8624419999999997</v>
      </c>
      <c r="T56" s="2">
        <v>2.24E-4</v>
      </c>
      <c r="Z56">
        <f t="shared" si="4"/>
        <v>0</v>
      </c>
      <c r="AF56" s="2">
        <v>4.8453869999999997</v>
      </c>
      <c r="AG56" s="2">
        <v>4.0330000000000001E-3</v>
      </c>
      <c r="AH56" s="2">
        <v>2.9391340000000001</v>
      </c>
      <c r="AI56" s="2">
        <v>2.2179999999999999E-3</v>
      </c>
      <c r="AJ56" s="2">
        <v>5.0491809999999999</v>
      </c>
      <c r="AK56" s="2">
        <v>2.464E-3</v>
      </c>
      <c r="AL56">
        <f t="shared" si="5"/>
        <v>71.906606881101183</v>
      </c>
      <c r="AS56">
        <f t="shared" si="8"/>
        <v>0</v>
      </c>
    </row>
    <row r="57" spans="1:45" x14ac:dyDescent="0.3">
      <c r="A57">
        <v>57</v>
      </c>
      <c r="E57" s="1">
        <f t="shared" si="0"/>
        <v>110.15107269267875</v>
      </c>
      <c r="F57" s="1">
        <f t="shared" si="6"/>
        <v>112.23987269267876</v>
      </c>
      <c r="G57" s="1">
        <f t="shared" si="7"/>
        <v>108.06227269267875</v>
      </c>
      <c r="H57" s="1">
        <f t="shared" si="2"/>
        <v>2.0888000000000062</v>
      </c>
      <c r="J57">
        <v>2160</v>
      </c>
      <c r="K57">
        <f t="shared" si="1"/>
        <v>1693.75</v>
      </c>
      <c r="L57">
        <f t="shared" si="3"/>
        <v>932.5</v>
      </c>
      <c r="M57" s="2">
        <v>2.9221659999999998</v>
      </c>
      <c r="N57" s="2">
        <v>2.92E-4</v>
      </c>
      <c r="O57" s="2">
        <v>24.952525000000001</v>
      </c>
      <c r="P57">
        <v>1.4772E-2</v>
      </c>
      <c r="S57" s="2">
        <v>4.8637699999999997</v>
      </c>
      <c r="T57" s="2">
        <v>1.9900000000000001E-4</v>
      </c>
      <c r="Z57">
        <f t="shared" si="4"/>
        <v>0</v>
      </c>
      <c r="AF57" s="2">
        <v>4.8576579999999998</v>
      </c>
      <c r="AG57" s="2">
        <v>8.6899999999999998E-4</v>
      </c>
      <c r="AH57" s="2">
        <v>2.9310990000000001</v>
      </c>
      <c r="AI57" s="2">
        <v>7.5900000000000002E-4</v>
      </c>
      <c r="AJ57" s="2">
        <v>5.0657189999999996</v>
      </c>
      <c r="AK57" s="2">
        <v>1.013E-3</v>
      </c>
      <c r="AL57">
        <f t="shared" si="5"/>
        <v>72.127107824417138</v>
      </c>
      <c r="AS57">
        <f t="shared" si="8"/>
        <v>0</v>
      </c>
    </row>
    <row r="58" spans="1:45" x14ac:dyDescent="0.3">
      <c r="A58">
        <v>58</v>
      </c>
      <c r="E58" s="1">
        <f t="shared" si="0"/>
        <v>109.47894966341408</v>
      </c>
      <c r="F58" s="1">
        <f t="shared" si="6"/>
        <v>111.66854966341408</v>
      </c>
      <c r="G58" s="1">
        <f t="shared" si="7"/>
        <v>107.28934966341409</v>
      </c>
      <c r="H58" s="1">
        <f t="shared" si="2"/>
        <v>2.1895999999999987</v>
      </c>
      <c r="J58">
        <v>2250</v>
      </c>
      <c r="K58">
        <f t="shared" si="1"/>
        <v>1761.25</v>
      </c>
      <c r="L58">
        <f t="shared" si="3"/>
        <v>977.5</v>
      </c>
      <c r="M58" s="2">
        <v>2.9242140000000001</v>
      </c>
      <c r="N58" s="2">
        <v>1.312E-3</v>
      </c>
      <c r="O58" s="2">
        <v>25.005040999999999</v>
      </c>
      <c r="P58">
        <v>6.6445000000000004E-2</v>
      </c>
      <c r="Q58" t="s">
        <v>44</v>
      </c>
      <c r="S58" s="2">
        <v>4.8655080000000002</v>
      </c>
      <c r="T58" s="2">
        <v>2.8600000000000001E-4</v>
      </c>
      <c r="Z58">
        <f t="shared" si="4"/>
        <v>0</v>
      </c>
      <c r="AF58" s="2">
        <v>4.8661070000000004</v>
      </c>
      <c r="AG58" s="2">
        <v>1.6000000000000001E-3</v>
      </c>
      <c r="AH58" s="2">
        <v>2.9250400000000001</v>
      </c>
      <c r="AI58" s="2">
        <v>2.3210000000000001E-3</v>
      </c>
      <c r="AJ58" s="2">
        <v>5.0734839999999997</v>
      </c>
      <c r="AK58" s="2">
        <v>1.377E-3</v>
      </c>
      <c r="AL58">
        <f t="shared" si="5"/>
        <v>72.21372684449517</v>
      </c>
      <c r="AS58">
        <f t="shared" si="8"/>
        <v>0</v>
      </c>
    </row>
    <row r="59" spans="1:45" x14ac:dyDescent="0.3">
      <c r="A59">
        <v>59</v>
      </c>
      <c r="D59">
        <v>69</v>
      </c>
      <c r="E59" s="1">
        <f t="shared" si="0"/>
        <v>110.86897090635257</v>
      </c>
      <c r="F59" s="1">
        <f t="shared" si="6"/>
        <v>113.13697090635257</v>
      </c>
      <c r="G59" s="1">
        <f t="shared" si="7"/>
        <v>108.60097090635257</v>
      </c>
      <c r="H59" s="1">
        <f t="shared" si="2"/>
        <v>2.2680000000000007</v>
      </c>
      <c r="J59">
        <v>2320</v>
      </c>
      <c r="K59">
        <f t="shared" si="1"/>
        <v>1813.75</v>
      </c>
      <c r="L59">
        <f t="shared" si="3"/>
        <v>1012.5</v>
      </c>
      <c r="M59" s="2">
        <v>2.921055</v>
      </c>
      <c r="N59" s="2">
        <v>7.7800000000000005E-4</v>
      </c>
      <c r="O59" s="2">
        <v>24.924088999999999</v>
      </c>
      <c r="P59">
        <v>3.9341000000000001E-2</v>
      </c>
      <c r="Q59" t="s">
        <v>37</v>
      </c>
      <c r="S59" s="2">
        <v>4.8667749999999996</v>
      </c>
      <c r="T59" s="2">
        <v>6.8900000000000005E-4</v>
      </c>
      <c r="V59" s="2">
        <v>5.8568470000000001</v>
      </c>
      <c r="W59" s="2">
        <v>5.6899999999999995E-4</v>
      </c>
      <c r="X59">
        <v>4.8646580000000004</v>
      </c>
      <c r="Y59">
        <v>1.387E-3</v>
      </c>
      <c r="Z59">
        <f t="shared" si="4"/>
        <v>72.257129959927468</v>
      </c>
      <c r="AL59">
        <f t="shared" si="5"/>
        <v>0</v>
      </c>
      <c r="AS59">
        <f t="shared" si="8"/>
        <v>0</v>
      </c>
    </row>
    <row r="60" spans="1:45" x14ac:dyDescent="0.3">
      <c r="A60">
        <v>60</v>
      </c>
      <c r="E60" s="1">
        <f t="shared" si="0"/>
        <v>110.60617796554436</v>
      </c>
      <c r="F60" s="1">
        <f t="shared" si="6"/>
        <v>112.97497796554435</v>
      </c>
      <c r="G60" s="1">
        <f t="shared" si="7"/>
        <v>108.23737796554435</v>
      </c>
      <c r="H60" s="1">
        <f t="shared" si="2"/>
        <v>2.3688000000000002</v>
      </c>
      <c r="J60">
        <v>2410</v>
      </c>
      <c r="K60">
        <f t="shared" ref="K60:K62" si="9">(3*J60+295)/4</f>
        <v>1881.25</v>
      </c>
      <c r="L60">
        <f t="shared" ref="L60:L62" si="10">(J60-295)/2</f>
        <v>1057.5</v>
      </c>
      <c r="M60" s="2">
        <v>2.9220790000000001</v>
      </c>
      <c r="N60" s="2">
        <v>3.5300000000000002E-4</v>
      </c>
      <c r="O60" s="2">
        <v>24.950303000000002</v>
      </c>
      <c r="P60">
        <v>1.7888000000000001E-2</v>
      </c>
      <c r="Q60" t="s">
        <v>82</v>
      </c>
      <c r="S60" s="2">
        <v>4.8704850000000004</v>
      </c>
      <c r="T60" s="2">
        <v>1.4799999999999999E-4</v>
      </c>
      <c r="Z60">
        <f t="shared" si="4"/>
        <v>0</v>
      </c>
      <c r="AL60">
        <f t="shared" si="5"/>
        <v>0</v>
      </c>
      <c r="AM60" s="2">
        <v>4.8856260000000002</v>
      </c>
      <c r="AN60" s="2">
        <v>2.1029999999999998E-3</v>
      </c>
      <c r="AO60" s="2">
        <v>2.9204159999999999</v>
      </c>
      <c r="AP60" s="2">
        <v>1.333E-3</v>
      </c>
      <c r="AQ60" s="2">
        <v>5.0840389999999998</v>
      </c>
      <c r="AR60" s="2">
        <v>3.0240000000000002E-3</v>
      </c>
      <c r="AS60">
        <f t="shared" si="8"/>
        <v>72.539375225028209</v>
      </c>
    </row>
    <row r="61" spans="1:45" x14ac:dyDescent="0.3">
      <c r="A61">
        <v>61</v>
      </c>
      <c r="E61" s="1">
        <f t="shared" si="0"/>
        <v>110.83982021697925</v>
      </c>
      <c r="F61" s="1">
        <f t="shared" si="6"/>
        <v>113.33182021697925</v>
      </c>
      <c r="G61" s="1">
        <f t="shared" si="7"/>
        <v>108.34782021697924</v>
      </c>
      <c r="H61" s="1">
        <f t="shared" si="2"/>
        <v>2.4920000000000044</v>
      </c>
      <c r="J61">
        <v>2520</v>
      </c>
      <c r="K61">
        <f t="shared" si="9"/>
        <v>1963.75</v>
      </c>
      <c r="L61">
        <f t="shared" si="10"/>
        <v>1112.5</v>
      </c>
      <c r="M61" s="2">
        <v>2.9219580000000001</v>
      </c>
      <c r="N61" s="2">
        <v>6.5499999999999998E-4</v>
      </c>
      <c r="O61" s="2">
        <v>24.947201</v>
      </c>
      <c r="P61">
        <v>3.3125000000000002E-2</v>
      </c>
      <c r="S61" s="2">
        <v>4.8745820000000002</v>
      </c>
      <c r="T61" s="2">
        <v>6.5499999999999998E-4</v>
      </c>
      <c r="Z61">
        <f t="shared" si="4"/>
        <v>0</v>
      </c>
      <c r="AL61">
        <f t="shared" si="5"/>
        <v>0</v>
      </c>
      <c r="AM61" s="2">
        <v>4.8987319999999999</v>
      </c>
      <c r="AN61" s="2">
        <v>1.4660000000000001E-3</v>
      </c>
      <c r="AO61" s="2">
        <v>2.914666</v>
      </c>
      <c r="AP61" s="2">
        <v>9.1699999999999995E-4</v>
      </c>
      <c r="AQ61" s="2">
        <v>5.0893540000000002</v>
      </c>
      <c r="AR61" s="2">
        <v>2.0969999999999999E-3</v>
      </c>
      <c r="AS61">
        <f t="shared" si="8"/>
        <v>72.666649405604204</v>
      </c>
    </row>
    <row r="62" spans="1:45" x14ac:dyDescent="0.3">
      <c r="A62">
        <v>62</v>
      </c>
      <c r="B62" s="11" t="s">
        <v>29</v>
      </c>
      <c r="C62" s="11"/>
      <c r="E62" s="1">
        <f t="shared" si="0"/>
        <v>110.81982655376923</v>
      </c>
      <c r="F62" s="1">
        <f t="shared" si="6"/>
        <v>113.39022655376924</v>
      </c>
      <c r="G62" s="1">
        <f t="shared" si="7"/>
        <v>108.24942655376924</v>
      </c>
      <c r="H62" s="1">
        <f t="shared" si="2"/>
        <v>2.5703999999999994</v>
      </c>
      <c r="J62">
        <v>2590</v>
      </c>
      <c r="K62">
        <f t="shared" si="9"/>
        <v>2016.25</v>
      </c>
      <c r="L62">
        <f t="shared" si="10"/>
        <v>1147.5</v>
      </c>
      <c r="M62" s="2">
        <v>2.9222990000000002</v>
      </c>
      <c r="N62" s="2">
        <v>2.7700000000000001E-4</v>
      </c>
      <c r="O62" s="2">
        <v>24.955946000000001</v>
      </c>
      <c r="P62">
        <v>1.4003E-2</v>
      </c>
      <c r="S62" s="2">
        <v>4.8755329999999999</v>
      </c>
      <c r="T62" s="2">
        <v>2.0100000000000001E-4</v>
      </c>
      <c r="Z62">
        <f t="shared" si="4"/>
        <v>0</v>
      </c>
      <c r="AL62">
        <f t="shared" si="5"/>
        <v>0</v>
      </c>
      <c r="AM62" s="2">
        <v>4.9059540000000004</v>
      </c>
      <c r="AN62" s="2">
        <v>7.5299999999999998E-4</v>
      </c>
      <c r="AO62" s="2">
        <v>2.9097569999999999</v>
      </c>
      <c r="AP62" s="2">
        <v>4.3600000000000003E-4</v>
      </c>
      <c r="AQ62" s="2">
        <v>5.1001260000000004</v>
      </c>
      <c r="AR62" s="2">
        <v>1.3179999999999999E-3</v>
      </c>
      <c r="AS62">
        <f t="shared" si="8"/>
        <v>72.804982032090948</v>
      </c>
    </row>
    <row r="63" spans="1:45" x14ac:dyDescent="0.3">
      <c r="A63">
        <v>63</v>
      </c>
      <c r="E63" s="1">
        <f t="shared" si="0"/>
        <v>109.84995073811072</v>
      </c>
      <c r="F63" s="1">
        <f t="shared" si="6"/>
        <v>109.85555073811071</v>
      </c>
      <c r="G63" s="1">
        <f t="shared" si="7"/>
        <v>109.84435073811072</v>
      </c>
      <c r="H63" s="1">
        <f t="shared" si="2"/>
        <v>5.5999999999940542E-3</v>
      </c>
      <c r="J63">
        <v>300</v>
      </c>
      <c r="K63">
        <f t="shared" ref="K63" si="11">(3*J63+295)/4</f>
        <v>298.75</v>
      </c>
      <c r="L63">
        <f t="shared" ref="L63" si="12">(J63-295)/2</f>
        <v>2.5</v>
      </c>
      <c r="M63" s="2">
        <v>2.915251</v>
      </c>
      <c r="O63" s="2">
        <v>24.775808999999999</v>
      </c>
      <c r="Z63">
        <f t="shared" si="4"/>
        <v>0</v>
      </c>
      <c r="AL63">
        <f t="shared" si="5"/>
        <v>0</v>
      </c>
      <c r="AS63">
        <f t="shared" si="8"/>
        <v>0</v>
      </c>
    </row>
  </sheetData>
  <mergeCells count="1">
    <mergeCell ref="B62:C6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74"/>
  <sheetViews>
    <sheetView tabSelected="1" topLeftCell="A54" workbookViewId="0">
      <pane xSplit="1" topLeftCell="B1" activePane="topRight" state="frozen"/>
      <selection pane="topRight" activeCell="J65" sqref="J65"/>
    </sheetView>
  </sheetViews>
  <sheetFormatPr baseColWidth="10" defaultColWidth="9" defaultRowHeight="14" x14ac:dyDescent="0.3"/>
  <cols>
    <col min="1" max="1" width="6.83203125" customWidth="1"/>
    <col min="5" max="5" width="9" style="7"/>
    <col min="6" max="8" width="9" style="1"/>
    <col min="13" max="13" width="7.08203125" style="2" customWidth="1"/>
    <col min="14" max="14" width="7.75" style="2" bestFit="1" customWidth="1"/>
    <col min="15" max="15" width="6.33203125" style="2" customWidth="1"/>
    <col min="16" max="16" width="5.58203125" style="2" customWidth="1"/>
    <col min="17" max="17" width="6.75" customWidth="1"/>
    <col min="18" max="18" width="2.25" customWidth="1"/>
    <col min="19" max="19" width="7.08203125" style="2" customWidth="1"/>
    <col min="20" max="20" width="1.25" style="2" customWidth="1"/>
    <col min="21" max="21" width="5.25" style="2" customWidth="1"/>
    <col min="22" max="22" width="1.58203125" style="2" customWidth="1"/>
    <col min="23" max="23" width="5" style="2" customWidth="1"/>
    <col min="24" max="24" width="1.83203125" customWidth="1"/>
    <col min="25" max="25" width="3" customWidth="1"/>
    <col min="26" max="26" width="4.5" customWidth="1"/>
    <col min="27" max="27" width="3" style="5" customWidth="1"/>
    <col min="28" max="28" width="9" style="2"/>
    <col min="42" max="42" width="3.58203125" style="5" customWidth="1"/>
    <col min="43" max="43" width="9" style="2"/>
    <col min="45" max="45" width="9" style="2"/>
    <col min="47" max="47" width="9" style="2"/>
    <col min="57" max="57" width="3.58203125" style="5" customWidth="1"/>
    <col min="71" max="71" width="3.5" style="5" customWidth="1"/>
  </cols>
  <sheetData>
    <row r="1" spans="1:75" x14ac:dyDescent="0.3">
      <c r="A1" t="s">
        <v>0</v>
      </c>
      <c r="B1" t="s">
        <v>79</v>
      </c>
      <c r="C1" t="s">
        <v>20</v>
      </c>
      <c r="D1" t="s">
        <v>18</v>
      </c>
      <c r="E1" s="7" t="s">
        <v>1</v>
      </c>
      <c r="F1" s="1" t="s">
        <v>2</v>
      </c>
      <c r="G1" s="1" t="s">
        <v>3</v>
      </c>
      <c r="H1" s="1" t="s">
        <v>4</v>
      </c>
      <c r="I1" t="s">
        <v>5</v>
      </c>
      <c r="J1" t="s">
        <v>21</v>
      </c>
      <c r="K1" t="s">
        <v>6</v>
      </c>
      <c r="L1" t="s">
        <v>7</v>
      </c>
      <c r="M1" s="2" t="s">
        <v>8</v>
      </c>
      <c r="N1" s="2" t="s">
        <v>9</v>
      </c>
      <c r="O1" s="2" t="s">
        <v>11</v>
      </c>
      <c r="P1" s="2" t="s">
        <v>12</v>
      </c>
      <c r="Q1" t="s">
        <v>17</v>
      </c>
      <c r="AB1" s="2" t="s">
        <v>80</v>
      </c>
      <c r="AC1" s="2"/>
      <c r="AD1" s="2"/>
      <c r="AE1" s="2"/>
      <c r="AF1" s="2"/>
      <c r="AI1" s="2"/>
      <c r="AK1" s="2"/>
      <c r="AL1" s="2"/>
      <c r="AM1" s="2"/>
      <c r="AN1" s="2"/>
      <c r="AO1" s="2"/>
      <c r="AQ1" s="2" t="s">
        <v>44</v>
      </c>
      <c r="AR1" s="2"/>
      <c r="AT1" s="2"/>
      <c r="AX1" s="2"/>
      <c r="AZ1" s="2"/>
      <c r="BA1" s="2"/>
      <c r="BB1" s="2"/>
      <c r="BC1" s="2"/>
      <c r="BD1" s="2"/>
      <c r="BF1" t="s">
        <v>62</v>
      </c>
      <c r="BG1" s="2" t="s">
        <v>65</v>
      </c>
      <c r="BH1" t="s">
        <v>63</v>
      </c>
      <c r="BI1" t="s">
        <v>64</v>
      </c>
      <c r="BJ1" t="s">
        <v>66</v>
      </c>
      <c r="BK1" t="s">
        <v>27</v>
      </c>
      <c r="BL1" t="s">
        <v>67</v>
      </c>
      <c r="BM1" t="s">
        <v>68</v>
      </c>
      <c r="BN1" s="2" t="s">
        <v>69</v>
      </c>
      <c r="BO1" t="s">
        <v>28</v>
      </c>
      <c r="BP1" t="s">
        <v>63</v>
      </c>
      <c r="BQ1" t="s">
        <v>64</v>
      </c>
      <c r="BT1" t="s">
        <v>13</v>
      </c>
      <c r="BU1" t="s">
        <v>14</v>
      </c>
      <c r="BV1" t="s">
        <v>15</v>
      </c>
      <c r="BW1" t="s">
        <v>16</v>
      </c>
    </row>
    <row r="2" spans="1:75" x14ac:dyDescent="0.3">
      <c r="B2" t="s">
        <v>70</v>
      </c>
      <c r="BT2">
        <v>54.5</v>
      </c>
      <c r="BU2">
        <v>17.2</v>
      </c>
      <c r="BV2">
        <v>5.89</v>
      </c>
      <c r="BW2">
        <v>2.2399999999999998E-3</v>
      </c>
    </row>
    <row r="3" spans="1:75" x14ac:dyDescent="0.3">
      <c r="B3" t="s">
        <v>19</v>
      </c>
    </row>
    <row r="4" spans="1:75" x14ac:dyDescent="0.3">
      <c r="A4">
        <v>1</v>
      </c>
      <c r="C4">
        <v>10</v>
      </c>
      <c r="D4">
        <v>45</v>
      </c>
      <c r="E4" s="7">
        <f t="shared" ref="E4:E35" si="0" xml:space="preserve"> 3*$BU$2*(($BT$2/(M4^3))^(2/3))*(1-($BT$2/(M4^3))^(-1/3))*EXP((3/2)*($BV$2-1)*(1-($BT$2/(M4^3))^(-1/3))) + $BW$2*(K4-300)</f>
        <v>66.312035308611911</v>
      </c>
      <c r="F4" s="1">
        <f t="shared" ref="F4:F35" si="1" xml:space="preserve"> 3*$BU$2*(($BT$2/(M4^3))^(2/3))*(1-($BT$2/(M4^3))^(-1/3))*EXP((3/2)*($BV$2-1)*(1-($BT$2/(M4^3))^(-1/3))) + $BW$2*((K4+L4)-300)</f>
        <v>66.317635308611898</v>
      </c>
      <c r="G4" s="1">
        <f t="shared" ref="G4:G35" si="2" xml:space="preserve"> 3*$BU$2*(($BT$2/(M4^3))^(2/3))*(1-($BT$2/(M4^3))^(-1/3))*EXP((3/2)*($BV$2-1)*(1-($BT$2/(M4^3))^(-1/3))) + $BW$2*((K4-L4)-300)</f>
        <v>66.30643530861191</v>
      </c>
      <c r="H4" s="1">
        <f t="shared" ref="H4:H35" si="3">(F4-G4)/2</f>
        <v>5.5999999999940542E-3</v>
      </c>
      <c r="J4">
        <v>300</v>
      </c>
      <c r="K4">
        <f t="shared" ref="K4:K35" si="4">(3*J4+295)/4</f>
        <v>298.75</v>
      </c>
      <c r="L4">
        <f t="shared" ref="L4:L35" si="5">(J4-295)/2</f>
        <v>2.5</v>
      </c>
      <c r="M4" s="2">
        <v>3.0466129999999998</v>
      </c>
      <c r="N4" s="2">
        <v>2.9489999999999998E-3</v>
      </c>
      <c r="O4" s="2">
        <v>3.0466129999999998</v>
      </c>
      <c r="Q4">
        <v>3.0466129999999998</v>
      </c>
      <c r="S4" s="2">
        <v>90</v>
      </c>
      <c r="U4" s="2">
        <v>90</v>
      </c>
      <c r="V4"/>
      <c r="W4">
        <v>90</v>
      </c>
      <c r="Y4">
        <v>28.278210999999999</v>
      </c>
      <c r="Z4">
        <v>0.15562999999999999</v>
      </c>
    </row>
    <row r="5" spans="1:75" x14ac:dyDescent="0.3">
      <c r="A5">
        <v>2</v>
      </c>
      <c r="B5" t="s">
        <v>71</v>
      </c>
      <c r="C5" t="s">
        <v>72</v>
      </c>
      <c r="D5">
        <v>55</v>
      </c>
      <c r="E5" s="7">
        <f t="shared" si="0"/>
        <v>87.735488747759831</v>
      </c>
      <c r="F5" s="1">
        <f t="shared" si="1"/>
        <v>87.741088747759818</v>
      </c>
      <c r="G5" s="1">
        <f t="shared" si="2"/>
        <v>87.72988874775983</v>
      </c>
      <c r="H5" s="1">
        <f t="shared" si="3"/>
        <v>5.5999999999940542E-3</v>
      </c>
      <c r="J5">
        <v>300</v>
      </c>
      <c r="K5">
        <f t="shared" si="4"/>
        <v>298.75</v>
      </c>
      <c r="L5">
        <f t="shared" si="5"/>
        <v>2.5</v>
      </c>
      <c r="M5" s="2">
        <v>2.9744730000000001</v>
      </c>
      <c r="N5" s="2">
        <v>4.5259999999999996E-3</v>
      </c>
      <c r="O5" s="2">
        <v>2.9744730000000001</v>
      </c>
      <c r="Q5">
        <v>2.9744730000000001</v>
      </c>
      <c r="S5" s="2">
        <v>90</v>
      </c>
      <c r="U5" s="2">
        <v>90</v>
      </c>
      <c r="V5"/>
      <c r="W5">
        <v>90</v>
      </c>
      <c r="Y5">
        <v>26.316623</v>
      </c>
      <c r="Z5">
        <v>0.233151</v>
      </c>
    </row>
    <row r="6" spans="1:75" x14ac:dyDescent="0.3">
      <c r="A6">
        <v>3</v>
      </c>
      <c r="B6" s="6"/>
      <c r="C6" s="6"/>
      <c r="D6" s="6">
        <v>62</v>
      </c>
      <c r="E6" s="7">
        <f t="shared" si="0"/>
        <v>106.76875603067552</v>
      </c>
      <c r="F6" s="1">
        <f t="shared" si="1"/>
        <v>106.77435603067551</v>
      </c>
      <c r="G6" s="1">
        <f t="shared" si="2"/>
        <v>106.76315603067552</v>
      </c>
      <c r="H6" s="1">
        <f t="shared" si="3"/>
        <v>5.5999999999940542E-3</v>
      </c>
      <c r="J6">
        <v>300</v>
      </c>
      <c r="K6">
        <f t="shared" si="4"/>
        <v>298.75</v>
      </c>
      <c r="L6">
        <f t="shared" si="5"/>
        <v>2.5</v>
      </c>
      <c r="M6" s="2">
        <v>2.9228049999999999</v>
      </c>
      <c r="N6" s="2">
        <v>4.9350000000000002E-3</v>
      </c>
      <c r="O6" s="2">
        <v>2.9228049999999999</v>
      </c>
      <c r="Q6">
        <v>2.9228049999999999</v>
      </c>
      <c r="S6" s="2">
        <v>90</v>
      </c>
      <c r="U6" s="2">
        <v>90</v>
      </c>
      <c r="V6"/>
      <c r="W6">
        <v>90</v>
      </c>
      <c r="Y6">
        <v>24.968914000000002</v>
      </c>
      <c r="Z6">
        <v>0.24985499999999999</v>
      </c>
    </row>
    <row r="7" spans="1:75" x14ac:dyDescent="0.3">
      <c r="A7">
        <v>4</v>
      </c>
      <c r="B7" s="6"/>
      <c r="C7" s="6"/>
      <c r="D7" s="6">
        <v>64</v>
      </c>
      <c r="E7" s="7">
        <f t="shared" si="0"/>
        <v>111.91420092621874</v>
      </c>
      <c r="F7" s="1">
        <f t="shared" si="1"/>
        <v>111.91980092621873</v>
      </c>
      <c r="G7" s="1">
        <f t="shared" si="2"/>
        <v>111.90860092621874</v>
      </c>
      <c r="H7" s="1">
        <f t="shared" si="3"/>
        <v>5.5999999999940542E-3</v>
      </c>
      <c r="J7">
        <v>300</v>
      </c>
      <c r="K7">
        <f t="shared" si="4"/>
        <v>298.75</v>
      </c>
      <c r="L7">
        <f t="shared" si="5"/>
        <v>2.5</v>
      </c>
      <c r="M7" s="2">
        <v>2.9102990000000002</v>
      </c>
      <c r="N7" s="2">
        <v>5.875E-3</v>
      </c>
      <c r="O7" s="2">
        <v>2.9102990000000002</v>
      </c>
      <c r="Q7">
        <v>2.9102990000000002</v>
      </c>
      <c r="S7" s="2">
        <v>90</v>
      </c>
      <c r="U7" s="2">
        <v>90</v>
      </c>
      <c r="V7"/>
      <c r="W7">
        <v>90</v>
      </c>
      <c r="Y7">
        <v>24.649757000000001</v>
      </c>
      <c r="Z7">
        <v>0.29616199999999998</v>
      </c>
    </row>
    <row r="8" spans="1:75" ht="13.5" customHeight="1" x14ac:dyDescent="0.3">
      <c r="A8">
        <v>5</v>
      </c>
      <c r="B8" s="6" t="s">
        <v>73</v>
      </c>
      <c r="C8" s="6">
        <v>30</v>
      </c>
      <c r="D8" s="6">
        <v>64</v>
      </c>
      <c r="E8" s="7">
        <f t="shared" si="0"/>
        <v>115.25499990174377</v>
      </c>
      <c r="F8" s="1">
        <f t="shared" si="1"/>
        <v>115.26059990174376</v>
      </c>
      <c r="G8" s="1">
        <f t="shared" si="2"/>
        <v>115.24939990174377</v>
      </c>
      <c r="H8" s="1">
        <f t="shared" si="3"/>
        <v>5.5999999999940542E-3</v>
      </c>
      <c r="J8">
        <v>300</v>
      </c>
      <c r="K8">
        <f t="shared" si="4"/>
        <v>298.75</v>
      </c>
      <c r="L8">
        <f t="shared" si="5"/>
        <v>2.5</v>
      </c>
      <c r="M8" s="2">
        <v>2.9024610000000002</v>
      </c>
      <c r="N8" s="2">
        <v>5.3039999999999997E-3</v>
      </c>
      <c r="O8" s="2">
        <v>2.9024610000000002</v>
      </c>
      <c r="Q8">
        <v>2.9024610000000002</v>
      </c>
      <c r="S8" s="2">
        <v>90</v>
      </c>
      <c r="U8" s="2">
        <v>90</v>
      </c>
      <c r="V8"/>
      <c r="W8">
        <v>90</v>
      </c>
      <c r="Y8">
        <v>24.451138</v>
      </c>
      <c r="Z8">
        <v>0.26664100000000002</v>
      </c>
    </row>
    <row r="9" spans="1:75" ht="14.25" customHeight="1" x14ac:dyDescent="0.3">
      <c r="A9">
        <v>6</v>
      </c>
      <c r="B9" s="6"/>
      <c r="C9" s="6" t="s">
        <v>72</v>
      </c>
      <c r="D9" s="6">
        <v>64</v>
      </c>
      <c r="E9" s="7">
        <f t="shared" si="0"/>
        <v>117.85918080015134</v>
      </c>
      <c r="F9" s="1">
        <f t="shared" si="1"/>
        <v>119.24238080015134</v>
      </c>
      <c r="G9" s="1">
        <f t="shared" si="2"/>
        <v>116.47598080015135</v>
      </c>
      <c r="H9" s="1">
        <f t="shared" si="3"/>
        <v>1.3831999999999951</v>
      </c>
      <c r="J9">
        <v>1530</v>
      </c>
      <c r="K9">
        <f t="shared" si="4"/>
        <v>1221.25</v>
      </c>
      <c r="L9">
        <f t="shared" si="5"/>
        <v>617.5</v>
      </c>
      <c r="M9" s="2">
        <v>2.9012190000000002</v>
      </c>
      <c r="N9" s="2">
        <v>4.9979999999999998E-3</v>
      </c>
      <c r="O9" s="2">
        <v>2.9012190000000002</v>
      </c>
      <c r="Q9">
        <v>2.9012190000000002</v>
      </c>
      <c r="S9" s="2">
        <v>90</v>
      </c>
      <c r="U9" s="2">
        <v>90</v>
      </c>
      <c r="W9" s="2">
        <v>90</v>
      </c>
      <c r="Y9">
        <v>24.419775999999999</v>
      </c>
      <c r="Z9">
        <v>0.25113000000000002</v>
      </c>
    </row>
    <row r="10" spans="1:75" x14ac:dyDescent="0.3">
      <c r="A10">
        <v>7</v>
      </c>
      <c r="B10" s="6"/>
      <c r="C10" s="6"/>
      <c r="D10" s="6"/>
      <c r="E10" s="7">
        <f t="shared" si="0"/>
        <v>119.0399849806174</v>
      </c>
      <c r="F10" s="1">
        <f t="shared" si="1"/>
        <v>120.7479849806174</v>
      </c>
      <c r="G10" s="1">
        <f t="shared" si="2"/>
        <v>117.33198498061741</v>
      </c>
      <c r="H10" s="1">
        <f t="shared" si="3"/>
        <v>1.7079999999999984</v>
      </c>
      <c r="J10">
        <v>1820</v>
      </c>
      <c r="K10">
        <f t="shared" si="4"/>
        <v>1438.75</v>
      </c>
      <c r="L10">
        <f t="shared" si="5"/>
        <v>762.5</v>
      </c>
      <c r="M10" s="2">
        <v>2.8996249999999999</v>
      </c>
      <c r="N10" s="2">
        <v>5.2820000000000002E-3</v>
      </c>
      <c r="O10" s="2">
        <v>2.8996249999999999</v>
      </c>
      <c r="Q10">
        <v>2.8996249999999999</v>
      </c>
      <c r="S10" s="2">
        <v>90</v>
      </c>
      <c r="U10" s="2">
        <v>90</v>
      </c>
      <c r="V10"/>
      <c r="W10">
        <v>90</v>
      </c>
      <c r="Y10">
        <v>24.379529000000002</v>
      </c>
      <c r="Z10">
        <v>0.26529399999999997</v>
      </c>
      <c r="AB10" s="2">
        <v>4.8394890000000004</v>
      </c>
      <c r="AC10">
        <v>1.299E-3</v>
      </c>
      <c r="AD10">
        <v>4.8394890000000004</v>
      </c>
      <c r="AF10">
        <v>4.8394890000000004</v>
      </c>
      <c r="AH10">
        <v>90</v>
      </c>
      <c r="AJ10">
        <v>90</v>
      </c>
      <c r="AL10">
        <v>90</v>
      </c>
      <c r="AN10">
        <v>113.34402</v>
      </c>
      <c r="AO10">
        <v>0.108877</v>
      </c>
      <c r="AQ10" s="2">
        <v>4.7823079999999996</v>
      </c>
      <c r="AR10">
        <v>7.2659999999999999E-3</v>
      </c>
      <c r="AS10" s="2">
        <v>2.9415550000000001</v>
      </c>
      <c r="AT10">
        <v>1.6739999999999999E-3</v>
      </c>
      <c r="AU10" s="2">
        <v>5.0116139999999998</v>
      </c>
      <c r="AV10">
        <v>3.4450000000000001E-3</v>
      </c>
      <c r="AW10">
        <v>90</v>
      </c>
      <c r="AY10">
        <v>90</v>
      </c>
      <c r="BA10">
        <v>90</v>
      </c>
      <c r="BC10">
        <v>70.500488000000004</v>
      </c>
      <c r="BD10">
        <v>0.31818800000000003</v>
      </c>
    </row>
    <row r="11" spans="1:75" x14ac:dyDescent="0.3">
      <c r="A11">
        <v>8</v>
      </c>
      <c r="B11" s="6"/>
      <c r="C11" s="6"/>
      <c r="D11" s="6"/>
      <c r="E11" s="7">
        <f t="shared" si="0"/>
        <v>118.89369971388678</v>
      </c>
      <c r="F11" s="1">
        <f t="shared" si="1"/>
        <v>120.61289971388678</v>
      </c>
      <c r="G11" s="1">
        <f t="shared" si="2"/>
        <v>117.17449971388677</v>
      </c>
      <c r="H11" s="1">
        <f t="shared" si="3"/>
        <v>1.7192000000000007</v>
      </c>
      <c r="J11">
        <v>1830</v>
      </c>
      <c r="K11">
        <f t="shared" si="4"/>
        <v>1446.25</v>
      </c>
      <c r="L11">
        <f t="shared" si="5"/>
        <v>767.5</v>
      </c>
      <c r="M11" s="2">
        <v>2.8999990000000002</v>
      </c>
      <c r="N11" s="2">
        <v>4.5019999999999999E-3</v>
      </c>
      <c r="O11" s="2">
        <v>2.8999990000000002</v>
      </c>
      <c r="Q11">
        <v>2.8999990000000002</v>
      </c>
      <c r="S11" s="2">
        <v>90</v>
      </c>
      <c r="U11" s="2">
        <v>90</v>
      </c>
      <c r="V11"/>
      <c r="W11">
        <v>90</v>
      </c>
      <c r="Y11">
        <v>24.388984000000001</v>
      </c>
      <c r="Z11">
        <v>0.22615299999999999</v>
      </c>
      <c r="AB11" s="2">
        <v>4.8356570000000003</v>
      </c>
      <c r="AC11">
        <v>2.3000000000000001E-4</v>
      </c>
      <c r="AD11">
        <v>4.8356570000000003</v>
      </c>
      <c r="AF11">
        <v>4.8356570000000003</v>
      </c>
      <c r="AH11">
        <v>90</v>
      </c>
      <c r="AJ11">
        <v>90</v>
      </c>
      <c r="AL11">
        <v>90</v>
      </c>
      <c r="AN11">
        <v>113.07495400000001</v>
      </c>
      <c r="AO11">
        <v>1.9233E-2</v>
      </c>
      <c r="AQ11" s="2">
        <v>4.7803789999999999</v>
      </c>
      <c r="AR11">
        <v>6.0400000000000002E-3</v>
      </c>
      <c r="AS11" s="2">
        <v>2.9456250000000002</v>
      </c>
      <c r="AT11">
        <v>3.3140000000000001E-3</v>
      </c>
      <c r="AU11" s="2">
        <v>4.9975630000000004</v>
      </c>
      <c r="AV11">
        <v>3.1440000000000001E-3</v>
      </c>
      <c r="AW11">
        <v>90</v>
      </c>
      <c r="AY11">
        <v>90</v>
      </c>
      <c r="BA11">
        <v>90</v>
      </c>
      <c r="BC11">
        <v>70.371690999999998</v>
      </c>
      <c r="BD11">
        <v>0.30634099999999997</v>
      </c>
    </row>
    <row r="12" spans="1:75" x14ac:dyDescent="0.3">
      <c r="A12">
        <v>9</v>
      </c>
      <c r="B12" s="6"/>
      <c r="C12" s="6"/>
      <c r="D12" s="6"/>
      <c r="E12" s="7">
        <f t="shared" si="0"/>
        <v>119.14226441933623</v>
      </c>
      <c r="F12" s="1">
        <f t="shared" si="1"/>
        <v>121.05186441933623</v>
      </c>
      <c r="G12" s="1">
        <f t="shared" si="2"/>
        <v>117.23266441933623</v>
      </c>
      <c r="H12" s="1">
        <f t="shared" si="3"/>
        <v>1.9095999999999975</v>
      </c>
      <c r="J12">
        <v>2000</v>
      </c>
      <c r="K12">
        <f t="shared" si="4"/>
        <v>1573.75</v>
      </c>
      <c r="L12">
        <f t="shared" si="5"/>
        <v>852.5</v>
      </c>
      <c r="M12" s="2">
        <v>2.9000840000000001</v>
      </c>
      <c r="N12" s="2">
        <v>4.2649999999999997E-3</v>
      </c>
      <c r="O12" s="2">
        <v>2.9000840000000001</v>
      </c>
      <c r="Q12">
        <v>2.9000840000000001</v>
      </c>
      <c r="S12" s="2">
        <v>90</v>
      </c>
      <c r="U12" s="2">
        <v>90</v>
      </c>
      <c r="V12"/>
      <c r="W12">
        <v>90</v>
      </c>
      <c r="Y12">
        <v>24.391127999999998</v>
      </c>
      <c r="Z12">
        <v>0.21423200000000001</v>
      </c>
      <c r="AB12" s="2">
        <v>4.836322</v>
      </c>
      <c r="AC12">
        <v>5.8100000000000003E-4</v>
      </c>
      <c r="AD12">
        <v>4.836322</v>
      </c>
      <c r="AF12">
        <v>4.836322</v>
      </c>
      <c r="AH12">
        <v>90</v>
      </c>
      <c r="AJ12">
        <v>90</v>
      </c>
      <c r="AL12">
        <v>90</v>
      </c>
      <c r="AN12">
        <v>113.121656</v>
      </c>
      <c r="AO12">
        <v>4.8672E-2</v>
      </c>
      <c r="AQ12" s="2">
        <v>4.7818120000000004</v>
      </c>
      <c r="AR12">
        <v>6.3680000000000004E-3</v>
      </c>
      <c r="AS12" s="2">
        <v>2.9440249999999999</v>
      </c>
      <c r="AT12">
        <v>3.4870000000000001E-3</v>
      </c>
      <c r="AU12" s="2">
        <v>4.9974480000000003</v>
      </c>
      <c r="AV12">
        <v>3.31E-3</v>
      </c>
      <c r="AW12">
        <v>90</v>
      </c>
      <c r="AY12">
        <v>90</v>
      </c>
      <c r="BA12">
        <v>90</v>
      </c>
      <c r="BC12">
        <v>70.352935000000002</v>
      </c>
      <c r="BD12">
        <v>0.32271499999999997</v>
      </c>
    </row>
    <row r="13" spans="1:75" s="5" customFormat="1" x14ac:dyDescent="0.3">
      <c r="A13">
        <v>10</v>
      </c>
      <c r="B13" s="6"/>
      <c r="C13" s="6"/>
      <c r="D13" s="6"/>
      <c r="E13" s="7">
        <f t="shared" si="0"/>
        <v>120.10993054291919</v>
      </c>
      <c r="F13" s="1">
        <f t="shared" si="1"/>
        <v>122.0867305429192</v>
      </c>
      <c r="G13" s="1">
        <f t="shared" si="2"/>
        <v>118.13313054291919</v>
      </c>
      <c r="H13" s="1">
        <f t="shared" si="3"/>
        <v>1.9768000000000043</v>
      </c>
      <c r="I13"/>
      <c r="J13">
        <v>2060</v>
      </c>
      <c r="K13">
        <f t="shared" si="4"/>
        <v>1618.75</v>
      </c>
      <c r="L13">
        <f t="shared" si="5"/>
        <v>882.5</v>
      </c>
      <c r="M13" s="2">
        <v>2.898101</v>
      </c>
      <c r="N13" s="2">
        <v>4.4720000000000003E-3</v>
      </c>
      <c r="O13" s="2">
        <v>2.898101</v>
      </c>
      <c r="P13" s="2"/>
      <c r="Q13">
        <v>2.898101</v>
      </c>
      <c r="R13"/>
      <c r="S13" s="2">
        <v>90</v>
      </c>
      <c r="T13" s="2"/>
      <c r="U13" s="2">
        <v>90</v>
      </c>
      <c r="V13"/>
      <c r="W13">
        <v>90</v>
      </c>
      <c r="X13"/>
      <c r="Y13">
        <v>24.341132000000002</v>
      </c>
      <c r="Z13">
        <v>0.224469</v>
      </c>
      <c r="AB13" s="2">
        <v>4.8362150000000002</v>
      </c>
      <c r="AC13">
        <v>1.74E-4</v>
      </c>
      <c r="AD13">
        <v>4.8362150000000002</v>
      </c>
      <c r="AE13"/>
      <c r="AF13">
        <v>4.8362150000000002</v>
      </c>
      <c r="AG13"/>
      <c r="AH13">
        <v>90</v>
      </c>
      <c r="AI13"/>
      <c r="AJ13">
        <v>90</v>
      </c>
      <c r="AK13"/>
      <c r="AL13">
        <v>90</v>
      </c>
      <c r="AM13"/>
      <c r="AN13">
        <v>113.114107</v>
      </c>
      <c r="AO13">
        <v>1.4566000000000001E-2</v>
      </c>
      <c r="AQ13" s="2">
        <v>4.8009500000000003</v>
      </c>
      <c r="AR13">
        <v>2.366E-3</v>
      </c>
      <c r="AS13" s="2">
        <v>2.9305539999999999</v>
      </c>
      <c r="AT13">
        <v>9.77E-4</v>
      </c>
      <c r="AU13" s="2">
        <v>5.0200810000000002</v>
      </c>
      <c r="AV13">
        <v>1.078E-3</v>
      </c>
      <c r="AW13">
        <v>90</v>
      </c>
      <c r="AX13"/>
      <c r="AY13">
        <v>90</v>
      </c>
      <c r="AZ13"/>
      <c r="BA13">
        <v>90</v>
      </c>
      <c r="BB13"/>
      <c r="BC13">
        <v>70.629749000000004</v>
      </c>
      <c r="BD13">
        <v>0.11031299999999999</v>
      </c>
      <c r="BF13"/>
      <c r="BG13"/>
      <c r="BH13"/>
      <c r="BI13"/>
      <c r="BJ13"/>
      <c r="BK13"/>
      <c r="BL13"/>
      <c r="BM13"/>
      <c r="BN13"/>
      <c r="BO13"/>
      <c r="BP13"/>
      <c r="BQ13"/>
      <c r="BR13"/>
      <c r="BT13"/>
      <c r="BU13"/>
      <c r="BV13"/>
      <c r="BW13"/>
    </row>
    <row r="14" spans="1:75" s="5" customFormat="1" x14ac:dyDescent="0.3">
      <c r="A14">
        <v>11</v>
      </c>
      <c r="B14" s="6"/>
      <c r="C14" s="6"/>
      <c r="D14" s="6"/>
      <c r="E14" s="7">
        <f t="shared" si="0"/>
        <v>120.48865253774865</v>
      </c>
      <c r="F14" s="1">
        <f t="shared" si="1"/>
        <v>122.62225253774865</v>
      </c>
      <c r="G14" s="1">
        <f t="shared" si="2"/>
        <v>118.35505253774865</v>
      </c>
      <c r="H14" s="1">
        <f t="shared" si="3"/>
        <v>2.1336000000000013</v>
      </c>
      <c r="I14"/>
      <c r="J14">
        <v>2200</v>
      </c>
      <c r="K14">
        <f t="shared" si="4"/>
        <v>1723.75</v>
      </c>
      <c r="L14">
        <f t="shared" si="5"/>
        <v>952.5</v>
      </c>
      <c r="M14" s="2">
        <v>2.8977740000000001</v>
      </c>
      <c r="N14" s="2">
        <v>4.1159999999999999E-3</v>
      </c>
      <c r="O14" s="2">
        <v>2.8977740000000001</v>
      </c>
      <c r="P14" s="2"/>
      <c r="Q14">
        <v>2.8977740000000001</v>
      </c>
      <c r="R14"/>
      <c r="S14" s="2">
        <v>90</v>
      </c>
      <c r="T14" s="2"/>
      <c r="U14" s="2">
        <v>90</v>
      </c>
      <c r="V14"/>
      <c r="W14">
        <v>90</v>
      </c>
      <c r="X14"/>
      <c r="Y14">
        <v>24.332886999999999</v>
      </c>
      <c r="Z14">
        <v>0.206599</v>
      </c>
      <c r="AB14" s="2">
        <v>4.8379719999999997</v>
      </c>
      <c r="AC14">
        <v>3.3300000000000002E-4</v>
      </c>
      <c r="AD14">
        <v>4.8379719999999997</v>
      </c>
      <c r="AE14"/>
      <c r="AF14">
        <v>4.8379719999999997</v>
      </c>
      <c r="AG14"/>
      <c r="AH14">
        <v>90</v>
      </c>
      <c r="AI14"/>
      <c r="AJ14">
        <v>90</v>
      </c>
      <c r="AK14"/>
      <c r="AL14">
        <v>90</v>
      </c>
      <c r="AM14"/>
      <c r="AN14">
        <v>113.23741800000001</v>
      </c>
      <c r="AO14">
        <v>2.7896000000000001E-2</v>
      </c>
      <c r="AQ14" s="2">
        <v>4.8085690000000003</v>
      </c>
      <c r="AR14">
        <v>1.186E-3</v>
      </c>
      <c r="AS14" s="2">
        <v>2.9271240000000001</v>
      </c>
      <c r="AT14">
        <v>4.86E-4</v>
      </c>
      <c r="AU14" s="2">
        <v>5.0227360000000001</v>
      </c>
      <c r="AV14">
        <v>5.3799999999999996E-4</v>
      </c>
      <c r="AW14">
        <v>90</v>
      </c>
      <c r="AX14"/>
      <c r="AY14">
        <v>90</v>
      </c>
      <c r="AZ14"/>
      <c r="BA14">
        <v>90</v>
      </c>
      <c r="BB14"/>
      <c r="BC14">
        <v>70.696400999999994</v>
      </c>
      <c r="BD14">
        <v>5.5209000000000001E-2</v>
      </c>
      <c r="BF14"/>
      <c r="BG14"/>
      <c r="BH14"/>
      <c r="BI14"/>
      <c r="BJ14"/>
      <c r="BK14"/>
      <c r="BL14"/>
      <c r="BM14"/>
      <c r="BN14"/>
      <c r="BO14"/>
      <c r="BP14"/>
      <c r="BQ14"/>
      <c r="BR14"/>
      <c r="BT14"/>
      <c r="BU14"/>
      <c r="BV14"/>
      <c r="BW14"/>
    </row>
    <row r="15" spans="1:75" s="5" customFormat="1" x14ac:dyDescent="0.3">
      <c r="A15">
        <v>12</v>
      </c>
      <c r="B15" s="6"/>
      <c r="C15" s="6"/>
      <c r="D15" s="6"/>
      <c r="E15" s="7">
        <f t="shared" si="0"/>
        <v>120.38587522786368</v>
      </c>
      <c r="F15" s="1">
        <f t="shared" si="1"/>
        <v>122.68747522786369</v>
      </c>
      <c r="G15" s="1">
        <f t="shared" si="2"/>
        <v>118.08427522786369</v>
      </c>
      <c r="H15" s="1">
        <f t="shared" si="3"/>
        <v>2.3016000000000005</v>
      </c>
      <c r="I15"/>
      <c r="J15">
        <v>2350</v>
      </c>
      <c r="K15">
        <f t="shared" si="4"/>
        <v>1836.25</v>
      </c>
      <c r="L15">
        <f t="shared" si="5"/>
        <v>1027.5</v>
      </c>
      <c r="M15" s="2">
        <v>2.8985829999999999</v>
      </c>
      <c r="N15" s="2">
        <v>2.7139999999999998E-3</v>
      </c>
      <c r="O15" s="2">
        <v>2.8985829999999999</v>
      </c>
      <c r="P15" s="2"/>
      <c r="Q15">
        <v>2.8985829999999999</v>
      </c>
      <c r="R15"/>
      <c r="S15" s="2">
        <v>90</v>
      </c>
      <c r="T15" s="2"/>
      <c r="U15" s="2">
        <v>90</v>
      </c>
      <c r="V15"/>
      <c r="W15">
        <v>90</v>
      </c>
      <c r="X15"/>
      <c r="Y15">
        <v>24.353259999999999</v>
      </c>
      <c r="Z15">
        <v>0.13626199999999999</v>
      </c>
      <c r="AB15" s="2">
        <v>4.8419639999999999</v>
      </c>
      <c r="AC15">
        <v>8.1899999999999996E-4</v>
      </c>
      <c r="AD15">
        <v>4.8419639999999999</v>
      </c>
      <c r="AE15"/>
      <c r="AF15">
        <v>4.8419639999999999</v>
      </c>
      <c r="AG15"/>
      <c r="AH15">
        <v>90</v>
      </c>
      <c r="AI15"/>
      <c r="AJ15">
        <v>90</v>
      </c>
      <c r="AK15"/>
      <c r="AL15">
        <v>90</v>
      </c>
      <c r="AM15"/>
      <c r="AN15">
        <v>113.51801</v>
      </c>
      <c r="AO15">
        <v>6.8707000000000004E-2</v>
      </c>
      <c r="AQ15" s="2">
        <v>4.838838</v>
      </c>
      <c r="AR15">
        <v>3.7320000000000001E-3</v>
      </c>
      <c r="AS15" s="2">
        <v>2.9131369999999999</v>
      </c>
      <c r="AT15">
        <v>3.8530000000000001E-3</v>
      </c>
      <c r="AU15" s="2">
        <v>5.0483919999999998</v>
      </c>
      <c r="AV15">
        <v>3.3050000000000002E-3</v>
      </c>
      <c r="AW15">
        <v>90</v>
      </c>
      <c r="AX15"/>
      <c r="AY15">
        <v>90</v>
      </c>
      <c r="AZ15"/>
      <c r="BA15">
        <v>90</v>
      </c>
      <c r="BB15"/>
      <c r="BC15">
        <v>71.163133000000002</v>
      </c>
      <c r="BD15">
        <v>0.26862200000000003</v>
      </c>
      <c r="BF15"/>
      <c r="BG15"/>
      <c r="BH15"/>
      <c r="BI15"/>
      <c r="BJ15"/>
      <c r="BK15"/>
      <c r="BL15"/>
      <c r="BM15"/>
      <c r="BN15"/>
      <c r="BO15"/>
      <c r="BP15"/>
      <c r="BQ15"/>
      <c r="BR15"/>
      <c r="BT15"/>
      <c r="BU15"/>
      <c r="BV15"/>
      <c r="BW15"/>
    </row>
    <row r="16" spans="1:75" s="5" customFormat="1" x14ac:dyDescent="0.3">
      <c r="A16">
        <v>13</v>
      </c>
      <c r="B16" s="6"/>
      <c r="C16" s="6"/>
      <c r="D16" s="6"/>
      <c r="E16" s="7">
        <f t="shared" si="0"/>
        <v>120.67890279076209</v>
      </c>
      <c r="F16" s="1">
        <f t="shared" si="1"/>
        <v>123.07010279076209</v>
      </c>
      <c r="G16" s="1">
        <f t="shared" si="2"/>
        <v>118.2877027907621</v>
      </c>
      <c r="H16" s="1">
        <f t="shared" si="3"/>
        <v>2.3911999999999978</v>
      </c>
      <c r="I16"/>
      <c r="J16">
        <v>2430</v>
      </c>
      <c r="K16">
        <f t="shared" si="4"/>
        <v>1896.25</v>
      </c>
      <c r="L16">
        <f t="shared" si="5"/>
        <v>1067.5</v>
      </c>
      <c r="M16" s="2">
        <v>2.8982209999999999</v>
      </c>
      <c r="N16" s="2">
        <v>2.4889999999999999E-3</v>
      </c>
      <c r="O16" s="2">
        <v>2.8982209999999999</v>
      </c>
      <c r="P16" s="2"/>
      <c r="Q16">
        <v>2.8982209999999999</v>
      </c>
      <c r="R16"/>
      <c r="S16" s="2">
        <v>90</v>
      </c>
      <c r="T16" s="2"/>
      <c r="U16" s="2">
        <v>90</v>
      </c>
      <c r="V16"/>
      <c r="W16">
        <v>90</v>
      </c>
      <c r="X16"/>
      <c r="Y16">
        <v>24.344149999999999</v>
      </c>
      <c r="Z16">
        <v>0.124961</v>
      </c>
      <c r="AB16" s="2">
        <v>4.8411679999999997</v>
      </c>
      <c r="AC16">
        <v>4.8799999999999999E-4</v>
      </c>
      <c r="AD16">
        <v>4.8411679999999997</v>
      </c>
      <c r="AE16"/>
      <c r="AF16">
        <v>4.8411679999999997</v>
      </c>
      <c r="AG16"/>
      <c r="AH16">
        <v>90</v>
      </c>
      <c r="AI16"/>
      <c r="AJ16">
        <v>90</v>
      </c>
      <c r="AK16"/>
      <c r="AL16">
        <v>90</v>
      </c>
      <c r="AM16"/>
      <c r="AN16">
        <v>113.461991</v>
      </c>
      <c r="AO16">
        <v>4.0937000000000001E-2</v>
      </c>
      <c r="AQ16" s="2">
        <v>4.8304109999999998</v>
      </c>
      <c r="AR16">
        <v>2.918E-3</v>
      </c>
      <c r="AS16" s="2">
        <v>2.9165040000000002</v>
      </c>
      <c r="AT16">
        <v>1.07E-3</v>
      </c>
      <c r="AU16" s="2">
        <v>5.0422209999999996</v>
      </c>
      <c r="AV16">
        <v>2.8149999999999998E-3</v>
      </c>
      <c r="AW16">
        <v>90</v>
      </c>
      <c r="AX16"/>
      <c r="AY16">
        <v>90</v>
      </c>
      <c r="AZ16"/>
      <c r="BA16">
        <v>90</v>
      </c>
      <c r="BB16"/>
      <c r="BC16">
        <v>71.034373000000002</v>
      </c>
      <c r="BD16">
        <v>0.162712</v>
      </c>
      <c r="BF16"/>
      <c r="BG16"/>
      <c r="BH16"/>
      <c r="BI16"/>
      <c r="BJ16"/>
      <c r="BK16"/>
      <c r="BL16"/>
      <c r="BM16"/>
      <c r="BN16"/>
      <c r="BO16"/>
      <c r="BP16"/>
      <c r="BQ16"/>
      <c r="BR16"/>
      <c r="BT16"/>
      <c r="BU16"/>
      <c r="BV16"/>
      <c r="BW16"/>
    </row>
    <row r="17" spans="1:75" s="5" customFormat="1" x14ac:dyDescent="0.3">
      <c r="A17">
        <v>14</v>
      </c>
      <c r="B17"/>
      <c r="C17"/>
      <c r="D17"/>
      <c r="E17" s="7">
        <f t="shared" si="0"/>
        <v>120.27831311033876</v>
      </c>
      <c r="F17" s="1">
        <f t="shared" si="1"/>
        <v>122.18791311033876</v>
      </c>
      <c r="G17" s="1">
        <f t="shared" si="2"/>
        <v>118.36871311033876</v>
      </c>
      <c r="H17" s="1">
        <f t="shared" si="3"/>
        <v>1.9095999999999975</v>
      </c>
      <c r="I17"/>
      <c r="J17">
        <v>2000</v>
      </c>
      <c r="K17">
        <f t="shared" si="4"/>
        <v>1573.75</v>
      </c>
      <c r="L17">
        <f t="shared" si="5"/>
        <v>852.5</v>
      </c>
      <c r="M17" s="2">
        <v>2.8974880000000001</v>
      </c>
      <c r="N17" s="2">
        <v>2.1280000000000001E-3</v>
      </c>
      <c r="O17" s="2">
        <v>2.8974880000000001</v>
      </c>
      <c r="P17" s="2"/>
      <c r="Q17">
        <v>2.8974880000000001</v>
      </c>
      <c r="R17"/>
      <c r="S17" s="2">
        <v>90</v>
      </c>
      <c r="T17" s="2"/>
      <c r="U17" s="2">
        <v>90</v>
      </c>
      <c r="V17"/>
      <c r="W17">
        <v>90</v>
      </c>
      <c r="X17"/>
      <c r="Y17">
        <v>24.325676999999999</v>
      </c>
      <c r="Z17">
        <v>0.106809</v>
      </c>
      <c r="AB17" s="2">
        <v>4.838705</v>
      </c>
      <c r="AC17">
        <v>5.1400000000000003E-4</v>
      </c>
      <c r="AD17">
        <v>4.838705</v>
      </c>
      <c r="AE17"/>
      <c r="AF17">
        <v>4.838705</v>
      </c>
      <c r="AG17"/>
      <c r="AH17">
        <v>90</v>
      </c>
      <c r="AI17"/>
      <c r="AJ17">
        <v>90</v>
      </c>
      <c r="AK17"/>
      <c r="AL17">
        <v>90</v>
      </c>
      <c r="AM17"/>
      <c r="AN17">
        <v>113.288904</v>
      </c>
      <c r="AO17">
        <v>4.3043999999999999E-2</v>
      </c>
      <c r="AQ17" s="2">
        <v>4.8058230000000002</v>
      </c>
      <c r="AR17">
        <v>5.5529999999999998E-3</v>
      </c>
      <c r="AS17" s="2">
        <v>2.929983</v>
      </c>
      <c r="AT17">
        <v>3.0019999999999999E-3</v>
      </c>
      <c r="AU17" s="2">
        <v>5.0233889999999999</v>
      </c>
      <c r="AV17">
        <v>3.2000000000000002E-3</v>
      </c>
      <c r="AW17">
        <v>90</v>
      </c>
      <c r="AX17"/>
      <c r="AY17">
        <v>90</v>
      </c>
      <c r="AZ17"/>
      <c r="BA17">
        <v>90</v>
      </c>
      <c r="BB17"/>
      <c r="BC17">
        <v>70.734233000000003</v>
      </c>
      <c r="BD17">
        <v>0.28558699999999998</v>
      </c>
      <c r="BF17"/>
      <c r="BG17"/>
      <c r="BH17"/>
      <c r="BI17"/>
      <c r="BJ17"/>
      <c r="BK17"/>
      <c r="BL17"/>
      <c r="BM17"/>
      <c r="BN17"/>
      <c r="BO17"/>
      <c r="BP17"/>
      <c r="BQ17"/>
      <c r="BR17"/>
      <c r="BT17"/>
      <c r="BU17"/>
      <c r="BV17"/>
      <c r="BW17"/>
    </row>
    <row r="18" spans="1:75" s="5" customFormat="1" x14ac:dyDescent="0.3">
      <c r="A18">
        <v>15</v>
      </c>
      <c r="B18"/>
      <c r="C18"/>
      <c r="D18"/>
      <c r="E18" s="7">
        <f t="shared" si="0"/>
        <v>120.22729830952069</v>
      </c>
      <c r="F18" s="1">
        <f t="shared" si="1"/>
        <v>122.02489830952069</v>
      </c>
      <c r="G18" s="1">
        <f t="shared" si="2"/>
        <v>118.4296983095207</v>
      </c>
      <c r="H18" s="1">
        <f t="shared" si="3"/>
        <v>1.7975999999999956</v>
      </c>
      <c r="I18"/>
      <c r="J18">
        <v>1900</v>
      </c>
      <c r="K18">
        <f t="shared" si="4"/>
        <v>1498.75</v>
      </c>
      <c r="L18">
        <f t="shared" si="5"/>
        <v>802.5</v>
      </c>
      <c r="M18" s="2">
        <v>2.8972220000000002</v>
      </c>
      <c r="N18" s="2">
        <v>2.1020000000000001E-3</v>
      </c>
      <c r="O18" s="2">
        <v>2.8972220000000002</v>
      </c>
      <c r="P18" s="2"/>
      <c r="Q18">
        <v>2.8972220000000002</v>
      </c>
      <c r="R18"/>
      <c r="S18" s="2">
        <v>90</v>
      </c>
      <c r="T18" s="2"/>
      <c r="U18" s="2">
        <v>90</v>
      </c>
      <c r="V18" s="2"/>
      <c r="W18" s="2">
        <v>90</v>
      </c>
      <c r="X18"/>
      <c r="Y18">
        <v>24.318978000000001</v>
      </c>
      <c r="Z18">
        <v>0.105474</v>
      </c>
      <c r="AB18" s="2">
        <v>4.837148</v>
      </c>
      <c r="AC18">
        <v>9.2199999999999997E-4</v>
      </c>
      <c r="AD18">
        <v>4.837148</v>
      </c>
      <c r="AE18"/>
      <c r="AF18">
        <v>4.837148</v>
      </c>
      <c r="AG18"/>
      <c r="AH18">
        <v>90</v>
      </c>
      <c r="AI18"/>
      <c r="AJ18">
        <v>90</v>
      </c>
      <c r="AK18"/>
      <c r="AL18">
        <v>90</v>
      </c>
      <c r="AM18"/>
      <c r="AN18">
        <v>113.179596</v>
      </c>
      <c r="AO18">
        <v>7.7227000000000004E-2</v>
      </c>
      <c r="AQ18" s="2">
        <v>4.8025909999999996</v>
      </c>
      <c r="AR18">
        <v>5.9680000000000002E-3</v>
      </c>
      <c r="AS18" s="2">
        <v>2.9316490000000002</v>
      </c>
      <c r="AT18">
        <v>1.9E-3</v>
      </c>
      <c r="AU18" s="2">
        <v>5.0096949999999998</v>
      </c>
      <c r="AV18">
        <v>3.6879999999999999E-3</v>
      </c>
      <c r="AW18">
        <v>90</v>
      </c>
      <c r="AX18"/>
      <c r="AY18">
        <v>90</v>
      </c>
      <c r="AZ18"/>
      <c r="BA18">
        <v>90</v>
      </c>
      <c r="BB18"/>
      <c r="BC18">
        <v>70.534049999999993</v>
      </c>
      <c r="BD18">
        <v>0.28309400000000001</v>
      </c>
      <c r="BF18"/>
      <c r="BG18"/>
      <c r="BH18"/>
      <c r="BI18"/>
      <c r="BJ18"/>
      <c r="BK18"/>
      <c r="BL18"/>
      <c r="BM18"/>
      <c r="BN18"/>
      <c r="BO18"/>
      <c r="BP18"/>
      <c r="BQ18"/>
      <c r="BR18"/>
      <c r="BT18"/>
      <c r="BU18"/>
      <c r="BV18"/>
      <c r="BW18"/>
    </row>
    <row r="19" spans="1:75" s="5" customFormat="1" x14ac:dyDescent="0.3">
      <c r="A19">
        <v>16</v>
      </c>
      <c r="B19"/>
      <c r="C19"/>
      <c r="D19"/>
      <c r="E19" s="7">
        <f t="shared" si="0"/>
        <v>120.17286844551229</v>
      </c>
      <c r="F19" s="1">
        <f t="shared" si="1"/>
        <v>121.85846844551229</v>
      </c>
      <c r="G19" s="1">
        <f t="shared" si="2"/>
        <v>118.48726844551229</v>
      </c>
      <c r="H19" s="1">
        <f t="shared" si="3"/>
        <v>1.6856000000000009</v>
      </c>
      <c r="I19"/>
      <c r="J19">
        <v>1800</v>
      </c>
      <c r="K19">
        <f t="shared" si="4"/>
        <v>1423.75</v>
      </c>
      <c r="L19">
        <f t="shared" si="5"/>
        <v>752.5</v>
      </c>
      <c r="M19" s="2">
        <v>2.8969640000000001</v>
      </c>
      <c r="N19" s="2">
        <v>2.0409999999999998E-3</v>
      </c>
      <c r="O19" s="2">
        <v>2.8969640000000001</v>
      </c>
      <c r="P19" s="2"/>
      <c r="Q19">
        <v>2.8969640000000001</v>
      </c>
      <c r="R19"/>
      <c r="S19" s="2">
        <v>90</v>
      </c>
      <c r="T19" s="2"/>
      <c r="U19" s="2">
        <v>90</v>
      </c>
      <c r="V19" s="2"/>
      <c r="W19" s="2">
        <v>90</v>
      </c>
      <c r="X19"/>
      <c r="Y19">
        <v>24.312491999999999</v>
      </c>
      <c r="Z19">
        <v>0.10241400000000001</v>
      </c>
      <c r="AB19" s="2">
        <v>4.837834</v>
      </c>
      <c r="AC19">
        <v>1.371E-3</v>
      </c>
      <c r="AD19">
        <v>4.837834</v>
      </c>
      <c r="AE19"/>
      <c r="AF19">
        <v>4.837834</v>
      </c>
      <c r="AG19"/>
      <c r="AH19">
        <v>90</v>
      </c>
      <c r="AI19"/>
      <c r="AJ19">
        <v>90</v>
      </c>
      <c r="AK19"/>
      <c r="AL19">
        <v>90</v>
      </c>
      <c r="AM19"/>
      <c r="AN19">
        <v>113.227763</v>
      </c>
      <c r="AO19">
        <v>0.114888</v>
      </c>
      <c r="AQ19" s="2">
        <v>4.79366</v>
      </c>
      <c r="AR19">
        <v>6.2700000000000004E-3</v>
      </c>
      <c r="AS19" s="2">
        <v>2.937446</v>
      </c>
      <c r="AT19">
        <v>3.3860000000000001E-3</v>
      </c>
      <c r="AU19" s="2">
        <v>5.0073040000000004</v>
      </c>
      <c r="AV19">
        <v>3.2490000000000002E-3</v>
      </c>
      <c r="AW19">
        <v>90</v>
      </c>
      <c r="AX19"/>
      <c r="AY19">
        <v>90</v>
      </c>
      <c r="AZ19"/>
      <c r="BA19">
        <v>90</v>
      </c>
      <c r="BB19"/>
      <c r="BC19">
        <v>70.508439999999993</v>
      </c>
      <c r="BD19">
        <v>0.31657099999999999</v>
      </c>
      <c r="BF19"/>
      <c r="BG19"/>
      <c r="BH19"/>
      <c r="BI19"/>
      <c r="BJ19"/>
      <c r="BK19"/>
      <c r="BL19"/>
      <c r="BM19"/>
      <c r="BN19"/>
      <c r="BO19"/>
      <c r="BP19"/>
      <c r="BQ19"/>
      <c r="BR19"/>
      <c r="BT19"/>
      <c r="BU19"/>
      <c r="BV19"/>
      <c r="BW19"/>
    </row>
    <row r="20" spans="1:75" s="5" customFormat="1" x14ac:dyDescent="0.3">
      <c r="A20">
        <v>17</v>
      </c>
      <c r="B20"/>
      <c r="C20"/>
      <c r="D20"/>
      <c r="E20" s="7">
        <f t="shared" si="0"/>
        <v>120.33426800323842</v>
      </c>
      <c r="F20" s="1">
        <f t="shared" si="1"/>
        <v>121.90786800323842</v>
      </c>
      <c r="G20" s="1">
        <f t="shared" si="2"/>
        <v>118.76066800323842</v>
      </c>
      <c r="H20" s="1">
        <f t="shared" si="3"/>
        <v>1.573599999999999</v>
      </c>
      <c r="I20"/>
      <c r="J20">
        <v>1700</v>
      </c>
      <c r="K20">
        <f t="shared" si="4"/>
        <v>1348.75</v>
      </c>
      <c r="L20">
        <f t="shared" si="5"/>
        <v>702.5</v>
      </c>
      <c r="M20" s="2">
        <v>2.896217</v>
      </c>
      <c r="N20" s="2">
        <v>2.313E-3</v>
      </c>
      <c r="O20" s="2">
        <v>2.896217</v>
      </c>
      <c r="P20" s="2"/>
      <c r="Q20">
        <v>2.896217</v>
      </c>
      <c r="R20"/>
      <c r="S20" s="2">
        <v>90</v>
      </c>
      <c r="T20" s="2"/>
      <c r="U20" s="2">
        <v>90</v>
      </c>
      <c r="V20" s="2"/>
      <c r="W20" s="4">
        <v>90</v>
      </c>
      <c r="X20"/>
      <c r="Y20">
        <v>24.293672000000001</v>
      </c>
      <c r="Z20">
        <v>0.11602800000000001</v>
      </c>
      <c r="AB20" s="2">
        <v>4.836989</v>
      </c>
      <c r="AC20">
        <v>1.92E-3</v>
      </c>
      <c r="AD20">
        <v>4.836989</v>
      </c>
      <c r="AE20"/>
      <c r="AF20">
        <v>4.836989</v>
      </c>
      <c r="AG20"/>
      <c r="AH20">
        <v>90</v>
      </c>
      <c r="AI20"/>
      <c r="AJ20">
        <v>90</v>
      </c>
      <c r="AK20"/>
      <c r="AL20">
        <v>90</v>
      </c>
      <c r="AM20"/>
      <c r="AN20">
        <v>113.168412</v>
      </c>
      <c r="AO20">
        <v>0.160855</v>
      </c>
      <c r="AQ20" s="2">
        <v>4.7903070000000003</v>
      </c>
      <c r="AR20">
        <v>5.3480000000000003E-3</v>
      </c>
      <c r="AS20" s="2">
        <v>2.9391699999999998</v>
      </c>
      <c r="AT20">
        <v>2.8990000000000001E-3</v>
      </c>
      <c r="AU20" s="2">
        <v>5.0047269999999999</v>
      </c>
      <c r="AV20">
        <v>2.7750000000000001E-3</v>
      </c>
      <c r="AW20">
        <v>90</v>
      </c>
      <c r="AX20"/>
      <c r="AY20">
        <v>90</v>
      </c>
      <c r="AZ20"/>
      <c r="BA20">
        <v>90</v>
      </c>
      <c r="BB20"/>
      <c r="BC20">
        <v>70.464202</v>
      </c>
      <c r="BD20">
        <v>0.270314</v>
      </c>
      <c r="BF20"/>
      <c r="BG20"/>
      <c r="BH20"/>
      <c r="BI20"/>
      <c r="BJ20"/>
      <c r="BK20"/>
      <c r="BL20"/>
      <c r="BM20"/>
      <c r="BN20"/>
      <c r="BO20"/>
      <c r="BP20"/>
      <c r="BQ20"/>
      <c r="BR20"/>
      <c r="BT20"/>
      <c r="BU20"/>
      <c r="BV20"/>
      <c r="BW20"/>
    </row>
    <row r="21" spans="1:75" s="5" customFormat="1" x14ac:dyDescent="0.3">
      <c r="A21">
        <v>18</v>
      </c>
      <c r="B21"/>
      <c r="C21"/>
      <c r="D21"/>
      <c r="E21" s="7">
        <f t="shared" si="0"/>
        <v>120.32134143333759</v>
      </c>
      <c r="F21" s="1">
        <f t="shared" si="1"/>
        <v>121.78294143333758</v>
      </c>
      <c r="G21" s="1">
        <f t="shared" si="2"/>
        <v>118.85974143333759</v>
      </c>
      <c r="H21" s="1">
        <f t="shared" si="3"/>
        <v>1.4615999999999971</v>
      </c>
      <c r="I21"/>
      <c r="J21">
        <v>1600</v>
      </c>
      <c r="K21">
        <f t="shared" si="4"/>
        <v>1273.75</v>
      </c>
      <c r="L21">
        <f t="shared" si="5"/>
        <v>652.5</v>
      </c>
      <c r="M21" s="2">
        <v>2.8958659999999998</v>
      </c>
      <c r="N21" s="2">
        <v>2.248E-3</v>
      </c>
      <c r="O21" s="2">
        <v>2.8958659999999998</v>
      </c>
      <c r="P21" s="2"/>
      <c r="Q21">
        <v>2.8958659999999998</v>
      </c>
      <c r="R21"/>
      <c r="S21" s="2">
        <v>90</v>
      </c>
      <c r="T21" s="2"/>
      <c r="U21" s="2">
        <v>90</v>
      </c>
      <c r="V21" s="2"/>
      <c r="W21" s="2">
        <v>90</v>
      </c>
      <c r="X21"/>
      <c r="Y21">
        <v>24.284846999999999</v>
      </c>
      <c r="Z21">
        <v>0.112738</v>
      </c>
      <c r="AB21" s="2">
        <v>4.8367449999999996</v>
      </c>
      <c r="AC21">
        <v>2.372E-3</v>
      </c>
      <c r="AD21">
        <v>4.8367449999999996</v>
      </c>
      <c r="AE21"/>
      <c r="AF21">
        <v>4.8367449999999996</v>
      </c>
      <c r="AG21"/>
      <c r="AH21">
        <v>90</v>
      </c>
      <c r="AI21"/>
      <c r="AJ21">
        <v>90</v>
      </c>
      <c r="AK21"/>
      <c r="AL21">
        <v>90</v>
      </c>
      <c r="AM21"/>
      <c r="AN21">
        <v>113.151297</v>
      </c>
      <c r="AO21">
        <v>0.19875399999999999</v>
      </c>
      <c r="AQ21" s="2">
        <v>4.7884349999999998</v>
      </c>
      <c r="AR21">
        <v>4.8260000000000004E-3</v>
      </c>
      <c r="AS21" s="2">
        <v>2.9406690000000002</v>
      </c>
      <c r="AT21">
        <v>2.6229999999999999E-3</v>
      </c>
      <c r="AU21" s="2">
        <v>5.0016449999999999</v>
      </c>
      <c r="AV21">
        <v>2.503E-3</v>
      </c>
      <c r="AW21">
        <v>90</v>
      </c>
      <c r="AX21"/>
      <c r="AY21">
        <v>90</v>
      </c>
      <c r="AZ21"/>
      <c r="BA21">
        <v>90</v>
      </c>
      <c r="BB21"/>
      <c r="BC21">
        <v>70.429159999999996</v>
      </c>
      <c r="BD21">
        <v>0.24404200000000001</v>
      </c>
      <c r="BF21"/>
      <c r="BG21"/>
      <c r="BH21"/>
      <c r="BI21"/>
      <c r="BJ21"/>
      <c r="BK21"/>
      <c r="BL21"/>
      <c r="BM21"/>
      <c r="BN21"/>
      <c r="BO21"/>
      <c r="BP21"/>
      <c r="BQ21"/>
      <c r="BR21"/>
      <c r="BT21"/>
      <c r="BU21"/>
      <c r="BV21"/>
      <c r="BW21"/>
    </row>
    <row r="22" spans="1:75" s="5" customFormat="1" x14ac:dyDescent="0.3">
      <c r="A22">
        <v>19</v>
      </c>
      <c r="B22"/>
      <c r="C22"/>
      <c r="D22"/>
      <c r="E22" s="7">
        <f t="shared" si="0"/>
        <v>120.25839345429847</v>
      </c>
      <c r="F22" s="1">
        <f t="shared" si="1"/>
        <v>121.49599345429847</v>
      </c>
      <c r="G22" s="1">
        <f t="shared" si="2"/>
        <v>119.02079345429847</v>
      </c>
      <c r="H22" s="1">
        <f t="shared" si="3"/>
        <v>1.2376000000000005</v>
      </c>
      <c r="I22"/>
      <c r="J22">
        <v>1400</v>
      </c>
      <c r="K22">
        <f t="shared" si="4"/>
        <v>1123.75</v>
      </c>
      <c r="L22">
        <f t="shared" si="5"/>
        <v>552.5</v>
      </c>
      <c r="M22" s="2">
        <v>2.8952490000000002</v>
      </c>
      <c r="N22" s="2">
        <v>2.3389999999999999E-3</v>
      </c>
      <c r="O22" s="2">
        <v>2.8952490000000002</v>
      </c>
      <c r="P22" s="2"/>
      <c r="Q22">
        <v>2.8952490000000002</v>
      </c>
      <c r="R22"/>
      <c r="S22" s="2">
        <v>90</v>
      </c>
      <c r="T22" s="2"/>
      <c r="U22" s="2">
        <v>90</v>
      </c>
      <c r="V22"/>
      <c r="W22">
        <v>90</v>
      </c>
      <c r="X22"/>
      <c r="Y22">
        <v>24.269328000000002</v>
      </c>
      <c r="Z22">
        <v>0.117271</v>
      </c>
      <c r="AB22" s="2">
        <v>4.8345690000000001</v>
      </c>
      <c r="AC22">
        <v>3.97E-4</v>
      </c>
      <c r="AD22">
        <v>4.8345690000000001</v>
      </c>
      <c r="AE22"/>
      <c r="AF22">
        <v>4.8345690000000001</v>
      </c>
      <c r="AG22"/>
      <c r="AH22">
        <v>90</v>
      </c>
      <c r="AI22"/>
      <c r="AJ22">
        <v>90</v>
      </c>
      <c r="AK22"/>
      <c r="AL22">
        <v>90</v>
      </c>
      <c r="AM22"/>
      <c r="AN22">
        <v>112.99866900000001</v>
      </c>
      <c r="AO22">
        <v>3.3272000000000003E-2</v>
      </c>
      <c r="AQ22" s="2">
        <v>4.7838430000000001</v>
      </c>
      <c r="AR22">
        <v>4.8679999999999999E-3</v>
      </c>
      <c r="AS22" s="2">
        <v>2.9443069999999998</v>
      </c>
      <c r="AT22">
        <v>2.663E-3</v>
      </c>
      <c r="AU22" s="2">
        <v>4.9929240000000004</v>
      </c>
      <c r="AV22">
        <v>2.5219999999999999E-3</v>
      </c>
      <c r="AW22">
        <v>90</v>
      </c>
      <c r="AX22"/>
      <c r="AY22">
        <v>90</v>
      </c>
      <c r="AZ22"/>
      <c r="BA22">
        <v>90</v>
      </c>
      <c r="BB22"/>
      <c r="BC22">
        <v>70.325844000000004</v>
      </c>
      <c r="BD22">
        <v>0.24646999999999999</v>
      </c>
      <c r="BF22"/>
      <c r="BG22"/>
      <c r="BH22"/>
      <c r="BI22"/>
      <c r="BJ22"/>
      <c r="BK22"/>
      <c r="BL22"/>
      <c r="BM22"/>
      <c r="BN22"/>
      <c r="BO22"/>
      <c r="BP22"/>
      <c r="BQ22"/>
      <c r="BR22"/>
      <c r="BT22"/>
      <c r="BU22"/>
      <c r="BV22"/>
      <c r="BW22"/>
    </row>
    <row r="23" spans="1:75" s="5" customFormat="1" x14ac:dyDescent="0.3">
      <c r="A23">
        <v>20</v>
      </c>
      <c r="B23" t="s">
        <v>74</v>
      </c>
      <c r="C23"/>
      <c r="D23"/>
      <c r="E23" s="7">
        <f t="shared" si="0"/>
        <v>119.51517260746211</v>
      </c>
      <c r="F23" s="1">
        <f t="shared" si="1"/>
        <v>119.52077260746209</v>
      </c>
      <c r="G23" s="1">
        <f t="shared" si="2"/>
        <v>119.5095726074621</v>
      </c>
      <c r="H23" s="1">
        <f t="shared" si="3"/>
        <v>5.5999999999940542E-3</v>
      </c>
      <c r="I23"/>
      <c r="J23">
        <v>300</v>
      </c>
      <c r="K23">
        <f t="shared" si="4"/>
        <v>298.75</v>
      </c>
      <c r="L23">
        <f t="shared" si="5"/>
        <v>2.5</v>
      </c>
      <c r="M23" s="2">
        <v>2.8927659999999999</v>
      </c>
      <c r="N23" s="2">
        <v>2.6250000000000002E-3</v>
      </c>
      <c r="O23" s="2">
        <v>2.8927659999999999</v>
      </c>
      <c r="P23" s="2"/>
      <c r="Q23">
        <v>2.8927659999999999</v>
      </c>
      <c r="R23"/>
      <c r="S23" s="2">
        <v>90</v>
      </c>
      <c r="T23" s="2"/>
      <c r="U23" s="2">
        <v>90</v>
      </c>
      <c r="V23"/>
      <c r="W23">
        <v>90</v>
      </c>
      <c r="X23"/>
      <c r="Y23">
        <v>24.206949000000002</v>
      </c>
      <c r="Z23">
        <v>0.13150100000000001</v>
      </c>
      <c r="AB23" s="2">
        <v>4.831124</v>
      </c>
      <c r="AC23">
        <v>1.8400000000000001E-3</v>
      </c>
      <c r="AD23">
        <v>4.831124</v>
      </c>
      <c r="AE23"/>
      <c r="AF23">
        <v>4.831124</v>
      </c>
      <c r="AG23"/>
      <c r="AH23">
        <v>90</v>
      </c>
      <c r="AI23"/>
      <c r="AJ23">
        <v>90</v>
      </c>
      <c r="AK23"/>
      <c r="AL23">
        <v>90</v>
      </c>
      <c r="AM23"/>
      <c r="AN23">
        <v>112.75726899999999</v>
      </c>
      <c r="AO23">
        <v>0.15398899999999999</v>
      </c>
      <c r="AQ23" s="2">
        <v>4.760084</v>
      </c>
      <c r="AR23">
        <v>4.8390000000000004E-3</v>
      </c>
      <c r="AS23" s="2">
        <v>2.9674369999999999</v>
      </c>
      <c r="AT23">
        <v>2.7499999999999998E-3</v>
      </c>
      <c r="AU23" s="2">
        <v>4.9373509999999996</v>
      </c>
      <c r="AV23">
        <v>2.483E-3</v>
      </c>
      <c r="AW23">
        <v>90</v>
      </c>
      <c r="AX23"/>
      <c r="AY23">
        <v>90</v>
      </c>
      <c r="AZ23"/>
      <c r="BA23">
        <v>90</v>
      </c>
      <c r="BB23"/>
      <c r="BC23">
        <v>69.741321999999997</v>
      </c>
      <c r="BD23">
        <v>0.246532</v>
      </c>
      <c r="BF23"/>
      <c r="BG23"/>
      <c r="BH23"/>
      <c r="BI23"/>
      <c r="BJ23"/>
      <c r="BK23"/>
      <c r="BL23"/>
      <c r="BM23"/>
      <c r="BN23"/>
      <c r="BO23"/>
      <c r="BP23"/>
      <c r="BQ23"/>
      <c r="BR23"/>
      <c r="BT23"/>
      <c r="BU23"/>
      <c r="BV23"/>
      <c r="BW23"/>
    </row>
    <row r="24" spans="1:75" s="5" customFormat="1" x14ac:dyDescent="0.3">
      <c r="A24">
        <v>21</v>
      </c>
      <c r="B24"/>
      <c r="C24"/>
      <c r="D24"/>
      <c r="E24" s="7">
        <f t="shared" si="0"/>
        <v>119.63498621615256</v>
      </c>
      <c r="F24" s="1">
        <f t="shared" si="1"/>
        <v>119.64058621615254</v>
      </c>
      <c r="G24" s="1">
        <f t="shared" si="2"/>
        <v>119.62938621615255</v>
      </c>
      <c r="H24" s="1">
        <f t="shared" si="3"/>
        <v>5.5999999999940542E-3</v>
      </c>
      <c r="I24"/>
      <c r="J24">
        <v>300</v>
      </c>
      <c r="K24">
        <f t="shared" si="4"/>
        <v>298.75</v>
      </c>
      <c r="L24">
        <f t="shared" si="5"/>
        <v>2.5</v>
      </c>
      <c r="M24" s="2">
        <v>2.8924979999999998</v>
      </c>
      <c r="N24" s="2">
        <v>1.745E-3</v>
      </c>
      <c r="O24" s="2">
        <v>2.8924979999999998</v>
      </c>
      <c r="P24" s="2"/>
      <c r="Q24">
        <v>2.8924979999999998</v>
      </c>
      <c r="R24"/>
      <c r="S24" s="2">
        <v>90</v>
      </c>
      <c r="T24" s="2"/>
      <c r="U24" s="2">
        <v>90</v>
      </c>
      <c r="V24"/>
      <c r="W24">
        <v>90</v>
      </c>
      <c r="X24"/>
      <c r="Y24">
        <v>24.200212000000001</v>
      </c>
      <c r="Z24">
        <v>8.7414000000000006E-2</v>
      </c>
      <c r="AB24" s="2"/>
      <c r="AC24"/>
      <c r="AD24"/>
      <c r="AE24"/>
      <c r="AF24"/>
      <c r="AG24"/>
      <c r="AH24"/>
      <c r="AI24"/>
      <c r="AJ24"/>
      <c r="AK24"/>
      <c r="AL24"/>
      <c r="AM24"/>
      <c r="AN24"/>
      <c r="AO24"/>
      <c r="AQ24" s="2"/>
      <c r="AR24"/>
      <c r="AS24" s="2"/>
      <c r="AT24"/>
      <c r="AU24" s="2"/>
      <c r="AV24"/>
      <c r="AW24"/>
      <c r="AX24"/>
      <c r="AY24"/>
      <c r="AZ24"/>
      <c r="BA24"/>
      <c r="BB24"/>
      <c r="BC24"/>
      <c r="BD24"/>
      <c r="BF24"/>
      <c r="BG24"/>
      <c r="BH24"/>
      <c r="BI24"/>
      <c r="BJ24"/>
      <c r="BK24"/>
      <c r="BL24"/>
      <c r="BM24"/>
      <c r="BN24"/>
      <c r="BO24"/>
      <c r="BP24"/>
      <c r="BQ24"/>
      <c r="BR24"/>
      <c r="BT24"/>
      <c r="BU24"/>
      <c r="BV24"/>
      <c r="BW24"/>
    </row>
    <row r="25" spans="1:75" s="5" customFormat="1" x14ac:dyDescent="0.3">
      <c r="A25">
        <v>22</v>
      </c>
      <c r="B25"/>
      <c r="C25"/>
      <c r="D25">
        <v>70</v>
      </c>
      <c r="E25" s="7">
        <f t="shared" si="0"/>
        <v>124.72308704731846</v>
      </c>
      <c r="F25" s="1">
        <f t="shared" si="1"/>
        <v>124.72868704731845</v>
      </c>
      <c r="G25" s="1">
        <f t="shared" si="2"/>
        <v>124.71748704731846</v>
      </c>
      <c r="H25" s="1">
        <f t="shared" si="3"/>
        <v>5.5999999999940542E-3</v>
      </c>
      <c r="I25"/>
      <c r="J25">
        <v>300</v>
      </c>
      <c r="K25">
        <f t="shared" si="4"/>
        <v>298.75</v>
      </c>
      <c r="L25">
        <f t="shared" si="5"/>
        <v>2.5</v>
      </c>
      <c r="M25" s="2">
        <v>2.8813409999999999</v>
      </c>
      <c r="N25" s="2">
        <v>2.3640000000000002E-3</v>
      </c>
      <c r="O25" s="2">
        <v>2.8813409999999999</v>
      </c>
      <c r="P25" s="2"/>
      <c r="Q25">
        <v>2.8813409999999999</v>
      </c>
      <c r="R25"/>
      <c r="S25" s="2">
        <v>90</v>
      </c>
      <c r="T25" s="2"/>
      <c r="U25" s="2">
        <v>90</v>
      </c>
      <c r="V25"/>
      <c r="W25">
        <v>90</v>
      </c>
      <c r="X25"/>
      <c r="Y25">
        <v>23.921261000000001</v>
      </c>
      <c r="Z25">
        <v>0.117964</v>
      </c>
      <c r="AB25" s="2"/>
      <c r="AC25"/>
      <c r="AD25"/>
      <c r="AE25"/>
      <c r="AF25"/>
      <c r="AG25"/>
      <c r="AH25"/>
      <c r="AI25"/>
      <c r="AJ25"/>
      <c r="AK25"/>
      <c r="AL25"/>
      <c r="AM25"/>
      <c r="AN25"/>
      <c r="AO25"/>
      <c r="AQ25" s="2"/>
      <c r="AR25"/>
      <c r="AS25" s="2"/>
      <c r="AT25"/>
      <c r="AU25" s="2"/>
      <c r="AV25"/>
      <c r="AW25"/>
      <c r="AX25"/>
      <c r="AY25"/>
      <c r="AZ25"/>
      <c r="BA25"/>
      <c r="BB25"/>
      <c r="BC25"/>
      <c r="BD25"/>
      <c r="BF25"/>
      <c r="BG25"/>
      <c r="BH25"/>
      <c r="BI25"/>
      <c r="BJ25"/>
      <c r="BK25"/>
      <c r="BL25"/>
      <c r="BM25"/>
      <c r="BN25"/>
      <c r="BO25"/>
      <c r="BP25"/>
      <c r="BQ25"/>
      <c r="BR25"/>
      <c r="BT25"/>
      <c r="BU25"/>
      <c r="BV25"/>
      <c r="BW25"/>
    </row>
    <row r="26" spans="1:75" s="5" customFormat="1" x14ac:dyDescent="0.3">
      <c r="A26">
        <v>23</v>
      </c>
      <c r="B26"/>
      <c r="C26"/>
      <c r="D26"/>
      <c r="E26" s="7">
        <f t="shared" si="0"/>
        <v>125.03215547634252</v>
      </c>
      <c r="F26" s="1">
        <f t="shared" si="1"/>
        <v>125.03775547634251</v>
      </c>
      <c r="G26" s="1">
        <f t="shared" si="2"/>
        <v>125.02655547634252</v>
      </c>
      <c r="H26" s="1">
        <f t="shared" si="3"/>
        <v>5.5999999999940542E-3</v>
      </c>
      <c r="I26"/>
      <c r="J26">
        <v>300</v>
      </c>
      <c r="K26">
        <f t="shared" si="4"/>
        <v>298.75</v>
      </c>
      <c r="L26">
        <f t="shared" si="5"/>
        <v>2.5</v>
      </c>
      <c r="M26" s="2">
        <v>2.8806769999999999</v>
      </c>
      <c r="N26" s="2">
        <v>2.4559999999999998E-3</v>
      </c>
      <c r="O26" s="2">
        <v>2.8806769999999999</v>
      </c>
      <c r="P26" s="2"/>
      <c r="Q26">
        <v>2.8806769999999999</v>
      </c>
      <c r="R26"/>
      <c r="S26" s="2">
        <v>90</v>
      </c>
      <c r="T26" s="2"/>
      <c r="U26" s="2">
        <v>90</v>
      </c>
      <c r="V26"/>
      <c r="W26">
        <v>90</v>
      </c>
      <c r="X26"/>
      <c r="Y26">
        <v>23.904720999999999</v>
      </c>
      <c r="Z26">
        <v>0.12253699999999999</v>
      </c>
      <c r="AB26" s="2"/>
      <c r="AC26"/>
      <c r="AD26"/>
      <c r="AE26"/>
      <c r="AF26"/>
      <c r="AG26"/>
      <c r="AH26"/>
      <c r="AI26"/>
      <c r="AJ26"/>
      <c r="AK26"/>
      <c r="AL26"/>
      <c r="AM26"/>
      <c r="AN26"/>
      <c r="AO26"/>
      <c r="AQ26" s="2"/>
      <c r="AR26"/>
      <c r="AS26" s="2"/>
      <c r="AT26"/>
      <c r="AU26" s="2"/>
      <c r="AV26"/>
      <c r="AW26"/>
      <c r="AX26"/>
      <c r="AY26"/>
      <c r="AZ26"/>
      <c r="BA26"/>
      <c r="BB26"/>
      <c r="BC26"/>
      <c r="BD26"/>
      <c r="BF26"/>
      <c r="BG26"/>
      <c r="BH26"/>
      <c r="BI26"/>
      <c r="BJ26"/>
      <c r="BK26"/>
      <c r="BL26"/>
      <c r="BM26"/>
      <c r="BN26"/>
      <c r="BO26"/>
      <c r="BP26"/>
      <c r="BQ26"/>
      <c r="BR26"/>
      <c r="BT26"/>
      <c r="BU26"/>
      <c r="BV26"/>
      <c r="BW26"/>
    </row>
    <row r="27" spans="1:75" s="5" customFormat="1" x14ac:dyDescent="0.3">
      <c r="A27">
        <v>24</v>
      </c>
      <c r="B27"/>
      <c r="C27"/>
      <c r="D27"/>
      <c r="E27" s="7">
        <f t="shared" si="0"/>
        <v>126.59422035609747</v>
      </c>
      <c r="F27" s="1">
        <f t="shared" si="1"/>
        <v>127.80942035609746</v>
      </c>
      <c r="G27" s="1">
        <f t="shared" si="2"/>
        <v>125.37902035609747</v>
      </c>
      <c r="H27" s="1">
        <f t="shared" si="3"/>
        <v>1.2151999999999958</v>
      </c>
      <c r="I27"/>
      <c r="J27">
        <v>1380</v>
      </c>
      <c r="K27">
        <f t="shared" si="4"/>
        <v>1108.75</v>
      </c>
      <c r="L27">
        <f t="shared" si="5"/>
        <v>542.5</v>
      </c>
      <c r="M27" s="2">
        <v>2.8812190000000002</v>
      </c>
      <c r="N27" s="2">
        <v>1.227E-3</v>
      </c>
      <c r="O27" s="2">
        <v>2.8812190000000002</v>
      </c>
      <c r="P27" s="2"/>
      <c r="Q27">
        <v>2.8812190000000002</v>
      </c>
      <c r="R27"/>
      <c r="S27" s="2">
        <v>90</v>
      </c>
      <c r="T27" s="2"/>
      <c r="U27" s="2">
        <v>90</v>
      </c>
      <c r="V27"/>
      <c r="W27">
        <v>90</v>
      </c>
      <c r="X27"/>
      <c r="Y27">
        <v>23.918206000000001</v>
      </c>
      <c r="Z27">
        <v>6.1244E-2</v>
      </c>
      <c r="AB27" s="2"/>
      <c r="AC27"/>
      <c r="AD27"/>
      <c r="AE27"/>
      <c r="AF27"/>
      <c r="AG27"/>
      <c r="AH27"/>
      <c r="AI27"/>
      <c r="AJ27"/>
      <c r="AK27"/>
      <c r="AL27"/>
      <c r="AM27"/>
      <c r="AN27"/>
      <c r="AO27"/>
      <c r="AQ27" s="2"/>
      <c r="AR27"/>
      <c r="AS27" s="2"/>
      <c r="AT27"/>
      <c r="AU27" s="2"/>
      <c r="AV27"/>
      <c r="AW27"/>
      <c r="AX27"/>
      <c r="AY27"/>
      <c r="AZ27"/>
      <c r="BA27"/>
      <c r="BB27"/>
      <c r="BC27"/>
      <c r="BD27"/>
      <c r="BF27"/>
      <c r="BG27"/>
      <c r="BH27"/>
      <c r="BI27"/>
      <c r="BJ27"/>
      <c r="BK27"/>
      <c r="BL27"/>
      <c r="BM27"/>
      <c r="BN27"/>
      <c r="BO27"/>
      <c r="BP27"/>
      <c r="BQ27"/>
      <c r="BR27"/>
      <c r="BT27"/>
      <c r="BU27"/>
      <c r="BV27"/>
      <c r="BW27"/>
    </row>
    <row r="28" spans="1:75" s="5" customFormat="1" x14ac:dyDescent="0.3">
      <c r="A28">
        <v>25</v>
      </c>
      <c r="B28"/>
      <c r="C28"/>
      <c r="D28"/>
      <c r="E28" s="7">
        <f t="shared" si="0"/>
        <v>129.40783120719701</v>
      </c>
      <c r="F28" s="1">
        <f t="shared" si="1"/>
        <v>130.72383120719701</v>
      </c>
      <c r="G28" s="1">
        <f t="shared" si="2"/>
        <v>128.091831207197</v>
      </c>
      <c r="H28" s="1">
        <f t="shared" si="3"/>
        <v>1.3160000000000025</v>
      </c>
      <c r="I28"/>
      <c r="J28">
        <v>1470</v>
      </c>
      <c r="K28">
        <f t="shared" si="4"/>
        <v>1176.25</v>
      </c>
      <c r="L28">
        <f t="shared" si="5"/>
        <v>587.5</v>
      </c>
      <c r="M28" s="2">
        <v>2.8755510000000002</v>
      </c>
      <c r="N28" s="2">
        <v>2.3699999999999999E-4</v>
      </c>
      <c r="O28" s="2">
        <v>2.8755510000000002</v>
      </c>
      <c r="P28" s="2"/>
      <c r="Q28">
        <v>2.8755510000000002</v>
      </c>
      <c r="R28"/>
      <c r="S28" s="2">
        <v>90</v>
      </c>
      <c r="T28" s="2"/>
      <c r="U28" s="2">
        <v>90</v>
      </c>
      <c r="V28"/>
      <c r="W28">
        <v>90</v>
      </c>
      <c r="X28"/>
      <c r="Y28">
        <v>23.777346000000001</v>
      </c>
      <c r="Z28">
        <v>1.1794000000000001E-2</v>
      </c>
      <c r="AB28" s="2"/>
      <c r="AC28"/>
      <c r="AD28"/>
      <c r="AE28"/>
      <c r="AF28"/>
      <c r="AG28"/>
      <c r="AH28"/>
      <c r="AI28"/>
      <c r="AJ28"/>
      <c r="AK28"/>
      <c r="AL28"/>
      <c r="AM28"/>
      <c r="AN28"/>
      <c r="AO28"/>
      <c r="AQ28" s="2"/>
      <c r="AR28"/>
      <c r="AS28" s="2"/>
      <c r="AT28"/>
      <c r="AU28" s="2"/>
      <c r="AV28"/>
      <c r="AW28"/>
      <c r="AX28"/>
      <c r="AY28"/>
      <c r="AZ28"/>
      <c r="BA28"/>
      <c r="BB28"/>
      <c r="BC28"/>
      <c r="BD28"/>
      <c r="BF28"/>
      <c r="BG28"/>
      <c r="BH28"/>
      <c r="BI28"/>
      <c r="BJ28"/>
      <c r="BK28"/>
      <c r="BL28"/>
      <c r="BM28"/>
      <c r="BN28"/>
      <c r="BO28"/>
      <c r="BP28"/>
      <c r="BQ28"/>
      <c r="BR28"/>
      <c r="BT28"/>
      <c r="BU28"/>
      <c r="BV28"/>
      <c r="BW28"/>
    </row>
    <row r="29" spans="1:75" s="5" customFormat="1" x14ac:dyDescent="0.3">
      <c r="A29">
        <v>26</v>
      </c>
      <c r="B29" t="s">
        <v>75</v>
      </c>
      <c r="C29"/>
      <c r="D29"/>
      <c r="E29" s="7">
        <f t="shared" si="0"/>
        <v>127.44223120719701</v>
      </c>
      <c r="F29" s="1">
        <f t="shared" si="1"/>
        <v>127.447831207197</v>
      </c>
      <c r="G29" s="1">
        <f t="shared" si="2"/>
        <v>127.43663120719701</v>
      </c>
      <c r="H29" s="1">
        <f t="shared" si="3"/>
        <v>5.5999999999940542E-3</v>
      </c>
      <c r="I29"/>
      <c r="J29">
        <v>300</v>
      </c>
      <c r="K29">
        <f t="shared" si="4"/>
        <v>298.75</v>
      </c>
      <c r="L29">
        <f t="shared" si="5"/>
        <v>2.5</v>
      </c>
      <c r="M29" s="2">
        <v>2.8755510000000002</v>
      </c>
      <c r="N29" s="2">
        <v>2.3699999999999999E-4</v>
      </c>
      <c r="O29" s="2">
        <v>2.8755510000000002</v>
      </c>
      <c r="P29" s="2"/>
      <c r="Q29">
        <v>2.8755510000000002</v>
      </c>
      <c r="R29"/>
      <c r="S29" s="2">
        <v>90</v>
      </c>
      <c r="T29" s="2"/>
      <c r="U29" s="2">
        <v>90</v>
      </c>
      <c r="V29"/>
      <c r="W29">
        <v>90</v>
      </c>
      <c r="X29"/>
      <c r="Y29">
        <v>23.777346000000001</v>
      </c>
      <c r="Z29">
        <v>1.1794000000000001E-2</v>
      </c>
      <c r="AB29" s="2"/>
      <c r="AC29"/>
      <c r="AD29"/>
      <c r="AE29"/>
      <c r="AF29"/>
      <c r="AG29"/>
      <c r="AH29"/>
      <c r="AI29"/>
      <c r="AJ29"/>
      <c r="AK29"/>
      <c r="AL29"/>
      <c r="AM29"/>
      <c r="AN29"/>
      <c r="AO29"/>
      <c r="AQ29" s="2"/>
      <c r="AR29"/>
      <c r="AS29" s="2"/>
      <c r="AT29"/>
      <c r="AU29" s="2"/>
      <c r="AV29"/>
      <c r="AW29"/>
      <c r="AX29"/>
      <c r="AY29"/>
      <c r="AZ29"/>
      <c r="BA29"/>
      <c r="BB29"/>
      <c r="BC29"/>
      <c r="BD29"/>
      <c r="BF29"/>
      <c r="BG29"/>
      <c r="BH29"/>
      <c r="BI29"/>
      <c r="BJ29"/>
      <c r="BK29"/>
      <c r="BL29"/>
      <c r="BM29"/>
      <c r="BN29"/>
      <c r="BO29"/>
      <c r="BP29"/>
      <c r="BQ29"/>
      <c r="BR29"/>
      <c r="BT29"/>
      <c r="BU29"/>
      <c r="BV29"/>
      <c r="BW29"/>
    </row>
    <row r="30" spans="1:75" s="5" customFormat="1" x14ac:dyDescent="0.3">
      <c r="A30">
        <v>27</v>
      </c>
      <c r="B30"/>
      <c r="C30"/>
      <c r="D30"/>
      <c r="E30" s="7">
        <f t="shared" si="0"/>
        <v>129.55549791833664</v>
      </c>
      <c r="F30" s="1">
        <f t="shared" si="1"/>
        <v>130.71469791833664</v>
      </c>
      <c r="G30" s="1">
        <f t="shared" si="2"/>
        <v>128.39629791833664</v>
      </c>
      <c r="H30" s="1">
        <f t="shared" si="3"/>
        <v>1.1591999999999985</v>
      </c>
      <c r="I30"/>
      <c r="J30">
        <v>1330</v>
      </c>
      <c r="K30">
        <f t="shared" si="4"/>
        <v>1071.25</v>
      </c>
      <c r="L30">
        <f t="shared" si="5"/>
        <v>517.5</v>
      </c>
      <c r="M30" s="2">
        <v>2.8747449999999999</v>
      </c>
      <c r="N30" s="2">
        <v>1.109E-3</v>
      </c>
      <c r="O30" s="2">
        <v>2.8747449999999999</v>
      </c>
      <c r="P30" s="2"/>
      <c r="Q30">
        <v>2.8747449999999999</v>
      </c>
      <c r="R30"/>
      <c r="S30" s="2">
        <v>90</v>
      </c>
      <c r="T30" s="2"/>
      <c r="U30" s="2">
        <v>90</v>
      </c>
      <c r="V30"/>
      <c r="W30">
        <v>90</v>
      </c>
      <c r="X30"/>
      <c r="Y30">
        <v>23.757356999999999</v>
      </c>
      <c r="Z30">
        <v>5.5233999999999998E-2</v>
      </c>
      <c r="AB30" s="2">
        <v>4.8092689999999996</v>
      </c>
      <c r="AC30">
        <v>1.1559999999999999E-3</v>
      </c>
      <c r="AD30">
        <v>4.8092689999999996</v>
      </c>
      <c r="AE30"/>
      <c r="AF30">
        <v>4.8092689999999996</v>
      </c>
      <c r="AG30"/>
      <c r="AH30">
        <v>90</v>
      </c>
      <c r="AI30"/>
      <c r="AJ30">
        <v>90</v>
      </c>
      <c r="AK30"/>
      <c r="AL30">
        <v>90</v>
      </c>
      <c r="AM30"/>
      <c r="AN30">
        <v>111.233924</v>
      </c>
      <c r="AO30">
        <v>9.6327999999999997E-2</v>
      </c>
      <c r="AQ30" s="2">
        <v>4.7536199999999997</v>
      </c>
      <c r="AR30">
        <v>3.5569999999999998E-3</v>
      </c>
      <c r="AS30" s="2">
        <v>2.9370980000000002</v>
      </c>
      <c r="AT30">
        <v>1.059E-3</v>
      </c>
      <c r="AU30" s="2">
        <v>4.9463340000000002</v>
      </c>
      <c r="AV30">
        <v>2.1900000000000001E-3</v>
      </c>
      <c r="AW30">
        <v>90</v>
      </c>
      <c r="AX30"/>
      <c r="AY30">
        <v>90</v>
      </c>
      <c r="AZ30"/>
      <c r="BA30">
        <v>90</v>
      </c>
      <c r="BB30"/>
      <c r="BC30">
        <v>69.059950000000001</v>
      </c>
      <c r="BD30">
        <v>0.16647500000000001</v>
      </c>
      <c r="BF30"/>
      <c r="BG30"/>
      <c r="BH30"/>
      <c r="BI30"/>
      <c r="BJ30"/>
      <c r="BK30"/>
      <c r="BL30"/>
      <c r="BM30"/>
      <c r="BN30"/>
      <c r="BO30"/>
      <c r="BP30"/>
      <c r="BQ30"/>
      <c r="BR30"/>
      <c r="BT30"/>
      <c r="BU30"/>
      <c r="BV30"/>
      <c r="BW30"/>
    </row>
    <row r="31" spans="1:75" s="5" customFormat="1" x14ac:dyDescent="0.3">
      <c r="A31">
        <v>28</v>
      </c>
      <c r="B31"/>
      <c r="C31"/>
      <c r="D31"/>
      <c r="E31" s="7">
        <f t="shared" si="0"/>
        <v>129.94920839284993</v>
      </c>
      <c r="F31" s="1">
        <f t="shared" si="1"/>
        <v>131.28648839284995</v>
      </c>
      <c r="G31" s="1">
        <f t="shared" si="2"/>
        <v>128.61192839284993</v>
      </c>
      <c r="H31" s="1">
        <f t="shared" si="3"/>
        <v>1.3372800000000069</v>
      </c>
      <c r="I31"/>
      <c r="J31">
        <v>1489</v>
      </c>
      <c r="K31">
        <f t="shared" si="4"/>
        <v>1190.5</v>
      </c>
      <c r="L31">
        <f t="shared" si="5"/>
        <v>597</v>
      </c>
      <c r="M31" s="2">
        <v>2.874479</v>
      </c>
      <c r="N31" s="2">
        <v>1.3730000000000001E-3</v>
      </c>
      <c r="O31" s="2">
        <v>2.874479</v>
      </c>
      <c r="P31" s="2"/>
      <c r="Q31">
        <v>2.874479</v>
      </c>
      <c r="R31"/>
      <c r="S31" s="2">
        <v>90</v>
      </c>
      <c r="T31" s="2"/>
      <c r="U31" s="2">
        <v>90</v>
      </c>
      <c r="V31"/>
      <c r="W31">
        <v>90</v>
      </c>
      <c r="X31"/>
      <c r="Y31">
        <v>23.750754000000001</v>
      </c>
      <c r="Z31">
        <v>6.8381999999999998E-2</v>
      </c>
      <c r="AB31" s="2">
        <v>4.8110819999999999</v>
      </c>
      <c r="AC31">
        <v>1.635E-3</v>
      </c>
      <c r="AD31">
        <v>4.8110819999999999</v>
      </c>
      <c r="AE31"/>
      <c r="AF31">
        <v>4.8110819999999999</v>
      </c>
      <c r="AG31"/>
      <c r="AH31">
        <v>90</v>
      </c>
      <c r="AI31"/>
      <c r="AJ31">
        <v>90</v>
      </c>
      <c r="AK31"/>
      <c r="AL31">
        <v>90</v>
      </c>
      <c r="AM31"/>
      <c r="AN31">
        <v>111.359756</v>
      </c>
      <c r="AO31">
        <v>0.136264</v>
      </c>
      <c r="AQ31" s="2">
        <v>4.7520360000000004</v>
      </c>
      <c r="AR31">
        <v>2.6809999999999998E-3</v>
      </c>
      <c r="AS31" s="2">
        <v>2.9380109999999999</v>
      </c>
      <c r="AT31">
        <v>8.0000000000000004E-4</v>
      </c>
      <c r="AU31" s="2">
        <v>4.9531470000000004</v>
      </c>
      <c r="AV31">
        <v>1.6590000000000001E-3</v>
      </c>
      <c r="AW31">
        <v>90</v>
      </c>
      <c r="AX31"/>
      <c r="AY31">
        <v>90</v>
      </c>
      <c r="AZ31"/>
      <c r="BA31">
        <v>90</v>
      </c>
      <c r="BB31"/>
      <c r="BC31">
        <v>69.153541000000004</v>
      </c>
      <c r="BD31">
        <v>0.12573500000000001</v>
      </c>
      <c r="BF31"/>
      <c r="BG31"/>
      <c r="BH31"/>
      <c r="BI31"/>
      <c r="BJ31"/>
      <c r="BK31"/>
      <c r="BL31"/>
      <c r="BM31"/>
      <c r="BN31"/>
      <c r="BO31"/>
      <c r="BP31"/>
      <c r="BQ31"/>
      <c r="BR31"/>
      <c r="BT31"/>
      <c r="BU31"/>
      <c r="BV31"/>
      <c r="BW31"/>
    </row>
    <row r="32" spans="1:75" s="5" customFormat="1" x14ac:dyDescent="0.3">
      <c r="A32">
        <v>29</v>
      </c>
      <c r="B32"/>
      <c r="C32"/>
      <c r="D32"/>
      <c r="E32" s="7">
        <f t="shared" si="0"/>
        <v>130.21125616613978</v>
      </c>
      <c r="F32" s="1">
        <f t="shared" si="1"/>
        <v>131.74005616613977</v>
      </c>
      <c r="G32" s="1">
        <f t="shared" si="2"/>
        <v>128.68245616613976</v>
      </c>
      <c r="H32" s="1">
        <f t="shared" si="3"/>
        <v>1.5288000000000039</v>
      </c>
      <c r="I32"/>
      <c r="J32">
        <v>1660</v>
      </c>
      <c r="K32">
        <f t="shared" si="4"/>
        <v>1318.75</v>
      </c>
      <c r="L32">
        <f t="shared" si="5"/>
        <v>682.5</v>
      </c>
      <c r="M32" s="2">
        <v>2.8745319999999999</v>
      </c>
      <c r="N32" s="2">
        <v>1.2669999999999999E-3</v>
      </c>
      <c r="O32" s="2">
        <v>2.8745319999999999</v>
      </c>
      <c r="P32" s="2"/>
      <c r="Q32">
        <v>2.8745319999999999</v>
      </c>
      <c r="R32"/>
      <c r="S32" s="2">
        <v>90</v>
      </c>
      <c r="T32" s="2"/>
      <c r="U32" s="2">
        <v>90</v>
      </c>
      <c r="V32"/>
      <c r="W32">
        <v>90</v>
      </c>
      <c r="X32"/>
      <c r="Y32">
        <v>23.752065999999999</v>
      </c>
      <c r="Z32">
        <v>6.3061000000000006E-2</v>
      </c>
      <c r="AB32" s="2">
        <v>4.8097890000000003</v>
      </c>
      <c r="AC32">
        <v>6.7299999999999999E-4</v>
      </c>
      <c r="AD32">
        <v>4.8097890000000003</v>
      </c>
      <c r="AE32"/>
      <c r="AF32">
        <v>4.8097890000000003</v>
      </c>
      <c r="AG32"/>
      <c r="AH32">
        <v>90</v>
      </c>
      <c r="AI32"/>
      <c r="AJ32">
        <v>90</v>
      </c>
      <c r="AK32"/>
      <c r="AL32">
        <v>90</v>
      </c>
      <c r="AM32"/>
      <c r="AN32">
        <v>111.26998500000001</v>
      </c>
      <c r="AO32">
        <v>5.6054E-2</v>
      </c>
      <c r="AQ32" s="2">
        <v>4.7511869999999998</v>
      </c>
      <c r="AR32">
        <v>3.0230000000000001E-3</v>
      </c>
      <c r="AS32" s="2">
        <v>2.9323839999999999</v>
      </c>
      <c r="AT32">
        <v>1.6069999999999999E-3</v>
      </c>
      <c r="AU32" s="2">
        <v>4.9627119999999998</v>
      </c>
      <c r="AV32">
        <v>1.815E-3</v>
      </c>
      <c r="AW32">
        <v>90</v>
      </c>
      <c r="AX32"/>
      <c r="AY32">
        <v>90</v>
      </c>
      <c r="AZ32"/>
      <c r="BA32">
        <v>90</v>
      </c>
      <c r="BB32"/>
      <c r="BC32">
        <v>69.142017999999993</v>
      </c>
      <c r="BD32">
        <v>0.154866</v>
      </c>
      <c r="BF32"/>
      <c r="BG32"/>
      <c r="BH32"/>
      <c r="BI32"/>
      <c r="BJ32"/>
      <c r="BK32"/>
      <c r="BL32"/>
      <c r="BM32"/>
      <c r="BN32"/>
      <c r="BO32"/>
      <c r="BP32"/>
      <c r="BQ32"/>
      <c r="BR32"/>
      <c r="BT32"/>
      <c r="BU32"/>
      <c r="BV32"/>
      <c r="BW32"/>
    </row>
    <row r="33" spans="1:75" s="5" customFormat="1" x14ac:dyDescent="0.3">
      <c r="A33">
        <v>30</v>
      </c>
      <c r="B33"/>
      <c r="C33"/>
      <c r="D33"/>
      <c r="E33" s="7">
        <f t="shared" si="0"/>
        <v>130.87117374299564</v>
      </c>
      <c r="F33" s="1">
        <f t="shared" si="1"/>
        <v>132.54557374299563</v>
      </c>
      <c r="G33" s="1">
        <f t="shared" si="2"/>
        <v>129.19677374299562</v>
      </c>
      <c r="H33" s="1">
        <f t="shared" si="3"/>
        <v>1.6744000000000057</v>
      </c>
      <c r="I33"/>
      <c r="J33">
        <v>1790</v>
      </c>
      <c r="K33">
        <f t="shared" si="4"/>
        <v>1416.25</v>
      </c>
      <c r="L33">
        <f t="shared" si="5"/>
        <v>747.5</v>
      </c>
      <c r="M33" s="2">
        <v>2.8736060000000001</v>
      </c>
      <c r="N33" s="2">
        <v>1.462E-3</v>
      </c>
      <c r="O33" s="2">
        <v>2.8736060000000001</v>
      </c>
      <c r="P33" s="2"/>
      <c r="Q33">
        <v>2.8736060000000001</v>
      </c>
      <c r="R33"/>
      <c r="S33" s="2">
        <v>90</v>
      </c>
      <c r="T33" s="2"/>
      <c r="U33">
        <v>90</v>
      </c>
      <c r="V33"/>
      <c r="W33">
        <v>90</v>
      </c>
      <c r="X33"/>
      <c r="Y33">
        <v>23.729130000000001</v>
      </c>
      <c r="Z33">
        <v>7.2787000000000004E-2</v>
      </c>
      <c r="AB33" s="2">
        <v>4.807264</v>
      </c>
      <c r="AC33">
        <v>7.5699999999999997E-4</v>
      </c>
      <c r="AD33">
        <v>4.807264</v>
      </c>
      <c r="AE33"/>
      <c r="AF33">
        <v>4.807264</v>
      </c>
      <c r="AG33"/>
      <c r="AH33">
        <v>90</v>
      </c>
      <c r="AI33"/>
      <c r="AJ33">
        <v>90</v>
      </c>
      <c r="AK33"/>
      <c r="AL33">
        <v>90</v>
      </c>
      <c r="AM33"/>
      <c r="AN33">
        <v>111.094857</v>
      </c>
      <c r="AO33">
        <v>6.3028000000000001E-2</v>
      </c>
      <c r="AQ33" s="2">
        <v>4.7514519999999996</v>
      </c>
      <c r="AR33">
        <v>5.0070000000000002E-3</v>
      </c>
      <c r="AS33" s="2">
        <v>2.9287109999999998</v>
      </c>
      <c r="AT33">
        <v>1.307E-3</v>
      </c>
      <c r="AU33" s="2">
        <v>4.9676840000000002</v>
      </c>
      <c r="AV33">
        <v>2.1440000000000001E-3</v>
      </c>
      <c r="AW33">
        <v>90</v>
      </c>
      <c r="AX33"/>
      <c r="AY33">
        <v>90</v>
      </c>
      <c r="AZ33"/>
      <c r="BA33">
        <v>90</v>
      </c>
      <c r="BB33"/>
      <c r="BC33">
        <v>69.128459000000007</v>
      </c>
      <c r="BD33">
        <v>0.216584</v>
      </c>
      <c r="BF33"/>
      <c r="BG33"/>
      <c r="BH33"/>
      <c r="BI33"/>
      <c r="BJ33"/>
      <c r="BK33"/>
      <c r="BL33"/>
      <c r="BM33"/>
      <c r="BN33"/>
      <c r="BO33"/>
      <c r="BP33"/>
      <c r="BQ33"/>
      <c r="BR33"/>
      <c r="BT33"/>
      <c r="BU33"/>
      <c r="BV33"/>
      <c r="BW33"/>
    </row>
    <row r="34" spans="1:75" s="5" customFormat="1" x14ac:dyDescent="0.3">
      <c r="A34">
        <v>31</v>
      </c>
      <c r="B34"/>
      <c r="C34"/>
      <c r="D34"/>
      <c r="E34" s="7">
        <f t="shared" si="0"/>
        <v>131.66336740236883</v>
      </c>
      <c r="F34" s="1">
        <f t="shared" si="1"/>
        <v>133.48336740236886</v>
      </c>
      <c r="G34" s="1">
        <f t="shared" si="2"/>
        <v>129.84336740236884</v>
      </c>
      <c r="H34" s="1">
        <f t="shared" si="3"/>
        <v>1.8200000000000074</v>
      </c>
      <c r="I34"/>
      <c r="J34">
        <v>1920</v>
      </c>
      <c r="K34">
        <f t="shared" si="4"/>
        <v>1513.75</v>
      </c>
      <c r="L34">
        <f t="shared" si="5"/>
        <v>812.5</v>
      </c>
      <c r="M34" s="2">
        <v>2.8724069999999999</v>
      </c>
      <c r="N34" s="2">
        <v>1.9059999999999999E-3</v>
      </c>
      <c r="O34" s="2">
        <v>2.8724069999999999</v>
      </c>
      <c r="P34" s="2"/>
      <c r="Q34">
        <v>2.8724069999999999</v>
      </c>
      <c r="R34"/>
      <c r="S34" s="2">
        <v>90</v>
      </c>
      <c r="T34" s="2"/>
      <c r="U34" s="2">
        <v>90</v>
      </c>
      <c r="V34"/>
      <c r="W34">
        <v>90</v>
      </c>
      <c r="X34"/>
      <c r="Y34">
        <v>23.699418999999999</v>
      </c>
      <c r="Z34">
        <v>9.4837000000000005E-2</v>
      </c>
      <c r="AB34" s="2">
        <v>4.8060169999999998</v>
      </c>
      <c r="AC34">
        <v>3.7399999999999998E-4</v>
      </c>
      <c r="AD34">
        <v>4.8060169999999998</v>
      </c>
      <c r="AE34"/>
      <c r="AF34">
        <v>4.8060169999999998</v>
      </c>
      <c r="AG34"/>
      <c r="AH34">
        <v>90</v>
      </c>
      <c r="AI34"/>
      <c r="AJ34">
        <v>90</v>
      </c>
      <c r="AK34"/>
      <c r="AL34">
        <v>90</v>
      </c>
      <c r="AM34"/>
      <c r="AN34">
        <v>111.008447</v>
      </c>
      <c r="AO34">
        <v>3.1106999999999999E-2</v>
      </c>
      <c r="AQ34" s="2">
        <v>4.7562730000000002</v>
      </c>
      <c r="AR34">
        <v>5.3E-3</v>
      </c>
      <c r="AS34" s="2">
        <v>2.92055</v>
      </c>
      <c r="AT34">
        <v>1.371E-3</v>
      </c>
      <c r="AU34" s="2">
        <v>4.9724950000000003</v>
      </c>
      <c r="AV34">
        <v>2.2680000000000001E-3</v>
      </c>
      <c r="AW34">
        <v>90</v>
      </c>
      <c r="AX34"/>
      <c r="AY34">
        <v>90</v>
      </c>
      <c r="AZ34"/>
      <c r="BA34">
        <v>90</v>
      </c>
      <c r="BB34"/>
      <c r="BC34">
        <v>69.072591000000003</v>
      </c>
      <c r="BD34">
        <v>0.22886300000000001</v>
      </c>
      <c r="BF34"/>
      <c r="BG34"/>
      <c r="BH34"/>
      <c r="BI34"/>
      <c r="BJ34"/>
      <c r="BK34"/>
      <c r="BL34"/>
      <c r="BM34"/>
      <c r="BN34"/>
      <c r="BO34"/>
      <c r="BP34"/>
      <c r="BQ34"/>
      <c r="BR34"/>
      <c r="BT34"/>
      <c r="BU34"/>
      <c r="BV34"/>
      <c r="BW34"/>
    </row>
    <row r="35" spans="1:75" s="5" customFormat="1" x14ac:dyDescent="0.3">
      <c r="A35">
        <v>32</v>
      </c>
      <c r="B35"/>
      <c r="C35"/>
      <c r="D35"/>
      <c r="E35" s="7">
        <f t="shared" si="0"/>
        <v>132.72795397932666</v>
      </c>
      <c r="F35" s="1">
        <f t="shared" si="1"/>
        <v>134.74955397932666</v>
      </c>
      <c r="G35" s="1">
        <f t="shared" si="2"/>
        <v>130.70635397932665</v>
      </c>
      <c r="H35" s="1">
        <f t="shared" si="3"/>
        <v>2.0216000000000065</v>
      </c>
      <c r="I35"/>
      <c r="J35">
        <v>2100</v>
      </c>
      <c r="K35">
        <f t="shared" si="4"/>
        <v>1648.75</v>
      </c>
      <c r="L35">
        <f t="shared" si="5"/>
        <v>902.5</v>
      </c>
      <c r="M35" s="2">
        <v>2.870822</v>
      </c>
      <c r="N35" s="2">
        <v>1.9889999999999999E-3</v>
      </c>
      <c r="O35" s="2">
        <v>2.870822</v>
      </c>
      <c r="P35" s="2"/>
      <c r="Q35">
        <v>2.870822</v>
      </c>
      <c r="R35"/>
      <c r="S35" s="2">
        <v>90</v>
      </c>
      <c r="T35" s="2"/>
      <c r="U35" s="2">
        <v>90</v>
      </c>
      <c r="V35" s="2"/>
      <c r="W35" s="2">
        <v>90</v>
      </c>
      <c r="X35"/>
      <c r="Y35">
        <v>23.660225000000001</v>
      </c>
      <c r="Z35">
        <v>9.8880999999999997E-2</v>
      </c>
      <c r="AB35" s="2">
        <v>4.8057509999999999</v>
      </c>
      <c r="AC35">
        <v>3.6900000000000002E-4</v>
      </c>
      <c r="AD35">
        <v>4.8057509999999999</v>
      </c>
      <c r="AE35"/>
      <c r="AF35">
        <v>4.8057509999999999</v>
      </c>
      <c r="AG35"/>
      <c r="AH35">
        <v>90</v>
      </c>
      <c r="AI35"/>
      <c r="AJ35">
        <v>90</v>
      </c>
      <c r="AK35"/>
      <c r="AL35">
        <v>90</v>
      </c>
      <c r="AM35"/>
      <c r="AN35">
        <v>110.989987</v>
      </c>
      <c r="AO35">
        <v>3.0737E-2</v>
      </c>
      <c r="AQ35" s="2">
        <v>4.7642389999999999</v>
      </c>
      <c r="AR35">
        <v>3.6670000000000001E-3</v>
      </c>
      <c r="AS35" s="2">
        <v>2.911527</v>
      </c>
      <c r="AT35">
        <v>1.519E-3</v>
      </c>
      <c r="AU35" s="2">
        <v>4.9868680000000003</v>
      </c>
      <c r="AV35">
        <v>1.6750000000000001E-3</v>
      </c>
      <c r="AW35">
        <v>90</v>
      </c>
      <c r="AX35"/>
      <c r="AY35">
        <v>90</v>
      </c>
      <c r="AZ35"/>
      <c r="BA35">
        <v>90</v>
      </c>
      <c r="BB35"/>
      <c r="BC35">
        <v>69.173902999999996</v>
      </c>
      <c r="BD35">
        <v>0.169986</v>
      </c>
      <c r="BF35"/>
      <c r="BG35"/>
      <c r="BH35"/>
      <c r="BI35"/>
      <c r="BJ35"/>
      <c r="BK35"/>
      <c r="BL35"/>
      <c r="BM35"/>
      <c r="BN35"/>
      <c r="BO35"/>
      <c r="BP35"/>
      <c r="BQ35"/>
      <c r="BR35"/>
      <c r="BT35"/>
      <c r="BU35"/>
      <c r="BV35"/>
      <c r="BW35"/>
    </row>
    <row r="36" spans="1:75" s="5" customFormat="1" x14ac:dyDescent="0.3">
      <c r="A36">
        <v>33</v>
      </c>
      <c r="B36"/>
      <c r="C36"/>
      <c r="D36"/>
      <c r="E36" s="7">
        <f t="shared" ref="E36:E62" si="6" xml:space="preserve"> 3*$BU$2*(($BT$2/(M36^3))^(2/3))*(1-($BT$2/(M36^3))^(-1/3))*EXP((3/2)*($BV$2-1)*(1-($BT$2/(M36^3))^(-1/3))) + $BW$2*(K36-300)</f>
        <v>133.62678759926465</v>
      </c>
      <c r="F36" s="1">
        <f t="shared" ref="F36:F62" si="7" xml:space="preserve"> 3*$BU$2*(($BT$2/(M36^3))^(2/3))*(1-($BT$2/(M36^3))^(-1/3))*EXP((3/2)*($BV$2-1)*(1-($BT$2/(M36^3))^(-1/3))) + $BW$2*((K36+L36)-300)</f>
        <v>135.80518759926463</v>
      </c>
      <c r="G36" s="1">
        <f t="shared" ref="G36:G62" si="8" xml:space="preserve"> 3*$BU$2*(($BT$2/(M36^3))^(2/3))*(1-($BT$2/(M36^3))^(-1/3))*EXP((3/2)*($BV$2-1)*(1-($BT$2/(M36^3))^(-1/3))) + $BW$2*((K36-L36)-300)</f>
        <v>131.44838759926463</v>
      </c>
      <c r="H36" s="1">
        <f t="shared" ref="H36:H62" si="9">(F36-G36)/2</f>
        <v>2.1783999999999963</v>
      </c>
      <c r="I36"/>
      <c r="J36">
        <v>2240</v>
      </c>
      <c r="K36">
        <f t="shared" ref="K36:K62" si="10">(3*J36+295)/4</f>
        <v>1753.75</v>
      </c>
      <c r="L36">
        <f t="shared" ref="L36:L62" si="11">(J36-295)/2</f>
        <v>972.5</v>
      </c>
      <c r="M36" s="2">
        <v>2.8694489999999999</v>
      </c>
      <c r="N36" s="2">
        <v>2.1549999999999998E-3</v>
      </c>
      <c r="O36" s="2">
        <v>2.8694489999999999</v>
      </c>
      <c r="P36" s="2"/>
      <c r="Q36">
        <v>2.8694489999999999</v>
      </c>
      <c r="R36"/>
      <c r="S36" s="2">
        <v>90</v>
      </c>
      <c r="T36" s="2"/>
      <c r="U36" s="2">
        <v>90</v>
      </c>
      <c r="V36" s="2"/>
      <c r="W36" s="2">
        <v>90</v>
      </c>
      <c r="X36"/>
      <c r="Y36">
        <v>23.626290999999998</v>
      </c>
      <c r="Z36">
        <v>0.107104</v>
      </c>
      <c r="AB36" s="2">
        <v>4.8053850000000002</v>
      </c>
      <c r="AC36">
        <v>4.26E-4</v>
      </c>
      <c r="AD36">
        <v>4.8053850000000002</v>
      </c>
      <c r="AE36"/>
      <c r="AF36">
        <v>4.8053850000000002</v>
      </c>
      <c r="AG36"/>
      <c r="AH36">
        <v>90</v>
      </c>
      <c r="AI36"/>
      <c r="AJ36">
        <v>90</v>
      </c>
      <c r="AK36"/>
      <c r="AL36">
        <v>90</v>
      </c>
      <c r="AM36"/>
      <c r="AN36">
        <v>110.964624</v>
      </c>
      <c r="AO36">
        <v>3.5449000000000001E-2</v>
      </c>
      <c r="AQ36" s="2">
        <v>4.7704500000000003</v>
      </c>
      <c r="AR36">
        <v>7.6499999999999995E-4</v>
      </c>
      <c r="AS36" s="2">
        <v>2.904887</v>
      </c>
      <c r="AT36">
        <v>4.5100000000000001E-4</v>
      </c>
      <c r="AU36" s="2">
        <v>4.9917480000000003</v>
      </c>
      <c r="AV36">
        <v>1.049E-3</v>
      </c>
      <c r="AW36">
        <v>90</v>
      </c>
      <c r="AX36"/>
      <c r="AY36">
        <v>90</v>
      </c>
      <c r="AZ36"/>
      <c r="BA36">
        <v>90</v>
      </c>
      <c r="BB36"/>
      <c r="BC36">
        <v>69.173743999999999</v>
      </c>
      <c r="BD36">
        <v>5.3453000000000001E-2</v>
      </c>
      <c r="BF36"/>
      <c r="BG36"/>
      <c r="BH36"/>
      <c r="BI36"/>
      <c r="BJ36"/>
      <c r="BK36"/>
      <c r="BL36"/>
      <c r="BM36"/>
      <c r="BN36"/>
      <c r="BO36"/>
      <c r="BP36"/>
      <c r="BQ36"/>
      <c r="BR36"/>
      <c r="BT36"/>
      <c r="BU36"/>
      <c r="BV36"/>
      <c r="BW36"/>
    </row>
    <row r="37" spans="1:75" s="5" customFormat="1" x14ac:dyDescent="0.3">
      <c r="A37">
        <v>34</v>
      </c>
      <c r="B37"/>
      <c r="C37"/>
      <c r="D37"/>
      <c r="E37" s="7">
        <f t="shared" si="6"/>
        <v>134.66610128027534</v>
      </c>
      <c r="F37" s="1">
        <f t="shared" si="7"/>
        <v>137.06850128027534</v>
      </c>
      <c r="G37" s="1">
        <f t="shared" si="8"/>
        <v>132.26370128027534</v>
      </c>
      <c r="H37" s="1">
        <f t="shared" si="9"/>
        <v>2.4024000000000001</v>
      </c>
      <c r="I37"/>
      <c r="J37">
        <v>2440</v>
      </c>
      <c r="K37">
        <f t="shared" si="10"/>
        <v>1903.75</v>
      </c>
      <c r="L37">
        <f t="shared" si="11"/>
        <v>1072.5</v>
      </c>
      <c r="M37" s="2">
        <v>2.868001</v>
      </c>
      <c r="N37" s="2">
        <v>2.2309999999999999E-3</v>
      </c>
      <c r="O37" s="2">
        <v>2.868001</v>
      </c>
      <c r="P37" s="2"/>
      <c r="Q37">
        <v>2.868001</v>
      </c>
      <c r="R37"/>
      <c r="S37" s="2">
        <v>90</v>
      </c>
      <c r="T37" s="2"/>
      <c r="U37" s="2">
        <v>90</v>
      </c>
      <c r="V37" s="2"/>
      <c r="W37" s="2">
        <v>90</v>
      </c>
      <c r="X37"/>
      <c r="Y37">
        <v>23.590530000000001</v>
      </c>
      <c r="Z37">
        <v>0.110801</v>
      </c>
      <c r="AB37" s="2">
        <v>4.8080870000000004</v>
      </c>
      <c r="AC37">
        <v>5.7899999999999998E-4</v>
      </c>
      <c r="AD37">
        <v>4.8080870000000004</v>
      </c>
      <c r="AE37"/>
      <c r="AF37">
        <v>4.8080870000000004</v>
      </c>
      <c r="AG37"/>
      <c r="AH37">
        <v>90</v>
      </c>
      <c r="AI37"/>
      <c r="AJ37">
        <v>90</v>
      </c>
      <c r="AK37"/>
      <c r="AL37">
        <v>90</v>
      </c>
      <c r="AM37"/>
      <c r="AN37">
        <v>111.15192399999999</v>
      </c>
      <c r="AO37">
        <v>4.8176999999999998E-2</v>
      </c>
      <c r="AQ37" s="2">
        <v>4.7923879999999999</v>
      </c>
      <c r="AR37">
        <v>2.8899999999999998E-4</v>
      </c>
      <c r="AS37" s="2">
        <v>2.8941569999999999</v>
      </c>
      <c r="AT37">
        <v>1.6699999999999999E-4</v>
      </c>
      <c r="AU37" s="2">
        <v>5.0025120000000003</v>
      </c>
      <c r="AV37">
        <v>3.9399999999999998E-4</v>
      </c>
      <c r="AW37">
        <v>90</v>
      </c>
      <c r="AX37"/>
      <c r="AY37">
        <v>90</v>
      </c>
      <c r="AZ37"/>
      <c r="BA37">
        <v>90</v>
      </c>
      <c r="BB37"/>
      <c r="BC37">
        <v>69.384444000000002</v>
      </c>
      <c r="BD37">
        <v>2.0067999999999999E-2</v>
      </c>
      <c r="BF37"/>
      <c r="BG37"/>
      <c r="BH37"/>
      <c r="BI37"/>
      <c r="BJ37"/>
      <c r="BK37"/>
      <c r="BL37"/>
      <c r="BM37"/>
      <c r="BN37"/>
      <c r="BO37"/>
      <c r="BP37"/>
      <c r="BQ37"/>
      <c r="BR37"/>
      <c r="BT37"/>
      <c r="BU37"/>
      <c r="BV37"/>
      <c r="BW37"/>
    </row>
    <row r="38" spans="1:75" s="5" customFormat="1" x14ac:dyDescent="0.3">
      <c r="A38">
        <v>35</v>
      </c>
      <c r="B38" t="s">
        <v>76</v>
      </c>
      <c r="C38"/>
      <c r="D38"/>
      <c r="E38" s="7">
        <f t="shared" si="6"/>
        <v>134.08688965895976</v>
      </c>
      <c r="F38" s="1">
        <f t="shared" si="7"/>
        <v>136.62368965895976</v>
      </c>
      <c r="G38" s="1">
        <f t="shared" si="8"/>
        <v>131.55008965895976</v>
      </c>
      <c r="H38" s="1">
        <f t="shared" si="9"/>
        <v>2.5367999999999995</v>
      </c>
      <c r="I38"/>
      <c r="J38">
        <v>2560</v>
      </c>
      <c r="K38">
        <f t="shared" si="10"/>
        <v>1993.75</v>
      </c>
      <c r="L38">
        <f t="shared" si="11"/>
        <v>1132.5</v>
      </c>
      <c r="M38" s="2">
        <v>2.8696090000000001</v>
      </c>
      <c r="N38" s="2">
        <v>1.2819999999999999E-3</v>
      </c>
      <c r="O38" s="2">
        <v>2.8696090000000001</v>
      </c>
      <c r="P38" s="2"/>
      <c r="Q38">
        <v>2.8696090000000001</v>
      </c>
      <c r="R38"/>
      <c r="S38" s="2">
        <v>90</v>
      </c>
      <c r="T38" s="2"/>
      <c r="U38" s="2">
        <v>90</v>
      </c>
      <c r="V38" s="2"/>
      <c r="W38" s="2">
        <v>90</v>
      </c>
      <c r="X38"/>
      <c r="Y38">
        <v>23.630243</v>
      </c>
      <c r="Z38">
        <v>6.3713000000000006E-2</v>
      </c>
      <c r="AB38" s="2">
        <v>4.8101039999999999</v>
      </c>
      <c r="AC38">
        <v>6.8000000000000005E-4</v>
      </c>
      <c r="AD38">
        <v>4.8101039999999999</v>
      </c>
      <c r="AE38"/>
      <c r="AF38">
        <v>4.8101039999999999</v>
      </c>
      <c r="AG38"/>
      <c r="AH38">
        <v>90</v>
      </c>
      <c r="AI38"/>
      <c r="AJ38">
        <v>90</v>
      </c>
      <c r="AK38"/>
      <c r="AL38">
        <v>90</v>
      </c>
      <c r="AM38"/>
      <c r="AN38">
        <v>111.29185099999999</v>
      </c>
      <c r="AO38">
        <v>5.6660000000000002E-2</v>
      </c>
      <c r="AQ38" s="2">
        <v>4.7939769999999999</v>
      </c>
      <c r="AR38">
        <v>2.1670000000000001E-3</v>
      </c>
      <c r="AS38" s="2">
        <v>2.8943460000000001</v>
      </c>
      <c r="AT38">
        <v>1.248E-3</v>
      </c>
      <c r="AU38" s="2">
        <v>5.0014630000000002</v>
      </c>
      <c r="AV38">
        <v>2.9480000000000001E-3</v>
      </c>
      <c r="AW38">
        <v>90</v>
      </c>
      <c r="AX38"/>
      <c r="AY38">
        <v>90</v>
      </c>
      <c r="AZ38"/>
      <c r="BA38">
        <v>90</v>
      </c>
      <c r="BB38"/>
      <c r="BC38">
        <v>69.397420999999994</v>
      </c>
      <c r="BD38">
        <v>0.150314</v>
      </c>
      <c r="BF38"/>
      <c r="BG38"/>
      <c r="BH38"/>
      <c r="BI38"/>
      <c r="BJ38"/>
      <c r="BK38"/>
      <c r="BL38"/>
      <c r="BM38"/>
      <c r="BN38"/>
      <c r="BO38"/>
      <c r="BP38"/>
      <c r="BQ38"/>
      <c r="BR38"/>
      <c r="BT38"/>
      <c r="BU38"/>
      <c r="BV38"/>
      <c r="BW38"/>
    </row>
    <row r="39" spans="1:75" s="5" customFormat="1" x14ac:dyDescent="0.3">
      <c r="A39">
        <v>36</v>
      </c>
      <c r="B39" s="6"/>
      <c r="C39" s="6"/>
      <c r="D39" s="6"/>
      <c r="E39" s="7">
        <f t="shared" si="6"/>
        <v>132.63135652535317</v>
      </c>
      <c r="F39" s="1">
        <f t="shared" si="7"/>
        <v>132.63695652535318</v>
      </c>
      <c r="G39" s="1">
        <f t="shared" si="8"/>
        <v>132.62575652535318</v>
      </c>
      <c r="H39" s="1">
        <f t="shared" si="9"/>
        <v>5.6000000000011596E-3</v>
      </c>
      <c r="I39"/>
      <c r="J39">
        <v>300</v>
      </c>
      <c r="K39">
        <f t="shared" si="10"/>
        <v>298.75</v>
      </c>
      <c r="L39">
        <f t="shared" si="11"/>
        <v>2.5</v>
      </c>
      <c r="M39" s="2">
        <v>2.864814</v>
      </c>
      <c r="N39" s="2">
        <v>1.846E-3</v>
      </c>
      <c r="O39" s="2">
        <v>2.864814</v>
      </c>
      <c r="P39" s="2"/>
      <c r="Q39">
        <v>2.864814</v>
      </c>
      <c r="R39"/>
      <c r="S39" s="2">
        <v>90</v>
      </c>
      <c r="T39" s="2"/>
      <c r="U39" s="2">
        <v>90</v>
      </c>
      <c r="V39" s="2"/>
      <c r="W39" s="2">
        <v>90</v>
      </c>
      <c r="X39"/>
      <c r="Y39">
        <v>23.511975</v>
      </c>
      <c r="Z39">
        <v>9.1580999999999996E-2</v>
      </c>
      <c r="AB39" s="2">
        <v>4.7961859999999996</v>
      </c>
      <c r="AC39">
        <v>1.2049999999999999E-3</v>
      </c>
      <c r="AD39">
        <v>4.7961859999999996</v>
      </c>
      <c r="AE39"/>
      <c r="AF39">
        <v>4.7961859999999996</v>
      </c>
      <c r="AG39"/>
      <c r="AH39">
        <v>90</v>
      </c>
      <c r="AI39"/>
      <c r="AJ39">
        <v>90</v>
      </c>
      <c r="AK39"/>
      <c r="AL39">
        <v>90</v>
      </c>
      <c r="AM39"/>
      <c r="AN39">
        <v>110.32856</v>
      </c>
      <c r="AO39">
        <v>0.100138</v>
      </c>
      <c r="AQ39" s="2">
        <v>4.7428100000000004</v>
      </c>
      <c r="AR39">
        <v>5.7409999999999996E-3</v>
      </c>
      <c r="AS39" s="2">
        <v>2.9266899999999998</v>
      </c>
      <c r="AT39">
        <v>3.5179999999999999E-3</v>
      </c>
      <c r="AU39" s="2">
        <v>4.9375119999999999</v>
      </c>
      <c r="AV39">
        <v>7.7710000000000001E-3</v>
      </c>
      <c r="AW39">
        <v>90</v>
      </c>
      <c r="AX39"/>
      <c r="AY39">
        <v>90</v>
      </c>
      <c r="AZ39"/>
      <c r="BA39">
        <v>90</v>
      </c>
      <c r="BB39"/>
      <c r="BC39">
        <v>68.536299</v>
      </c>
      <c r="BD39">
        <v>0.400532</v>
      </c>
      <c r="BF39"/>
      <c r="BG39"/>
      <c r="BH39"/>
      <c r="BI39"/>
      <c r="BJ39"/>
      <c r="BK39"/>
      <c r="BL39"/>
      <c r="BM39"/>
      <c r="BN39"/>
      <c r="BO39"/>
      <c r="BP39"/>
      <c r="BQ39"/>
      <c r="BR39"/>
      <c r="BT39"/>
      <c r="BU39"/>
      <c r="BV39"/>
      <c r="BW39"/>
    </row>
    <row r="40" spans="1:75" s="5" customFormat="1" x14ac:dyDescent="0.3">
      <c r="A40">
        <v>37</v>
      </c>
      <c r="B40" s="6"/>
      <c r="C40" s="6"/>
      <c r="D40" s="6">
        <v>77</v>
      </c>
      <c r="E40" s="7">
        <f t="shared" si="6"/>
        <v>137.49274629012805</v>
      </c>
      <c r="F40" s="1">
        <f t="shared" si="7"/>
        <v>137.49834629012807</v>
      </c>
      <c r="G40" s="1">
        <f t="shared" si="8"/>
        <v>137.48714629012807</v>
      </c>
      <c r="H40" s="1">
        <f t="shared" si="9"/>
        <v>5.6000000000011596E-3</v>
      </c>
      <c r="I40"/>
      <c r="J40">
        <v>300</v>
      </c>
      <c r="K40">
        <f t="shared" si="10"/>
        <v>298.75</v>
      </c>
      <c r="L40">
        <f t="shared" si="11"/>
        <v>2.5</v>
      </c>
      <c r="M40" s="2">
        <v>2.855105</v>
      </c>
      <c r="N40" s="2">
        <v>1.861E-3</v>
      </c>
      <c r="O40" s="2">
        <v>2.855105</v>
      </c>
      <c r="P40" s="2"/>
      <c r="Q40">
        <v>2.855105</v>
      </c>
      <c r="R40"/>
      <c r="S40" s="2">
        <v>90</v>
      </c>
      <c r="T40" s="2"/>
      <c r="U40" s="2">
        <v>90</v>
      </c>
      <c r="V40" s="2"/>
      <c r="W40" s="2">
        <v>90</v>
      </c>
      <c r="X40"/>
      <c r="Y40">
        <v>23.273741999999999</v>
      </c>
      <c r="Z40">
        <v>9.2017000000000002E-2</v>
      </c>
      <c r="AB40" s="2"/>
      <c r="AC40"/>
      <c r="AD40"/>
      <c r="AE40"/>
      <c r="AF40"/>
      <c r="AG40"/>
      <c r="AH40"/>
      <c r="AI40"/>
      <c r="AJ40"/>
      <c r="AK40"/>
      <c r="AL40"/>
      <c r="AM40"/>
      <c r="AN40"/>
      <c r="AO40"/>
      <c r="AQ40" s="2"/>
      <c r="AR40"/>
      <c r="AS40" s="2"/>
      <c r="AT40"/>
      <c r="AU40" s="2"/>
      <c r="AV40"/>
      <c r="AW40"/>
      <c r="AX40"/>
      <c r="AY40"/>
      <c r="AZ40"/>
      <c r="BA40"/>
      <c r="BB40"/>
      <c r="BC40"/>
      <c r="BD40"/>
      <c r="BF40"/>
      <c r="BG40"/>
      <c r="BH40"/>
      <c r="BI40"/>
      <c r="BJ40"/>
      <c r="BK40"/>
      <c r="BL40"/>
      <c r="BM40"/>
      <c r="BN40"/>
      <c r="BO40"/>
      <c r="BP40"/>
      <c r="BQ40"/>
      <c r="BR40"/>
      <c r="BT40"/>
      <c r="BU40"/>
      <c r="BV40"/>
      <c r="BW40"/>
    </row>
    <row r="41" spans="1:75" s="5" customFormat="1" x14ac:dyDescent="0.3">
      <c r="A41">
        <v>38</v>
      </c>
      <c r="B41" s="6"/>
      <c r="C41" s="6"/>
      <c r="D41" s="6">
        <v>80</v>
      </c>
      <c r="E41" s="7">
        <f t="shared" si="6"/>
        <v>142.16526891459998</v>
      </c>
      <c r="F41" s="1">
        <f t="shared" si="7"/>
        <v>142.17086891459999</v>
      </c>
      <c r="G41" s="1">
        <f t="shared" si="8"/>
        <v>142.15966891459999</v>
      </c>
      <c r="H41" s="1">
        <f t="shared" si="9"/>
        <v>5.6000000000011596E-3</v>
      </c>
      <c r="I41"/>
      <c r="J41">
        <v>300</v>
      </c>
      <c r="K41">
        <f t="shared" si="10"/>
        <v>298.75</v>
      </c>
      <c r="L41">
        <f t="shared" si="11"/>
        <v>2.5</v>
      </c>
      <c r="M41" s="2">
        <v>2.8460709999999998</v>
      </c>
      <c r="N41" s="2">
        <v>1.9400000000000001E-3</v>
      </c>
      <c r="O41" s="2">
        <v>2.8460709999999998</v>
      </c>
      <c r="P41" s="2"/>
      <c r="Q41">
        <v>2.8460709999999998</v>
      </c>
      <c r="R41"/>
      <c r="S41" s="2">
        <v>90</v>
      </c>
      <c r="T41" s="2"/>
      <c r="U41" s="2">
        <v>90</v>
      </c>
      <c r="V41" s="2"/>
      <c r="W41" s="2">
        <v>90</v>
      </c>
      <c r="X41"/>
      <c r="Y41">
        <v>23.053525</v>
      </c>
      <c r="Z41">
        <v>9.5642000000000005E-2</v>
      </c>
      <c r="AB41" s="2"/>
      <c r="AC41"/>
      <c r="AD41"/>
      <c r="AE41"/>
      <c r="AF41"/>
      <c r="AG41"/>
      <c r="AH41"/>
      <c r="AI41"/>
      <c r="AJ41"/>
      <c r="AK41"/>
      <c r="AL41"/>
      <c r="AM41"/>
      <c r="AN41"/>
      <c r="AO41"/>
      <c r="AQ41" s="2"/>
      <c r="AR41"/>
      <c r="AS41" s="2"/>
      <c r="AT41"/>
      <c r="AU41" s="2"/>
      <c r="AV41"/>
      <c r="AW41"/>
      <c r="AX41"/>
      <c r="AY41"/>
      <c r="AZ41"/>
      <c r="BA41"/>
      <c r="BB41"/>
      <c r="BC41"/>
      <c r="BD41"/>
      <c r="BF41"/>
      <c r="BG41"/>
      <c r="BH41"/>
      <c r="BI41"/>
      <c r="BJ41"/>
      <c r="BK41"/>
      <c r="BL41"/>
      <c r="BM41"/>
      <c r="BN41"/>
      <c r="BO41"/>
      <c r="BP41"/>
      <c r="BQ41"/>
      <c r="BR41"/>
      <c r="BT41"/>
      <c r="BU41"/>
      <c r="BV41"/>
      <c r="BW41"/>
    </row>
    <row r="42" spans="1:75" s="5" customFormat="1" x14ac:dyDescent="0.3">
      <c r="A42">
        <v>39</v>
      </c>
      <c r="B42"/>
      <c r="C42"/>
      <c r="D42"/>
      <c r="E42" s="7">
        <f t="shared" si="6"/>
        <v>142.60772366934796</v>
      </c>
      <c r="F42" s="1">
        <f t="shared" si="7"/>
        <v>142.61332366934798</v>
      </c>
      <c r="G42" s="1">
        <f t="shared" si="8"/>
        <v>142.60212366934798</v>
      </c>
      <c r="H42" s="1">
        <f t="shared" si="9"/>
        <v>5.6000000000011596E-3</v>
      </c>
      <c r="I42"/>
      <c r="J42">
        <v>300</v>
      </c>
      <c r="K42">
        <f t="shared" si="10"/>
        <v>298.75</v>
      </c>
      <c r="L42">
        <f t="shared" si="11"/>
        <v>2.5</v>
      </c>
      <c r="M42" s="2">
        <v>2.8452299999999999</v>
      </c>
      <c r="N42" s="2">
        <v>1.6770000000000001E-3</v>
      </c>
      <c r="O42" s="2">
        <v>2.8452299999999999</v>
      </c>
      <c r="P42" s="2"/>
      <c r="Q42">
        <v>2.8452299999999999</v>
      </c>
      <c r="R42"/>
      <c r="S42" s="2">
        <v>90</v>
      </c>
      <c r="T42" s="2"/>
      <c r="U42" s="2">
        <v>90</v>
      </c>
      <c r="V42" s="2"/>
      <c r="W42" s="2">
        <v>90</v>
      </c>
      <c r="X42"/>
      <c r="Y42">
        <v>23.033082</v>
      </c>
      <c r="Z42">
        <v>8.2641999999999993E-2</v>
      </c>
      <c r="AB42" s="2"/>
      <c r="AC42"/>
      <c r="AD42"/>
      <c r="AE42"/>
      <c r="AF42"/>
      <c r="AG42"/>
      <c r="AH42"/>
      <c r="AI42"/>
      <c r="AJ42"/>
      <c r="AK42"/>
      <c r="AL42"/>
      <c r="AM42"/>
      <c r="AN42"/>
      <c r="AO42"/>
      <c r="AQ42" s="2"/>
      <c r="AR42"/>
      <c r="AS42" s="2"/>
      <c r="AT42"/>
      <c r="AU42" s="2"/>
      <c r="AV42"/>
      <c r="AW42"/>
      <c r="AX42"/>
      <c r="AY42"/>
      <c r="AZ42"/>
      <c r="BA42"/>
      <c r="BB42"/>
      <c r="BC42"/>
      <c r="BD42"/>
      <c r="BF42"/>
      <c r="BG42"/>
      <c r="BH42"/>
      <c r="BI42"/>
      <c r="BJ42"/>
      <c r="BK42"/>
      <c r="BL42"/>
      <c r="BM42"/>
      <c r="BN42"/>
      <c r="BO42"/>
      <c r="BP42"/>
      <c r="BQ42"/>
      <c r="BR42"/>
      <c r="BT42"/>
      <c r="BU42"/>
      <c r="BV42"/>
      <c r="BW42"/>
    </row>
    <row r="43" spans="1:75" s="5" customFormat="1" x14ac:dyDescent="0.3">
      <c r="A43">
        <v>40</v>
      </c>
      <c r="B43"/>
      <c r="C43"/>
      <c r="D43"/>
      <c r="E43" s="7">
        <f t="shared" si="6"/>
        <v>145.28783272893338</v>
      </c>
      <c r="F43" s="1">
        <f t="shared" si="7"/>
        <v>146.41343272893337</v>
      </c>
      <c r="G43" s="1">
        <f t="shared" si="8"/>
        <v>144.16223272893339</v>
      </c>
      <c r="H43" s="1">
        <f t="shared" si="9"/>
        <v>1.1255999999999915</v>
      </c>
      <c r="I43"/>
      <c r="J43">
        <v>1300</v>
      </c>
      <c r="K43">
        <f t="shared" si="10"/>
        <v>1048.75</v>
      </c>
      <c r="L43">
        <f t="shared" si="11"/>
        <v>502.5</v>
      </c>
      <c r="M43" s="2">
        <v>2.8433380000000001</v>
      </c>
      <c r="N43" s="2">
        <v>1.848E-3</v>
      </c>
      <c r="O43" s="2">
        <v>2.8433380000000001</v>
      </c>
      <c r="P43" s="2"/>
      <c r="Q43">
        <v>2.8433380000000001</v>
      </c>
      <c r="R43"/>
      <c r="S43" s="2">
        <v>90</v>
      </c>
      <c r="T43" s="2"/>
      <c r="U43" s="2">
        <v>90</v>
      </c>
      <c r="V43" s="2"/>
      <c r="W43" s="2">
        <v>90</v>
      </c>
      <c r="X43"/>
      <c r="Y43">
        <v>22.987171</v>
      </c>
      <c r="Z43">
        <v>9.1035000000000005E-2</v>
      </c>
      <c r="AB43" s="2"/>
      <c r="AC43"/>
      <c r="AD43"/>
      <c r="AE43"/>
      <c r="AF43"/>
      <c r="AG43"/>
      <c r="AH43"/>
      <c r="AI43"/>
      <c r="AJ43"/>
      <c r="AK43"/>
      <c r="AL43"/>
      <c r="AM43"/>
      <c r="AN43"/>
      <c r="AO43"/>
      <c r="AQ43" s="2"/>
      <c r="AR43"/>
      <c r="AS43" s="2"/>
      <c r="AT43"/>
      <c r="AU43" s="2"/>
      <c r="AV43"/>
      <c r="AW43"/>
      <c r="AX43"/>
      <c r="AY43"/>
      <c r="AZ43"/>
      <c r="BA43"/>
      <c r="BB43"/>
      <c r="BC43"/>
      <c r="BD43"/>
      <c r="BF43"/>
      <c r="BG43"/>
      <c r="BH43"/>
      <c r="BI43"/>
      <c r="BJ43"/>
      <c r="BK43"/>
      <c r="BL43"/>
      <c r="BM43"/>
      <c r="BN43"/>
      <c r="BO43"/>
      <c r="BP43"/>
      <c r="BQ43"/>
      <c r="BR43"/>
      <c r="BT43"/>
      <c r="BU43"/>
      <c r="BV43"/>
      <c r="BW43"/>
    </row>
    <row r="44" spans="1:75" s="5" customFormat="1" x14ac:dyDescent="0.3">
      <c r="A44">
        <v>41</v>
      </c>
      <c r="B44"/>
      <c r="C44"/>
      <c r="D44"/>
      <c r="E44" s="7">
        <f t="shared" si="6"/>
        <v>146.3604631958876</v>
      </c>
      <c r="F44" s="1">
        <f t="shared" si="7"/>
        <v>147.76606319588763</v>
      </c>
      <c r="G44" s="1">
        <f t="shared" si="8"/>
        <v>144.95486319588761</v>
      </c>
      <c r="H44" s="1">
        <f t="shared" si="9"/>
        <v>1.4056000000000068</v>
      </c>
      <c r="I44"/>
      <c r="J44">
        <v>1550</v>
      </c>
      <c r="K44">
        <f t="shared" si="10"/>
        <v>1236.25</v>
      </c>
      <c r="L44">
        <f t="shared" si="11"/>
        <v>627.5</v>
      </c>
      <c r="M44" s="2">
        <v>2.8421099999999999</v>
      </c>
      <c r="N44" s="2">
        <v>1.903E-3</v>
      </c>
      <c r="O44" s="2">
        <v>2.8421099999999999</v>
      </c>
      <c r="P44" s="2"/>
      <c r="Q44">
        <v>2.8421099999999999</v>
      </c>
      <c r="R44"/>
      <c r="S44" s="2">
        <v>90</v>
      </c>
      <c r="T44" s="2"/>
      <c r="U44" s="2">
        <v>90</v>
      </c>
      <c r="V44" s="2"/>
      <c r="W44" s="2">
        <v>90</v>
      </c>
      <c r="X44"/>
      <c r="Y44">
        <v>22.957408999999998</v>
      </c>
      <c r="Z44">
        <v>9.3674999999999994E-2</v>
      </c>
      <c r="AB44" s="2"/>
      <c r="AC44"/>
      <c r="AD44"/>
      <c r="AE44"/>
      <c r="AF44"/>
      <c r="AG44"/>
      <c r="AH44"/>
      <c r="AI44"/>
      <c r="AJ44"/>
      <c r="AK44"/>
      <c r="AL44"/>
      <c r="AM44"/>
      <c r="AN44"/>
      <c r="AO44"/>
      <c r="AQ44" s="2"/>
      <c r="AR44"/>
      <c r="AS44" s="2"/>
      <c r="AT44"/>
      <c r="AU44" s="2"/>
      <c r="AV44"/>
      <c r="AW44"/>
      <c r="AX44"/>
      <c r="AY44"/>
      <c r="AZ44"/>
      <c r="BA44"/>
      <c r="BB44"/>
      <c r="BC44"/>
      <c r="BD44"/>
      <c r="BF44"/>
      <c r="BG44"/>
      <c r="BH44"/>
      <c r="BI44"/>
      <c r="BJ44"/>
      <c r="BK44"/>
      <c r="BL44"/>
      <c r="BM44"/>
      <c r="BN44"/>
      <c r="BO44"/>
      <c r="BP44"/>
      <c r="BQ44"/>
      <c r="BR44"/>
      <c r="BT44"/>
      <c r="BU44"/>
      <c r="BV44"/>
      <c r="BW44"/>
    </row>
    <row r="45" spans="1:75" s="5" customFormat="1" x14ac:dyDescent="0.3">
      <c r="A45">
        <v>42</v>
      </c>
      <c r="B45"/>
      <c r="C45"/>
      <c r="D45"/>
      <c r="E45" s="7">
        <f t="shared" si="6"/>
        <v>147.21828577127025</v>
      </c>
      <c r="F45" s="1">
        <f t="shared" si="7"/>
        <v>148.82548577127025</v>
      </c>
      <c r="G45" s="1">
        <f t="shared" si="8"/>
        <v>145.61108577127024</v>
      </c>
      <c r="H45" s="1">
        <f t="shared" si="9"/>
        <v>1.607200000000006</v>
      </c>
      <c r="I45"/>
      <c r="J45">
        <v>1730</v>
      </c>
      <c r="K45">
        <f t="shared" si="10"/>
        <v>1371.25</v>
      </c>
      <c r="L45">
        <f t="shared" si="11"/>
        <v>717.5</v>
      </c>
      <c r="M45" s="2">
        <v>2.8410690000000001</v>
      </c>
      <c r="N45" s="2">
        <v>2.0219999999999999E-3</v>
      </c>
      <c r="O45" s="2">
        <v>2.8410690000000001</v>
      </c>
      <c r="P45" s="2"/>
      <c r="Q45">
        <v>2.8410690000000001</v>
      </c>
      <c r="R45"/>
      <c r="S45" s="2">
        <v>90</v>
      </c>
      <c r="T45" s="2"/>
      <c r="U45" s="2">
        <v>90</v>
      </c>
      <c r="V45" s="2"/>
      <c r="W45" s="2">
        <v>90</v>
      </c>
      <c r="X45"/>
      <c r="Y45">
        <v>22.932182000000001</v>
      </c>
      <c r="Z45">
        <v>9.9513000000000004E-2</v>
      </c>
      <c r="AB45" s="2"/>
      <c r="AC45"/>
      <c r="AD45"/>
      <c r="AE45"/>
      <c r="AF45"/>
      <c r="AG45"/>
      <c r="AH45"/>
      <c r="AI45"/>
      <c r="AJ45"/>
      <c r="AK45"/>
      <c r="AL45"/>
      <c r="AM45"/>
      <c r="AN45"/>
      <c r="AO45"/>
      <c r="AQ45" s="2"/>
      <c r="AR45"/>
      <c r="AS45" s="2"/>
      <c r="AT45"/>
      <c r="AU45" s="2"/>
      <c r="AV45"/>
      <c r="AW45"/>
      <c r="AX45"/>
      <c r="AY45"/>
      <c r="AZ45"/>
      <c r="BA45"/>
      <c r="BB45"/>
      <c r="BC45"/>
      <c r="BD45"/>
      <c r="BF45"/>
      <c r="BG45"/>
      <c r="BH45"/>
      <c r="BI45"/>
      <c r="BJ45"/>
      <c r="BK45"/>
      <c r="BL45"/>
      <c r="BM45"/>
      <c r="BN45"/>
      <c r="BO45"/>
      <c r="BP45"/>
      <c r="BQ45"/>
      <c r="BR45"/>
      <c r="BT45"/>
      <c r="BU45"/>
      <c r="BV45"/>
      <c r="BW45"/>
    </row>
    <row r="46" spans="1:75" s="5" customFormat="1" x14ac:dyDescent="0.3">
      <c r="A46">
        <v>43</v>
      </c>
      <c r="B46"/>
      <c r="C46"/>
      <c r="D46"/>
      <c r="E46" s="7">
        <f t="shared" si="6"/>
        <v>147.28941696366402</v>
      </c>
      <c r="F46" s="1">
        <f t="shared" si="7"/>
        <v>149.09821696366402</v>
      </c>
      <c r="G46" s="1">
        <f t="shared" si="8"/>
        <v>145.48061696366403</v>
      </c>
      <c r="H46" s="1">
        <f t="shared" si="9"/>
        <v>1.8087999999999909</v>
      </c>
      <c r="I46"/>
      <c r="J46">
        <v>1910</v>
      </c>
      <c r="K46">
        <f t="shared" si="10"/>
        <v>1506.25</v>
      </c>
      <c r="L46">
        <f t="shared" si="11"/>
        <v>807.5</v>
      </c>
      <c r="M46" s="2">
        <v>2.8415020000000002</v>
      </c>
      <c r="N46" s="2">
        <v>1.601E-3</v>
      </c>
      <c r="O46" s="2">
        <v>2.8415020000000002</v>
      </c>
      <c r="P46" s="2"/>
      <c r="Q46">
        <v>2.8415020000000002</v>
      </c>
      <c r="R46"/>
      <c r="S46" s="2">
        <v>90</v>
      </c>
      <c r="T46" s="2"/>
      <c r="U46" s="2">
        <v>90</v>
      </c>
      <c r="V46" s="2"/>
      <c r="W46" s="2">
        <v>90</v>
      </c>
      <c r="X46"/>
      <c r="Y46">
        <v>22.942665999999999</v>
      </c>
      <c r="Z46">
        <v>7.8797000000000006E-2</v>
      </c>
      <c r="AB46" s="2"/>
      <c r="AC46"/>
      <c r="AD46"/>
      <c r="AE46"/>
      <c r="AF46"/>
      <c r="AG46"/>
      <c r="AH46"/>
      <c r="AI46"/>
      <c r="AJ46"/>
      <c r="AK46"/>
      <c r="AL46"/>
      <c r="AM46"/>
      <c r="AN46"/>
      <c r="AO46"/>
      <c r="AQ46" s="2"/>
      <c r="AR46"/>
      <c r="AS46" s="2"/>
      <c r="AT46"/>
      <c r="AU46" s="2"/>
      <c r="AV46"/>
      <c r="AW46"/>
      <c r="AX46"/>
      <c r="AY46"/>
      <c r="AZ46"/>
      <c r="BA46"/>
      <c r="BB46"/>
      <c r="BC46"/>
      <c r="BD46"/>
      <c r="BF46"/>
      <c r="BG46"/>
      <c r="BH46"/>
      <c r="BI46"/>
      <c r="BJ46"/>
      <c r="BK46"/>
      <c r="BL46"/>
      <c r="BM46"/>
      <c r="BN46"/>
      <c r="BO46"/>
      <c r="BP46"/>
      <c r="BQ46"/>
      <c r="BR46"/>
      <c r="BT46"/>
      <c r="BU46"/>
      <c r="BV46"/>
      <c r="BW46"/>
    </row>
    <row r="47" spans="1:75" s="5" customFormat="1" x14ac:dyDescent="0.3">
      <c r="A47">
        <v>44</v>
      </c>
      <c r="B47"/>
      <c r="C47"/>
      <c r="D47" t="s">
        <v>35</v>
      </c>
      <c r="E47" s="7">
        <f t="shared" si="6"/>
        <v>149.44883864867839</v>
      </c>
      <c r="F47" s="1">
        <f t="shared" si="7"/>
        <v>151.42563864867839</v>
      </c>
      <c r="G47" s="1">
        <f t="shared" si="8"/>
        <v>147.47203864867839</v>
      </c>
      <c r="H47" s="1">
        <f t="shared" si="9"/>
        <v>1.9767999999999972</v>
      </c>
      <c r="I47"/>
      <c r="J47">
        <v>2060</v>
      </c>
      <c r="K47">
        <f t="shared" si="10"/>
        <v>1618.75</v>
      </c>
      <c r="L47">
        <f t="shared" si="11"/>
        <v>882.5</v>
      </c>
      <c r="M47" s="2">
        <v>2.8379500000000002</v>
      </c>
      <c r="N47" s="2">
        <v>2.415E-3</v>
      </c>
      <c r="O47" s="2">
        <v>2.8379500000000002</v>
      </c>
      <c r="P47" s="2"/>
      <c r="Q47">
        <v>2.8379500000000002</v>
      </c>
      <c r="R47"/>
      <c r="S47" s="2">
        <v>90</v>
      </c>
      <c r="T47" s="2"/>
      <c r="U47" s="2">
        <v>90</v>
      </c>
      <c r="V47" s="2"/>
      <c r="W47" s="2">
        <v>90</v>
      </c>
      <c r="X47"/>
      <c r="Y47">
        <v>22.856741</v>
      </c>
      <c r="Z47">
        <v>0.11872199999999999</v>
      </c>
      <c r="AB47" s="2"/>
      <c r="AC47"/>
      <c r="AD47"/>
      <c r="AE47"/>
      <c r="AF47"/>
      <c r="AG47"/>
      <c r="AH47"/>
      <c r="AI47"/>
      <c r="AJ47"/>
      <c r="AK47"/>
      <c r="AL47"/>
      <c r="AM47"/>
      <c r="AN47"/>
      <c r="AO47"/>
      <c r="AQ47" s="2"/>
      <c r="AR47"/>
      <c r="AS47" s="2"/>
      <c r="AT47"/>
      <c r="AU47" s="2"/>
      <c r="AV47"/>
      <c r="AW47"/>
      <c r="AX47"/>
      <c r="AY47"/>
      <c r="AZ47"/>
      <c r="BA47"/>
      <c r="BB47"/>
      <c r="BC47"/>
      <c r="BD47"/>
      <c r="BF47"/>
      <c r="BG47"/>
      <c r="BH47"/>
      <c r="BI47"/>
      <c r="BJ47"/>
      <c r="BK47"/>
      <c r="BL47"/>
      <c r="BM47"/>
      <c r="BN47"/>
      <c r="BO47"/>
      <c r="BP47"/>
      <c r="BQ47"/>
      <c r="BR47"/>
      <c r="BT47"/>
      <c r="BU47"/>
      <c r="BV47"/>
      <c r="BW47"/>
    </row>
    <row r="48" spans="1:75" s="5" customFormat="1" x14ac:dyDescent="0.3">
      <c r="A48">
        <v>45</v>
      </c>
      <c r="B48"/>
      <c r="C48"/>
      <c r="D48"/>
      <c r="E48" s="7">
        <f t="shared" si="6"/>
        <v>149.50351400926252</v>
      </c>
      <c r="F48" s="1">
        <f t="shared" si="7"/>
        <v>151.6931140092625</v>
      </c>
      <c r="G48" s="1">
        <f t="shared" si="8"/>
        <v>147.3139140092625</v>
      </c>
      <c r="H48" s="1">
        <f t="shared" si="9"/>
        <v>2.1895999999999987</v>
      </c>
      <c r="I48"/>
      <c r="J48">
        <v>2250</v>
      </c>
      <c r="K48">
        <f t="shared" si="10"/>
        <v>1761.25</v>
      </c>
      <c r="L48">
        <f t="shared" si="11"/>
        <v>977.5</v>
      </c>
      <c r="M48" s="2">
        <v>2.8384399999999999</v>
      </c>
      <c r="N48" s="2">
        <v>2.2590000000000002E-3</v>
      </c>
      <c r="O48" s="2">
        <v>2.8384399999999999</v>
      </c>
      <c r="P48" s="2"/>
      <c r="Q48">
        <v>2.8384399999999999</v>
      </c>
      <c r="R48"/>
      <c r="S48" s="2">
        <v>90</v>
      </c>
      <c r="T48" s="2"/>
      <c r="U48" s="2">
        <v>90</v>
      </c>
      <c r="V48" s="2"/>
      <c r="W48" s="2">
        <v>90</v>
      </c>
      <c r="X48"/>
      <c r="Y48">
        <v>22.868583999999998</v>
      </c>
      <c r="Z48">
        <v>0.111044</v>
      </c>
      <c r="AB48" s="2"/>
      <c r="AC48"/>
      <c r="AD48"/>
      <c r="AE48"/>
      <c r="AF48"/>
      <c r="AG48"/>
      <c r="AH48"/>
      <c r="AI48"/>
      <c r="AJ48"/>
      <c r="AK48"/>
      <c r="AL48"/>
      <c r="AM48"/>
      <c r="AN48"/>
      <c r="AO48"/>
      <c r="AQ48" s="2"/>
      <c r="AR48"/>
      <c r="AS48" s="2"/>
      <c r="AT48"/>
      <c r="AU48" s="2"/>
      <c r="AV48"/>
      <c r="AW48"/>
      <c r="AX48"/>
      <c r="AY48"/>
      <c r="AZ48"/>
      <c r="BA48"/>
      <c r="BB48"/>
      <c r="BC48"/>
      <c r="BD48"/>
      <c r="BF48"/>
      <c r="BG48"/>
      <c r="BH48"/>
      <c r="BI48"/>
      <c r="BJ48"/>
      <c r="BK48"/>
      <c r="BL48"/>
      <c r="BM48"/>
      <c r="BN48"/>
      <c r="BO48"/>
      <c r="BP48"/>
      <c r="BQ48"/>
      <c r="BR48"/>
      <c r="BT48"/>
      <c r="BU48"/>
      <c r="BV48"/>
      <c r="BW48"/>
    </row>
    <row r="49" spans="1:75" s="5" customFormat="1" x14ac:dyDescent="0.3">
      <c r="A49">
        <v>46</v>
      </c>
      <c r="B49"/>
      <c r="C49"/>
      <c r="D49"/>
      <c r="E49" s="7">
        <f t="shared" si="6"/>
        <v>149.75485290737586</v>
      </c>
      <c r="F49" s="1">
        <f t="shared" si="7"/>
        <v>152.16845290737587</v>
      </c>
      <c r="G49" s="1">
        <f t="shared" si="8"/>
        <v>147.34125290737589</v>
      </c>
      <c r="H49" s="1">
        <f t="shared" si="9"/>
        <v>2.4135999999999882</v>
      </c>
      <c r="I49"/>
      <c r="J49">
        <v>2450</v>
      </c>
      <c r="K49">
        <f t="shared" si="10"/>
        <v>1911.25</v>
      </c>
      <c r="L49">
        <f t="shared" si="11"/>
        <v>1077.5</v>
      </c>
      <c r="M49" s="2">
        <v>2.838597</v>
      </c>
      <c r="N49" s="2">
        <v>1.9120000000000001E-3</v>
      </c>
      <c r="O49" s="2">
        <v>2.838597</v>
      </c>
      <c r="P49" s="2"/>
      <c r="Q49">
        <v>2.838597</v>
      </c>
      <c r="R49"/>
      <c r="S49" s="2">
        <v>90</v>
      </c>
      <c r="T49" s="2"/>
      <c r="U49" s="2">
        <v>90</v>
      </c>
      <c r="V49" s="2"/>
      <c r="W49" s="2">
        <v>90</v>
      </c>
      <c r="X49"/>
      <c r="Y49">
        <v>22.872375000000002</v>
      </c>
      <c r="Z49">
        <v>9.4028E-2</v>
      </c>
      <c r="AB49" s="2"/>
      <c r="AC49"/>
      <c r="AD49"/>
      <c r="AE49"/>
      <c r="AF49"/>
      <c r="AG49"/>
      <c r="AH49"/>
      <c r="AI49"/>
      <c r="AJ49"/>
      <c r="AK49"/>
      <c r="AL49"/>
      <c r="AM49"/>
      <c r="AN49"/>
      <c r="AO49"/>
      <c r="AQ49" s="2"/>
      <c r="AR49"/>
      <c r="AS49" s="2"/>
      <c r="AT49"/>
      <c r="AU49" s="2"/>
      <c r="AV49"/>
      <c r="AW49"/>
      <c r="AX49"/>
      <c r="AY49"/>
      <c r="AZ49"/>
      <c r="BA49"/>
      <c r="BB49"/>
      <c r="BC49"/>
      <c r="BD49"/>
      <c r="BF49"/>
      <c r="BG49"/>
      <c r="BH49"/>
      <c r="BI49"/>
      <c r="BJ49"/>
      <c r="BK49"/>
      <c r="BL49"/>
      <c r="BM49"/>
      <c r="BN49"/>
      <c r="BO49"/>
      <c r="BP49"/>
      <c r="BQ49"/>
      <c r="BR49"/>
      <c r="BT49"/>
      <c r="BU49"/>
      <c r="BV49"/>
      <c r="BW49"/>
    </row>
    <row r="50" spans="1:75" s="5" customFormat="1" x14ac:dyDescent="0.3">
      <c r="A50">
        <v>47</v>
      </c>
      <c r="B50"/>
      <c r="C50"/>
      <c r="D50"/>
      <c r="E50" s="7">
        <f t="shared" si="6"/>
        <v>148.5193259260206</v>
      </c>
      <c r="F50" s="1">
        <f t="shared" si="7"/>
        <v>148.52492592602061</v>
      </c>
      <c r="G50" s="1">
        <f t="shared" si="8"/>
        <v>148.51372592602061</v>
      </c>
      <c r="H50" s="1">
        <f t="shared" si="9"/>
        <v>5.6000000000011596E-3</v>
      </c>
      <c r="I50"/>
      <c r="J50">
        <v>300</v>
      </c>
      <c r="K50">
        <f t="shared" si="10"/>
        <v>298.75</v>
      </c>
      <c r="L50">
        <f t="shared" si="11"/>
        <v>2.5</v>
      </c>
      <c r="M50" s="2">
        <v>2.834222</v>
      </c>
      <c r="N50" s="2">
        <v>1.9740000000000001E-3</v>
      </c>
      <c r="O50" s="2">
        <v>2.834222</v>
      </c>
      <c r="P50" s="2"/>
      <c r="Q50">
        <v>2.834222</v>
      </c>
      <c r="R50"/>
      <c r="S50" s="2">
        <v>90</v>
      </c>
      <c r="T50" s="2"/>
      <c r="U50" s="2">
        <v>90</v>
      </c>
      <c r="V50" s="2"/>
      <c r="W50" s="2">
        <v>90</v>
      </c>
      <c r="X50"/>
      <c r="Y50">
        <v>22.766786</v>
      </c>
      <c r="Z50">
        <v>9.6884999999999999E-2</v>
      </c>
      <c r="AB50" s="2"/>
      <c r="AC50"/>
      <c r="AD50"/>
      <c r="AE50"/>
      <c r="AF50"/>
      <c r="AG50"/>
      <c r="AH50"/>
      <c r="AI50"/>
      <c r="AJ50"/>
      <c r="AK50"/>
      <c r="AL50"/>
      <c r="AM50"/>
      <c r="AN50"/>
      <c r="AO50"/>
      <c r="AQ50" s="2"/>
      <c r="AR50"/>
      <c r="AS50" s="2"/>
      <c r="AT50"/>
      <c r="AU50" s="2"/>
      <c r="AV50"/>
      <c r="AW50"/>
      <c r="AX50"/>
      <c r="AY50"/>
      <c r="AZ50"/>
      <c r="BA50"/>
      <c r="BB50"/>
      <c r="BC50"/>
      <c r="BD50"/>
      <c r="BF50"/>
      <c r="BG50"/>
      <c r="BH50"/>
      <c r="BI50"/>
      <c r="BJ50"/>
      <c r="BK50"/>
      <c r="BL50"/>
      <c r="BM50"/>
      <c r="BN50"/>
      <c r="BO50"/>
      <c r="BP50"/>
      <c r="BQ50"/>
      <c r="BR50"/>
      <c r="BT50"/>
      <c r="BU50"/>
      <c r="BV50"/>
      <c r="BW50"/>
    </row>
    <row r="51" spans="1:75" s="5" customFormat="1" x14ac:dyDescent="0.3">
      <c r="A51">
        <v>48</v>
      </c>
      <c r="B51" t="s">
        <v>77</v>
      </c>
      <c r="C51"/>
      <c r="D51"/>
      <c r="E51" s="7">
        <f t="shared" si="6"/>
        <v>148.62718303323163</v>
      </c>
      <c r="F51" s="1">
        <f t="shared" si="7"/>
        <v>148.63278303323165</v>
      </c>
      <c r="G51" s="1">
        <f t="shared" si="8"/>
        <v>148.62158303323164</v>
      </c>
      <c r="H51" s="1">
        <f t="shared" si="9"/>
        <v>5.6000000000011596E-3</v>
      </c>
      <c r="I51"/>
      <c r="J51">
        <v>300</v>
      </c>
      <c r="K51">
        <f t="shared" si="10"/>
        <v>298.75</v>
      </c>
      <c r="L51">
        <f t="shared" si="11"/>
        <v>2.5</v>
      </c>
      <c r="M51" s="2">
        <v>2.834025</v>
      </c>
      <c r="N51" s="2">
        <v>1.9910000000000001E-3</v>
      </c>
      <c r="O51" s="2">
        <v>2.834025</v>
      </c>
      <c r="P51" s="2"/>
      <c r="Q51">
        <v>2.834025</v>
      </c>
      <c r="R51"/>
      <c r="S51" s="2">
        <v>90</v>
      </c>
      <c r="T51" s="2"/>
      <c r="U51" s="2">
        <v>90</v>
      </c>
      <c r="V51"/>
      <c r="W51">
        <v>90</v>
      </c>
      <c r="X51"/>
      <c r="Y51">
        <v>22.762039000000001</v>
      </c>
      <c r="Z51">
        <v>9.7729999999999997E-2</v>
      </c>
      <c r="AB51" s="2"/>
      <c r="AC51"/>
      <c r="AD51"/>
      <c r="AE51"/>
      <c r="AF51"/>
      <c r="AG51"/>
      <c r="AH51"/>
      <c r="AI51"/>
      <c r="AJ51"/>
      <c r="AK51"/>
      <c r="AL51"/>
      <c r="AM51"/>
      <c r="AN51"/>
      <c r="AO51"/>
      <c r="AQ51" s="2"/>
      <c r="AR51"/>
      <c r="AS51" s="2"/>
      <c r="AT51"/>
      <c r="AU51" s="2"/>
      <c r="AV51"/>
      <c r="AW51"/>
      <c r="AX51"/>
      <c r="AY51"/>
      <c r="AZ51"/>
      <c r="BA51"/>
      <c r="BB51"/>
      <c r="BC51"/>
      <c r="BD51"/>
      <c r="BF51"/>
      <c r="BG51"/>
      <c r="BH51"/>
      <c r="BI51"/>
      <c r="BJ51"/>
      <c r="BK51"/>
      <c r="BL51"/>
      <c r="BM51"/>
      <c r="BN51"/>
      <c r="BO51"/>
      <c r="BP51"/>
      <c r="BQ51"/>
      <c r="BR51"/>
      <c r="BT51"/>
      <c r="BU51"/>
      <c r="BV51"/>
      <c r="BW51"/>
    </row>
    <row r="52" spans="1:75" s="5" customFormat="1" x14ac:dyDescent="0.3">
      <c r="A52">
        <v>49</v>
      </c>
      <c r="B52"/>
      <c r="C52"/>
      <c r="D52"/>
      <c r="E52" s="7">
        <f t="shared" si="6"/>
        <v>148.61294387798569</v>
      </c>
      <c r="F52" s="1">
        <f t="shared" si="7"/>
        <v>148.6185438779857</v>
      </c>
      <c r="G52" s="1">
        <f t="shared" si="8"/>
        <v>148.6073438779857</v>
      </c>
      <c r="H52" s="1">
        <f t="shared" si="9"/>
        <v>5.6000000000011596E-3</v>
      </c>
      <c r="I52"/>
      <c r="J52">
        <v>300</v>
      </c>
      <c r="K52">
        <f t="shared" si="10"/>
        <v>298.75</v>
      </c>
      <c r="L52">
        <f t="shared" si="11"/>
        <v>2.5</v>
      </c>
      <c r="M52" s="2">
        <v>2.8340510000000001</v>
      </c>
      <c r="N52" s="2">
        <v>2.235E-3</v>
      </c>
      <c r="O52" s="2">
        <v>2.8340510000000001</v>
      </c>
      <c r="P52" s="2"/>
      <c r="Q52">
        <v>2.8340510000000001</v>
      </c>
      <c r="R52"/>
      <c r="S52" s="2">
        <v>90</v>
      </c>
      <c r="T52" s="2"/>
      <c r="U52" s="2">
        <v>90</v>
      </c>
      <c r="V52"/>
      <c r="W52">
        <v>90</v>
      </c>
      <c r="X52"/>
      <c r="Y52">
        <v>22.762664999999998</v>
      </c>
      <c r="Z52">
        <v>0.109712</v>
      </c>
      <c r="AB52" s="2">
        <v>4.7547779999999999</v>
      </c>
      <c r="AC52">
        <v>7.7499999999999997E-4</v>
      </c>
      <c r="AD52">
        <v>4.7547779999999999</v>
      </c>
      <c r="AE52"/>
      <c r="AF52">
        <v>4.7547779999999999</v>
      </c>
      <c r="AG52"/>
      <c r="AH52">
        <v>90</v>
      </c>
      <c r="AI52"/>
      <c r="AJ52">
        <v>90</v>
      </c>
      <c r="AK52"/>
      <c r="AL52">
        <v>90</v>
      </c>
      <c r="AM52"/>
      <c r="AN52">
        <v>107.49562</v>
      </c>
      <c r="AO52">
        <v>6.3821000000000003E-2</v>
      </c>
      <c r="AQ52" s="2">
        <v>4.6731319999999998</v>
      </c>
      <c r="AR52">
        <v>4.5399999999999998E-3</v>
      </c>
      <c r="AS52" s="2">
        <v>2.9261680000000001</v>
      </c>
      <c r="AT52">
        <v>2.2820000000000002E-3</v>
      </c>
      <c r="AU52" s="2">
        <v>4.8710820000000004</v>
      </c>
      <c r="AV52">
        <v>2.2000000000000001E-3</v>
      </c>
      <c r="AW52">
        <v>90</v>
      </c>
      <c r="AX52"/>
      <c r="AY52">
        <v>90</v>
      </c>
      <c r="AZ52"/>
      <c r="BA52">
        <v>90</v>
      </c>
      <c r="BB52"/>
      <c r="BC52">
        <v>66.608963000000003</v>
      </c>
      <c r="BD52">
        <v>0.21873600000000001</v>
      </c>
      <c r="BF52"/>
      <c r="BG52"/>
      <c r="BH52"/>
      <c r="BI52"/>
      <c r="BJ52"/>
      <c r="BK52"/>
      <c r="BL52"/>
      <c r="BM52"/>
      <c r="BN52"/>
      <c r="BO52"/>
      <c r="BP52"/>
      <c r="BQ52"/>
      <c r="BR52"/>
      <c r="BT52"/>
      <c r="BU52"/>
      <c r="BV52"/>
      <c r="BW52"/>
    </row>
    <row r="53" spans="1:75" s="5" customFormat="1" x14ac:dyDescent="0.3">
      <c r="A53">
        <v>50</v>
      </c>
      <c r="B53"/>
      <c r="C53"/>
      <c r="D53"/>
      <c r="E53" s="7">
        <f t="shared" si="6"/>
        <v>150.82949007591395</v>
      </c>
      <c r="F53" s="1">
        <f t="shared" si="7"/>
        <v>152.03349007591393</v>
      </c>
      <c r="G53" s="1">
        <f t="shared" si="8"/>
        <v>149.62549007591394</v>
      </c>
      <c r="H53" s="1">
        <f t="shared" si="9"/>
        <v>1.2039999999999935</v>
      </c>
      <c r="I53"/>
      <c r="J53">
        <v>1370</v>
      </c>
      <c r="K53">
        <f t="shared" si="10"/>
        <v>1101.25</v>
      </c>
      <c r="L53">
        <f t="shared" si="11"/>
        <v>537.5</v>
      </c>
      <c r="M53" s="2">
        <v>2.8332869999999999</v>
      </c>
      <c r="N53" s="2">
        <v>2.5200000000000001E-3</v>
      </c>
      <c r="O53" s="2">
        <v>2.8332869999999999</v>
      </c>
      <c r="P53" s="2"/>
      <c r="Q53">
        <v>2.8332869999999999</v>
      </c>
      <c r="R53"/>
      <c r="S53" s="2">
        <v>90</v>
      </c>
      <c r="T53" s="2"/>
      <c r="U53" s="2">
        <v>90</v>
      </c>
      <c r="V53" s="2"/>
      <c r="W53" s="2">
        <v>90</v>
      </c>
      <c r="X53"/>
      <c r="Y53">
        <v>22.744250000000001</v>
      </c>
      <c r="Z53">
        <v>0.123664</v>
      </c>
      <c r="AB53" s="2">
        <v>4.7615049999999997</v>
      </c>
      <c r="AC53">
        <v>1.776E-3</v>
      </c>
      <c r="AD53">
        <v>4.7615049999999997</v>
      </c>
      <c r="AE53"/>
      <c r="AF53">
        <v>4.7615049999999997</v>
      </c>
      <c r="AG53"/>
      <c r="AH53">
        <v>90</v>
      </c>
      <c r="AI53"/>
      <c r="AJ53">
        <v>90</v>
      </c>
      <c r="AK53"/>
      <c r="AL53">
        <v>90</v>
      </c>
      <c r="AM53"/>
      <c r="AN53">
        <v>107.952485</v>
      </c>
      <c r="AO53">
        <v>0.146506</v>
      </c>
      <c r="AQ53" s="2">
        <v>4.6861610000000002</v>
      </c>
      <c r="AR53">
        <v>2.8500000000000001E-3</v>
      </c>
      <c r="AS53" s="2">
        <v>2.9149949999999998</v>
      </c>
      <c r="AT53">
        <v>9.0399999999999996E-4</v>
      </c>
      <c r="AU53" s="2">
        <v>4.8966440000000002</v>
      </c>
      <c r="AV53">
        <v>1.5839999999999999E-3</v>
      </c>
      <c r="AW53">
        <v>90</v>
      </c>
      <c r="AX53"/>
      <c r="AY53">
        <v>90</v>
      </c>
      <c r="AZ53"/>
      <c r="BA53">
        <v>90</v>
      </c>
      <c r="BB53"/>
      <c r="BC53">
        <v>66.888840000000002</v>
      </c>
      <c r="BD53">
        <v>0.12997300000000001</v>
      </c>
      <c r="BF53"/>
      <c r="BG53"/>
      <c r="BH53"/>
      <c r="BI53"/>
      <c r="BJ53"/>
      <c r="BK53"/>
      <c r="BL53"/>
      <c r="BM53"/>
      <c r="BN53"/>
      <c r="BO53"/>
      <c r="BP53"/>
      <c r="BQ53"/>
      <c r="BR53"/>
      <c r="BT53"/>
      <c r="BU53"/>
      <c r="BV53"/>
      <c r="BW53"/>
    </row>
    <row r="54" spans="1:75" s="5" customFormat="1" x14ac:dyDescent="0.3">
      <c r="A54">
        <v>51</v>
      </c>
      <c r="B54"/>
      <c r="C54"/>
      <c r="D54"/>
      <c r="E54" s="7">
        <f t="shared" si="6"/>
        <v>151.19843848475946</v>
      </c>
      <c r="F54" s="1">
        <f t="shared" si="7"/>
        <v>152.62643848475946</v>
      </c>
      <c r="G54" s="1">
        <f t="shared" si="8"/>
        <v>149.77043848475947</v>
      </c>
      <c r="H54" s="1">
        <f t="shared" si="9"/>
        <v>1.4279999999999973</v>
      </c>
      <c r="I54"/>
      <c r="J54">
        <v>1570</v>
      </c>
      <c r="K54">
        <f t="shared" si="10"/>
        <v>1251.25</v>
      </c>
      <c r="L54">
        <f t="shared" si="11"/>
        <v>637.5</v>
      </c>
      <c r="M54" s="2">
        <v>2.8332269999999999</v>
      </c>
      <c r="N54" s="2">
        <v>2.578E-3</v>
      </c>
      <c r="O54" s="2">
        <v>2.8332269999999999</v>
      </c>
      <c r="P54" s="2"/>
      <c r="Q54">
        <v>2.8332269999999999</v>
      </c>
      <c r="R54"/>
      <c r="S54" s="2">
        <v>90</v>
      </c>
      <c r="T54" s="2"/>
      <c r="U54" s="2">
        <v>90</v>
      </c>
      <c r="V54" s="2"/>
      <c r="W54" s="2">
        <v>90</v>
      </c>
      <c r="X54"/>
      <c r="Y54">
        <v>22.742809999999999</v>
      </c>
      <c r="Z54">
        <v>0.126496</v>
      </c>
      <c r="AB54" s="2">
        <v>4.7618559999999999</v>
      </c>
      <c r="AC54">
        <v>1.6440000000000001E-3</v>
      </c>
      <c r="AD54">
        <v>4.7618559999999999</v>
      </c>
      <c r="AE54"/>
      <c r="AF54">
        <v>4.7618559999999999</v>
      </c>
      <c r="AG54"/>
      <c r="AH54">
        <v>90</v>
      </c>
      <c r="AI54"/>
      <c r="AJ54">
        <v>90</v>
      </c>
      <c r="AK54"/>
      <c r="AL54">
        <v>90</v>
      </c>
      <c r="AM54"/>
      <c r="AN54">
        <v>107.976404</v>
      </c>
      <c r="AO54">
        <v>0.135603</v>
      </c>
      <c r="AQ54" s="2">
        <v>4.6878640000000003</v>
      </c>
      <c r="AR54">
        <v>2.209E-3</v>
      </c>
      <c r="AS54" s="2">
        <v>2.9133819999999999</v>
      </c>
      <c r="AT54">
        <v>6.9899999999999997E-4</v>
      </c>
      <c r="AU54" s="2">
        <v>4.9011639999999996</v>
      </c>
      <c r="AV54">
        <v>1.23E-3</v>
      </c>
      <c r="AW54">
        <v>90</v>
      </c>
      <c r="AX54"/>
      <c r="AY54">
        <v>90</v>
      </c>
      <c r="AZ54"/>
      <c r="BA54">
        <v>90</v>
      </c>
      <c r="BB54"/>
      <c r="BC54">
        <v>66.937837000000002</v>
      </c>
      <c r="BD54">
        <v>0.100786</v>
      </c>
      <c r="BF54"/>
      <c r="BG54"/>
      <c r="BH54"/>
      <c r="BI54"/>
      <c r="BJ54"/>
      <c r="BK54"/>
      <c r="BL54"/>
      <c r="BM54"/>
      <c r="BN54"/>
      <c r="BO54"/>
      <c r="BP54"/>
      <c r="BQ54"/>
      <c r="BR54"/>
      <c r="BT54"/>
      <c r="BU54"/>
      <c r="BV54"/>
      <c r="BW54"/>
    </row>
    <row r="55" spans="1:75" s="5" customFormat="1" x14ac:dyDescent="0.3">
      <c r="A55">
        <v>52</v>
      </c>
      <c r="B55"/>
      <c r="C55"/>
      <c r="D55"/>
      <c r="E55" s="7">
        <f t="shared" si="6"/>
        <v>151.63538169102281</v>
      </c>
      <c r="F55" s="1">
        <f t="shared" si="7"/>
        <v>153.24258169102282</v>
      </c>
      <c r="G55" s="1">
        <f t="shared" si="8"/>
        <v>150.02818169102281</v>
      </c>
      <c r="H55" s="1">
        <f t="shared" si="9"/>
        <v>1.607200000000006</v>
      </c>
      <c r="I55"/>
      <c r="J55">
        <v>1730</v>
      </c>
      <c r="K55">
        <f t="shared" si="10"/>
        <v>1371.25</v>
      </c>
      <c r="L55">
        <f t="shared" si="11"/>
        <v>717.5</v>
      </c>
      <c r="M55" s="2">
        <v>2.8329209999999998</v>
      </c>
      <c r="N55" s="2">
        <v>2.5500000000000002E-3</v>
      </c>
      <c r="O55" s="2">
        <v>2.8329209999999998</v>
      </c>
      <c r="P55" s="2"/>
      <c r="Q55">
        <v>2.8329209999999998</v>
      </c>
      <c r="R55"/>
      <c r="S55" s="2">
        <v>90</v>
      </c>
      <c r="T55" s="2"/>
      <c r="U55" s="2">
        <v>90</v>
      </c>
      <c r="V55" s="2"/>
      <c r="W55" s="2">
        <v>90</v>
      </c>
      <c r="X55"/>
      <c r="Y55">
        <v>22.735448000000002</v>
      </c>
      <c r="Z55">
        <v>0.12511700000000001</v>
      </c>
      <c r="AB55" s="2">
        <v>4.7613070000000004</v>
      </c>
      <c r="AC55">
        <v>1.147E-3</v>
      </c>
      <c r="AD55">
        <v>4.7613070000000004</v>
      </c>
      <c r="AE55"/>
      <c r="AF55">
        <v>4.7613070000000004</v>
      </c>
      <c r="AG55"/>
      <c r="AH55">
        <v>90</v>
      </c>
      <c r="AI55"/>
      <c r="AJ55">
        <v>90</v>
      </c>
      <c r="AK55"/>
      <c r="AL55">
        <v>90</v>
      </c>
      <c r="AM55"/>
      <c r="AN55">
        <v>107.93905700000001</v>
      </c>
      <c r="AO55">
        <v>9.4596E-2</v>
      </c>
      <c r="AQ55" s="2">
        <v>4.6898989999999996</v>
      </c>
      <c r="AR55">
        <v>1.384E-3</v>
      </c>
      <c r="AS55" s="2">
        <v>2.9115739999999999</v>
      </c>
      <c r="AT55">
        <v>5.3799999999999996E-4</v>
      </c>
      <c r="AU55" s="2">
        <v>4.9037290000000002</v>
      </c>
      <c r="AV55">
        <v>8.9999999999999998E-4</v>
      </c>
      <c r="AW55">
        <v>90</v>
      </c>
      <c r="AX55"/>
      <c r="AY55">
        <v>90</v>
      </c>
      <c r="AZ55"/>
      <c r="BA55">
        <v>90</v>
      </c>
      <c r="BB55"/>
      <c r="BC55">
        <v>66.960372000000007</v>
      </c>
      <c r="BD55">
        <v>6.7113999999999993E-2</v>
      </c>
      <c r="BF55"/>
      <c r="BG55"/>
      <c r="BH55"/>
      <c r="BI55"/>
      <c r="BJ55"/>
      <c r="BK55"/>
      <c r="BL55"/>
      <c r="BM55"/>
      <c r="BN55"/>
      <c r="BO55"/>
      <c r="BP55"/>
      <c r="BQ55"/>
      <c r="BR55"/>
      <c r="BT55"/>
      <c r="BU55"/>
      <c r="BV55"/>
      <c r="BW55"/>
    </row>
    <row r="56" spans="1:75" s="5" customFormat="1" x14ac:dyDescent="0.3">
      <c r="A56">
        <v>53</v>
      </c>
      <c r="B56"/>
      <c r="C56"/>
      <c r="D56"/>
      <c r="E56" s="7">
        <f t="shared" si="6"/>
        <v>152.02052267934596</v>
      </c>
      <c r="F56" s="1">
        <f t="shared" si="7"/>
        <v>153.81812267934595</v>
      </c>
      <c r="G56" s="1">
        <f t="shared" si="8"/>
        <v>150.22292267934594</v>
      </c>
      <c r="H56" s="1">
        <f t="shared" si="9"/>
        <v>1.7976000000000028</v>
      </c>
      <c r="I56"/>
      <c r="J56">
        <v>1900</v>
      </c>
      <c r="K56">
        <f t="shared" si="10"/>
        <v>1498.75</v>
      </c>
      <c r="L56">
        <f t="shared" si="11"/>
        <v>802.5</v>
      </c>
      <c r="M56" s="2">
        <v>2.8327399999999998</v>
      </c>
      <c r="N56" s="2">
        <v>2.3549999999999999E-3</v>
      </c>
      <c r="O56" s="2">
        <v>2.8327399999999998</v>
      </c>
      <c r="P56" s="2"/>
      <c r="Q56">
        <v>2.8327399999999998</v>
      </c>
      <c r="R56"/>
      <c r="S56" s="2">
        <v>90</v>
      </c>
      <c r="T56" s="2"/>
      <c r="U56" s="2">
        <v>90</v>
      </c>
      <c r="V56" s="2"/>
      <c r="W56" s="2">
        <v>90</v>
      </c>
      <c r="X56"/>
      <c r="Y56">
        <v>22.731081</v>
      </c>
      <c r="Z56">
        <v>0.115565</v>
      </c>
      <c r="AB56" s="2">
        <v>4.7614159999999996</v>
      </c>
      <c r="AC56">
        <v>8.6600000000000002E-4</v>
      </c>
      <c r="AD56">
        <v>4.7614159999999996</v>
      </c>
      <c r="AE56"/>
      <c r="AF56">
        <v>4.7614159999999996</v>
      </c>
      <c r="AG56"/>
      <c r="AH56">
        <v>90</v>
      </c>
      <c r="AI56"/>
      <c r="AJ56">
        <v>90</v>
      </c>
      <c r="AK56"/>
      <c r="AL56">
        <v>90</v>
      </c>
      <c r="AM56"/>
      <c r="AN56">
        <v>107.946428</v>
      </c>
      <c r="AO56">
        <v>7.1443999999999994E-2</v>
      </c>
      <c r="AQ56" s="2">
        <v>4.6911740000000002</v>
      </c>
      <c r="AR56">
        <v>2.3570000000000002E-3</v>
      </c>
      <c r="AS56" s="2">
        <v>2.908436</v>
      </c>
      <c r="AT56">
        <v>9.1299999999999997E-4</v>
      </c>
      <c r="AU56" s="2">
        <v>4.9061320000000004</v>
      </c>
      <c r="AV56">
        <v>1.5319999999999999E-3</v>
      </c>
      <c r="AW56">
        <v>90</v>
      </c>
      <c r="AX56"/>
      <c r="AY56">
        <v>90</v>
      </c>
      <c r="AZ56"/>
      <c r="BA56">
        <v>90</v>
      </c>
      <c r="BB56"/>
      <c r="BC56">
        <v>66.939162999999994</v>
      </c>
      <c r="BD56">
        <v>0.114219</v>
      </c>
      <c r="BF56"/>
      <c r="BG56"/>
      <c r="BH56"/>
      <c r="BI56"/>
      <c r="BJ56"/>
      <c r="BK56"/>
      <c r="BL56"/>
      <c r="BM56"/>
      <c r="BN56"/>
      <c r="BO56"/>
      <c r="BP56"/>
      <c r="BQ56"/>
      <c r="BR56"/>
      <c r="BT56"/>
      <c r="BU56"/>
      <c r="BV56"/>
      <c r="BW56"/>
    </row>
    <row r="57" spans="1:75" s="5" customFormat="1" x14ac:dyDescent="0.3">
      <c r="A57">
        <v>54</v>
      </c>
      <c r="B57" t="s">
        <v>86</v>
      </c>
      <c r="C57"/>
      <c r="D57"/>
      <c r="E57" s="7">
        <f t="shared" si="6"/>
        <v>152.55029432092368</v>
      </c>
      <c r="F57" s="1">
        <f t="shared" si="7"/>
        <v>154.52709432092368</v>
      </c>
      <c r="G57" s="1">
        <f t="shared" si="8"/>
        <v>150.57349432092369</v>
      </c>
      <c r="H57" s="1">
        <f t="shared" si="9"/>
        <v>1.9767999999999972</v>
      </c>
      <c r="I57"/>
      <c r="J57">
        <v>2060</v>
      </c>
      <c r="K57">
        <f t="shared" si="10"/>
        <v>1618.75</v>
      </c>
      <c r="L57">
        <f t="shared" si="11"/>
        <v>882.5</v>
      </c>
      <c r="M57" s="2">
        <v>2.8322660000000002</v>
      </c>
      <c r="N57" s="2">
        <v>2.3519999999999999E-3</v>
      </c>
      <c r="O57" s="2">
        <v>2.8322660000000002</v>
      </c>
      <c r="P57" s="2"/>
      <c r="Q57">
        <v>2.8322660000000002</v>
      </c>
      <c r="R57"/>
      <c r="S57" s="2">
        <v>90</v>
      </c>
      <c r="T57" s="2"/>
      <c r="U57" s="2">
        <v>90</v>
      </c>
      <c r="V57" s="2"/>
      <c r="W57" s="2">
        <v>90</v>
      </c>
      <c r="X57"/>
      <c r="Y57">
        <v>22.719674000000001</v>
      </c>
      <c r="Z57">
        <v>0.115374</v>
      </c>
      <c r="AB57" s="2">
        <v>4.7609459999999997</v>
      </c>
      <c r="AC57">
        <v>1.3680000000000001E-3</v>
      </c>
      <c r="AD57">
        <v>4.7609459999999997</v>
      </c>
      <c r="AE57"/>
      <c r="AF57">
        <v>4.7609459999999997</v>
      </c>
      <c r="AG57"/>
      <c r="AH57">
        <v>90</v>
      </c>
      <c r="AI57"/>
      <c r="AJ57">
        <v>90</v>
      </c>
      <c r="AK57"/>
      <c r="AL57">
        <v>90</v>
      </c>
      <c r="AM57"/>
      <c r="AN57">
        <v>107.914464</v>
      </c>
      <c r="AO57">
        <v>0.112804</v>
      </c>
      <c r="AQ57" s="2">
        <v>4.6894410000000004</v>
      </c>
      <c r="AR57">
        <v>3.5049999999999999E-3</v>
      </c>
      <c r="AS57" s="2">
        <v>2.908023</v>
      </c>
      <c r="AT57">
        <v>1.335E-3</v>
      </c>
      <c r="AU57" s="2">
        <v>4.9105879999999997</v>
      </c>
      <c r="AV57">
        <v>2.9499999999999999E-3</v>
      </c>
      <c r="AW57">
        <v>90</v>
      </c>
      <c r="AX57"/>
      <c r="AY57">
        <v>90</v>
      </c>
      <c r="AZ57"/>
      <c r="BA57">
        <v>90</v>
      </c>
      <c r="BB57"/>
      <c r="BC57">
        <v>66.965691000000007</v>
      </c>
      <c r="BD57">
        <v>0.183064</v>
      </c>
      <c r="BF57"/>
      <c r="BG57"/>
      <c r="BH57"/>
      <c r="BI57"/>
      <c r="BJ57"/>
      <c r="BK57"/>
      <c r="BL57"/>
      <c r="BM57"/>
      <c r="BN57"/>
      <c r="BO57"/>
      <c r="BP57"/>
      <c r="BQ57"/>
      <c r="BR57"/>
      <c r="BT57"/>
      <c r="BU57"/>
      <c r="BV57"/>
      <c r="BW57"/>
    </row>
    <row r="58" spans="1:75" s="5" customFormat="1" x14ac:dyDescent="0.3">
      <c r="A58">
        <v>55</v>
      </c>
      <c r="B58" s="11"/>
      <c r="C58" s="11"/>
      <c r="D58"/>
      <c r="E58" s="7">
        <f t="shared" si="6"/>
        <v>152.81139456022373</v>
      </c>
      <c r="F58" s="1">
        <f t="shared" si="7"/>
        <v>154.94499456022373</v>
      </c>
      <c r="G58" s="1">
        <f t="shared" si="8"/>
        <v>150.67779456022373</v>
      </c>
      <c r="H58" s="1">
        <f t="shared" si="9"/>
        <v>2.1336000000000013</v>
      </c>
      <c r="I58"/>
      <c r="J58">
        <v>2200</v>
      </c>
      <c r="K58">
        <f t="shared" si="10"/>
        <v>1723.75</v>
      </c>
      <c r="L58">
        <f t="shared" si="11"/>
        <v>952.5</v>
      </c>
      <c r="M58" s="2">
        <v>2.8322189999999998</v>
      </c>
      <c r="N58" s="2">
        <v>1.9949999999999998E-3</v>
      </c>
      <c r="O58" s="2">
        <v>2.8322189999999998</v>
      </c>
      <c r="P58" s="2"/>
      <c r="Q58">
        <v>2.8322189999999998</v>
      </c>
      <c r="R58"/>
      <c r="S58" s="2">
        <v>90</v>
      </c>
      <c r="T58" s="2"/>
      <c r="U58" s="2">
        <v>90</v>
      </c>
      <c r="V58" s="2"/>
      <c r="W58" s="2">
        <v>90</v>
      </c>
      <c r="X58"/>
      <c r="Y58">
        <v>22.718533999999998</v>
      </c>
      <c r="Z58">
        <v>9.7858000000000001E-2</v>
      </c>
      <c r="AB58" s="2"/>
      <c r="AC58"/>
      <c r="AD58"/>
      <c r="AE58"/>
      <c r="AF58"/>
      <c r="AG58"/>
      <c r="AH58"/>
      <c r="AI58"/>
      <c r="AJ58"/>
      <c r="AK58"/>
      <c r="AL58"/>
      <c r="AM58"/>
      <c r="AN58"/>
      <c r="AO58"/>
      <c r="AQ58" s="2"/>
      <c r="AR58"/>
      <c r="AS58" s="2"/>
      <c r="AT58"/>
      <c r="AU58" s="2"/>
      <c r="AV58"/>
      <c r="AW58"/>
      <c r="AX58"/>
      <c r="AY58"/>
      <c r="AZ58"/>
      <c r="BA58"/>
      <c r="BB58"/>
      <c r="BC58"/>
      <c r="BD58"/>
      <c r="BF58"/>
      <c r="BG58"/>
      <c r="BH58"/>
      <c r="BI58"/>
      <c r="BJ58"/>
      <c r="BK58"/>
      <c r="BL58"/>
      <c r="BM58"/>
      <c r="BN58"/>
      <c r="BO58"/>
      <c r="BP58"/>
      <c r="BQ58"/>
      <c r="BR58"/>
      <c r="BT58"/>
      <c r="BU58"/>
      <c r="BV58"/>
      <c r="BW58"/>
    </row>
    <row r="59" spans="1:75" s="5" customFormat="1" x14ac:dyDescent="0.3">
      <c r="A59">
        <v>56</v>
      </c>
      <c r="B59"/>
      <c r="C59"/>
      <c r="D59"/>
      <c r="E59" s="7">
        <f t="shared" si="6"/>
        <v>153.22703389736367</v>
      </c>
      <c r="F59" s="1">
        <f t="shared" si="7"/>
        <v>155.59583389736366</v>
      </c>
      <c r="G59" s="1">
        <f t="shared" si="8"/>
        <v>150.85823389736368</v>
      </c>
      <c r="H59" s="1">
        <f t="shared" si="9"/>
        <v>2.3687999999999931</v>
      </c>
      <c r="I59"/>
      <c r="J59">
        <v>2410</v>
      </c>
      <c r="K59">
        <f t="shared" si="10"/>
        <v>1881.25</v>
      </c>
      <c r="L59">
        <f t="shared" si="11"/>
        <v>1057.5</v>
      </c>
      <c r="M59" s="2">
        <v>2.8321049999999999</v>
      </c>
      <c r="N59" s="2">
        <v>1.6620000000000001E-3</v>
      </c>
      <c r="O59" s="2">
        <v>2.8321049999999999</v>
      </c>
      <c r="P59" s="2"/>
      <c r="Q59">
        <v>2.8321049999999999</v>
      </c>
      <c r="R59"/>
      <c r="S59" s="2">
        <v>90</v>
      </c>
      <c r="T59" s="2"/>
      <c r="U59" s="2">
        <v>90</v>
      </c>
      <c r="V59" s="2"/>
      <c r="W59" s="2">
        <v>90</v>
      </c>
      <c r="X59"/>
      <c r="Y59">
        <v>22.715796000000001</v>
      </c>
      <c r="Z59">
        <v>8.1517000000000006E-2</v>
      </c>
      <c r="AB59" s="2"/>
      <c r="AC59"/>
      <c r="AD59"/>
      <c r="AE59"/>
      <c r="AF59"/>
      <c r="AG59"/>
      <c r="AH59"/>
      <c r="AI59"/>
      <c r="AJ59"/>
      <c r="AK59"/>
      <c r="AL59"/>
      <c r="AM59"/>
      <c r="AN59"/>
      <c r="AO59"/>
      <c r="AQ59" s="2"/>
      <c r="AR59"/>
      <c r="AS59" s="2"/>
      <c r="AT59"/>
      <c r="AU59" s="2"/>
      <c r="AV59"/>
      <c r="AW59"/>
      <c r="AX59"/>
      <c r="AY59"/>
      <c r="AZ59"/>
      <c r="BA59"/>
      <c r="BB59"/>
      <c r="BC59"/>
      <c r="BD59"/>
      <c r="BF59"/>
      <c r="BG59"/>
      <c r="BH59"/>
      <c r="BI59"/>
      <c r="BJ59"/>
      <c r="BK59"/>
      <c r="BL59"/>
      <c r="BM59"/>
      <c r="BN59"/>
      <c r="BO59"/>
      <c r="BP59"/>
      <c r="BQ59"/>
      <c r="BR59"/>
      <c r="BT59"/>
      <c r="BU59"/>
      <c r="BV59"/>
      <c r="BW59"/>
    </row>
    <row r="60" spans="1:75" s="5" customFormat="1" x14ac:dyDescent="0.3">
      <c r="A60">
        <v>57</v>
      </c>
      <c r="B60"/>
      <c r="C60"/>
      <c r="D60"/>
      <c r="E60" s="7">
        <f t="shared" si="6"/>
        <v>153.55950390319896</v>
      </c>
      <c r="F60" s="1">
        <f t="shared" si="7"/>
        <v>156.11870390319896</v>
      </c>
      <c r="G60" s="1">
        <f t="shared" si="8"/>
        <v>151.00030390319898</v>
      </c>
      <c r="H60" s="1">
        <f t="shared" si="9"/>
        <v>2.5591999999999899</v>
      </c>
      <c r="I60"/>
      <c r="J60">
        <v>2580</v>
      </c>
      <c r="K60">
        <f t="shared" si="10"/>
        <v>2008.75</v>
      </c>
      <c r="L60">
        <f t="shared" si="11"/>
        <v>1142.5</v>
      </c>
      <c r="M60" s="2">
        <v>2.83202</v>
      </c>
      <c r="N60" s="2">
        <v>1.4859999999999999E-3</v>
      </c>
      <c r="O60" s="2">
        <v>2.83202</v>
      </c>
      <c r="P60" s="2"/>
      <c r="Q60">
        <v>2.83202</v>
      </c>
      <c r="R60"/>
      <c r="S60" s="2">
        <v>90</v>
      </c>
      <c r="T60" s="2"/>
      <c r="U60" s="2">
        <v>90</v>
      </c>
      <c r="V60" s="2"/>
      <c r="W60" s="2">
        <v>90</v>
      </c>
      <c r="X60"/>
      <c r="Y60">
        <v>22.713764000000001</v>
      </c>
      <c r="Z60">
        <v>7.2888999999999995E-2</v>
      </c>
      <c r="AB60" s="2"/>
      <c r="AC60"/>
      <c r="AD60"/>
      <c r="AE60"/>
      <c r="AF60"/>
      <c r="AG60"/>
      <c r="AH60"/>
      <c r="AI60"/>
      <c r="AJ60"/>
      <c r="AK60"/>
      <c r="AL60"/>
      <c r="AM60"/>
      <c r="AN60"/>
      <c r="AO60"/>
      <c r="AQ60" s="2"/>
      <c r="AR60"/>
      <c r="AS60" s="2"/>
      <c r="AT60"/>
      <c r="AU60" s="2"/>
      <c r="AV60"/>
      <c r="AW60"/>
      <c r="AX60"/>
      <c r="AY60"/>
      <c r="AZ60"/>
      <c r="BA60"/>
      <c r="BB60"/>
      <c r="BC60"/>
      <c r="BD60"/>
      <c r="BF60"/>
      <c r="BG60"/>
      <c r="BH60"/>
      <c r="BI60"/>
      <c r="BJ60"/>
      <c r="BK60"/>
      <c r="BL60"/>
      <c r="BM60"/>
      <c r="BN60"/>
      <c r="BO60"/>
      <c r="BP60"/>
      <c r="BQ60"/>
      <c r="BR60"/>
      <c r="BT60"/>
      <c r="BU60"/>
      <c r="BV60"/>
      <c r="BW60"/>
    </row>
    <row r="61" spans="1:75" s="5" customFormat="1" x14ac:dyDescent="0.3">
      <c r="A61">
        <v>58</v>
      </c>
      <c r="B61" t="s">
        <v>74</v>
      </c>
      <c r="C61"/>
      <c r="D61"/>
      <c r="E61" s="7">
        <f t="shared" si="6"/>
        <v>151.18836731490887</v>
      </c>
      <c r="F61" s="1">
        <f t="shared" si="7"/>
        <v>151.19396731490889</v>
      </c>
      <c r="G61" s="1">
        <f t="shared" si="8"/>
        <v>151.18276731490889</v>
      </c>
      <c r="H61" s="1">
        <f t="shared" si="9"/>
        <v>5.6000000000011596E-3</v>
      </c>
      <c r="I61"/>
      <c r="J61">
        <v>300</v>
      </c>
      <c r="K61">
        <f t="shared" si="10"/>
        <v>298.75</v>
      </c>
      <c r="L61">
        <f t="shared" si="11"/>
        <v>2.5</v>
      </c>
      <c r="M61" s="2">
        <v>2.829386</v>
      </c>
      <c r="N61" s="2">
        <v>6.9700000000000003E-4</v>
      </c>
      <c r="O61" s="2">
        <v>2.829386</v>
      </c>
      <c r="P61" s="2"/>
      <c r="Q61">
        <v>2.829386</v>
      </c>
      <c r="R61"/>
      <c r="S61" s="2">
        <v>90</v>
      </c>
      <c r="T61" s="2"/>
      <c r="U61" s="2">
        <v>90</v>
      </c>
      <c r="V61" s="2"/>
      <c r="W61" s="2">
        <v>90</v>
      </c>
      <c r="X61"/>
      <c r="Y61">
        <v>22.65044</v>
      </c>
      <c r="Z61">
        <v>3.4133999999999998E-2</v>
      </c>
      <c r="AB61" s="2"/>
      <c r="AC61"/>
      <c r="AD61"/>
      <c r="AE61"/>
      <c r="AF61"/>
      <c r="AG61"/>
      <c r="AH61"/>
      <c r="AI61"/>
      <c r="AJ61"/>
      <c r="AK61"/>
      <c r="AL61"/>
      <c r="AM61"/>
      <c r="AN61"/>
      <c r="AO61"/>
      <c r="AQ61" s="2"/>
      <c r="AR61"/>
      <c r="AS61" s="2"/>
      <c r="AT61"/>
      <c r="AU61" s="2"/>
      <c r="AV61"/>
      <c r="AW61"/>
      <c r="AX61"/>
      <c r="AY61"/>
      <c r="AZ61"/>
      <c r="BA61"/>
      <c r="BB61"/>
      <c r="BC61"/>
      <c r="BD61"/>
      <c r="BF61"/>
      <c r="BG61"/>
      <c r="BH61"/>
      <c r="BI61"/>
      <c r="BJ61"/>
      <c r="BK61"/>
      <c r="BL61"/>
      <c r="BM61"/>
      <c r="BN61"/>
      <c r="BO61"/>
      <c r="BP61"/>
      <c r="BQ61"/>
      <c r="BR61"/>
      <c r="BT61"/>
      <c r="BU61"/>
      <c r="BV61"/>
      <c r="BW61"/>
    </row>
    <row r="62" spans="1:75" s="5" customFormat="1" x14ac:dyDescent="0.3">
      <c r="A62">
        <v>59</v>
      </c>
      <c r="B62" t="s">
        <v>78</v>
      </c>
      <c r="C62"/>
      <c r="D62">
        <v>90</v>
      </c>
      <c r="E62" s="7">
        <f t="shared" si="6"/>
        <v>69.766464896273618</v>
      </c>
      <c r="F62" s="1">
        <f t="shared" si="7"/>
        <v>69.772064896273605</v>
      </c>
      <c r="G62" s="1">
        <f t="shared" si="8"/>
        <v>69.760864896273617</v>
      </c>
      <c r="H62" s="1">
        <f t="shared" si="9"/>
        <v>5.5999999999940542E-3</v>
      </c>
      <c r="I62"/>
      <c r="J62">
        <v>300</v>
      </c>
      <c r="K62">
        <f t="shared" si="10"/>
        <v>298.75</v>
      </c>
      <c r="L62">
        <f t="shared" si="11"/>
        <v>2.5</v>
      </c>
      <c r="M62" s="2">
        <v>3.033671</v>
      </c>
      <c r="N62" s="2">
        <v>2.085E-3</v>
      </c>
      <c r="O62" s="2">
        <v>3.033671</v>
      </c>
      <c r="P62" s="2"/>
      <c r="Q62">
        <v>3.033671</v>
      </c>
      <c r="R62"/>
      <c r="S62" s="2">
        <v>90</v>
      </c>
      <c r="T62" s="2"/>
      <c r="U62" s="2">
        <v>90</v>
      </c>
      <c r="V62" s="2"/>
      <c r="W62" s="2">
        <v>90</v>
      </c>
      <c r="X62"/>
      <c r="Y62">
        <v>27.919346000000001</v>
      </c>
      <c r="Z62">
        <v>0.10953599999999999</v>
      </c>
      <c r="AB62" s="2"/>
      <c r="AC62"/>
      <c r="AD62"/>
      <c r="AE62"/>
      <c r="AF62"/>
      <c r="AG62"/>
      <c r="AH62"/>
      <c r="AI62"/>
      <c r="AJ62"/>
      <c r="AK62"/>
      <c r="AL62"/>
      <c r="AM62"/>
      <c r="AN62"/>
      <c r="AO62"/>
      <c r="AQ62" s="2"/>
      <c r="AR62"/>
      <c r="AS62" s="2"/>
      <c r="AT62"/>
      <c r="AU62" s="2"/>
      <c r="AV62"/>
      <c r="AW62"/>
      <c r="AX62"/>
      <c r="AY62"/>
      <c r="AZ62"/>
      <c r="BA62"/>
      <c r="BB62"/>
      <c r="BC62"/>
      <c r="BD62"/>
      <c r="BF62"/>
      <c r="BG62"/>
      <c r="BH62"/>
      <c r="BI62"/>
      <c r="BJ62"/>
      <c r="BK62"/>
      <c r="BL62"/>
      <c r="BM62"/>
      <c r="BN62"/>
      <c r="BO62"/>
      <c r="BP62"/>
      <c r="BQ62"/>
      <c r="BR62"/>
      <c r="BT62"/>
      <c r="BU62"/>
      <c r="BV62"/>
      <c r="BW62"/>
    </row>
    <row r="63" spans="1:75" s="5" customFormat="1" x14ac:dyDescent="0.3">
      <c r="A63">
        <v>60</v>
      </c>
      <c r="B63"/>
      <c r="C63"/>
      <c r="D63"/>
      <c r="E63" s="7" t="e">
        <f t="shared" ref="E63:E67" si="12" xml:space="preserve"> 3*$BU$2*(($BT$2/(M63^3))^(2/3))*(1-($BT$2/(M63^3))^(-1/3))*EXP((3/2)*($BV$2-1)*(1-($BT$2/(M63^3))^(-1/3))) + $BW$2*(K63-300)</f>
        <v>#DIV/0!</v>
      </c>
      <c r="F63" s="1" t="e">
        <f t="shared" ref="F63:F67" si="13" xml:space="preserve"> 3*$BU$2*(($BT$2/(M63^3))^(2/3))*(1-($BT$2/(M63^3))^(-1/3))*EXP((3/2)*($BV$2-1)*(1-($BT$2/(M63^3))^(-1/3))) + $BW$2*((K63+L63)-300)</f>
        <v>#DIV/0!</v>
      </c>
      <c r="G63" s="1" t="e">
        <f t="shared" ref="G63:G67" si="14" xml:space="preserve"> 3*$BU$2*(($BT$2/(M63^3))^(2/3))*(1-($BT$2/(M63^3))^(-1/3))*EXP((3/2)*($BV$2-1)*(1-($BT$2/(M63^3))^(-1/3))) + $BW$2*((K63-L63)-300)</f>
        <v>#DIV/0!</v>
      </c>
      <c r="H63" s="1" t="e">
        <f t="shared" ref="H63:H67" si="15">(F63-G63)/2</f>
        <v>#DIV/0!</v>
      </c>
      <c r="I63"/>
      <c r="J63"/>
      <c r="K63">
        <f t="shared" ref="K63:K67" si="16">(3*J63+295)/4</f>
        <v>73.75</v>
      </c>
      <c r="L63">
        <f t="shared" ref="L63:L67" si="17">(J63-295)/2</f>
        <v>-147.5</v>
      </c>
      <c r="M63" s="2"/>
      <c r="N63" s="2"/>
      <c r="O63" s="2"/>
      <c r="P63" s="2"/>
      <c r="Q63"/>
      <c r="R63"/>
      <c r="S63" s="2"/>
      <c r="T63" s="2"/>
      <c r="U63" s="2"/>
      <c r="V63" s="2"/>
      <c r="W63" s="2"/>
      <c r="X63"/>
      <c r="Y63"/>
      <c r="Z63"/>
      <c r="AB63" s="2"/>
      <c r="AC63"/>
      <c r="AD63"/>
      <c r="AE63"/>
      <c r="AF63"/>
      <c r="AG63"/>
      <c r="AH63"/>
      <c r="AI63"/>
      <c r="AJ63"/>
      <c r="AK63"/>
      <c r="AL63"/>
      <c r="AM63"/>
      <c r="AN63"/>
      <c r="AO63"/>
      <c r="AQ63" s="2"/>
      <c r="AR63"/>
      <c r="AS63" s="2"/>
      <c r="AT63"/>
      <c r="AU63" s="2"/>
      <c r="AV63"/>
      <c r="AW63"/>
      <c r="AX63"/>
      <c r="AY63"/>
      <c r="AZ63"/>
      <c r="BA63"/>
      <c r="BB63"/>
      <c r="BC63"/>
      <c r="BD63"/>
      <c r="BF63"/>
      <c r="BG63"/>
      <c r="BH63"/>
      <c r="BI63"/>
      <c r="BJ63"/>
      <c r="BK63"/>
      <c r="BL63"/>
      <c r="BM63"/>
      <c r="BN63"/>
      <c r="BO63"/>
      <c r="BP63"/>
      <c r="BQ63"/>
      <c r="BR63"/>
      <c r="BT63"/>
      <c r="BU63"/>
      <c r="BV63"/>
      <c r="BW63"/>
    </row>
    <row r="64" spans="1:75" s="5" customFormat="1" x14ac:dyDescent="0.3">
      <c r="A64">
        <v>61</v>
      </c>
      <c r="B64"/>
      <c r="C64"/>
      <c r="D64"/>
      <c r="E64" s="7" t="e">
        <f t="shared" si="12"/>
        <v>#DIV/0!</v>
      </c>
      <c r="F64" s="1" t="e">
        <f t="shared" si="13"/>
        <v>#DIV/0!</v>
      </c>
      <c r="G64" s="1" t="e">
        <f t="shared" si="14"/>
        <v>#DIV/0!</v>
      </c>
      <c r="H64" s="1" t="e">
        <f t="shared" si="15"/>
        <v>#DIV/0!</v>
      </c>
      <c r="I64"/>
      <c r="J64"/>
      <c r="K64">
        <f t="shared" si="16"/>
        <v>73.75</v>
      </c>
      <c r="L64">
        <f t="shared" si="17"/>
        <v>-147.5</v>
      </c>
      <c r="M64" s="2"/>
      <c r="N64" s="2"/>
      <c r="O64" s="2"/>
      <c r="P64" s="2"/>
      <c r="Q64"/>
      <c r="R64"/>
      <c r="S64" s="2"/>
      <c r="T64" s="2"/>
      <c r="U64" s="2"/>
      <c r="V64" s="2"/>
      <c r="W64" s="2"/>
      <c r="X64"/>
      <c r="Y64"/>
      <c r="Z64"/>
      <c r="AB64" s="2"/>
      <c r="AC64"/>
      <c r="AD64"/>
      <c r="AE64"/>
      <c r="AF64"/>
      <c r="AG64"/>
      <c r="AH64"/>
      <c r="AI64"/>
      <c r="AJ64"/>
      <c r="AK64"/>
      <c r="AL64"/>
      <c r="AM64"/>
      <c r="AN64"/>
      <c r="AO64"/>
      <c r="AQ64" s="2"/>
      <c r="AR64"/>
      <c r="AS64" s="2"/>
      <c r="AT64"/>
      <c r="AU64" s="2"/>
      <c r="AV64"/>
      <c r="AW64"/>
      <c r="AX64"/>
      <c r="AY64"/>
      <c r="AZ64"/>
      <c r="BA64"/>
      <c r="BB64"/>
      <c r="BC64"/>
      <c r="BD64"/>
      <c r="BF64"/>
      <c r="BG64"/>
      <c r="BH64"/>
      <c r="BI64"/>
      <c r="BJ64"/>
      <c r="BK64"/>
      <c r="BL64"/>
      <c r="BM64"/>
      <c r="BN64"/>
      <c r="BO64"/>
      <c r="BP64"/>
      <c r="BQ64"/>
      <c r="BR64"/>
      <c r="BT64"/>
      <c r="BU64"/>
      <c r="BV64"/>
      <c r="BW64"/>
    </row>
    <row r="65" spans="1:75" s="5" customFormat="1" x14ac:dyDescent="0.3">
      <c r="A65">
        <v>62</v>
      </c>
      <c r="B65"/>
      <c r="C65"/>
      <c r="D65"/>
      <c r="E65" s="7" t="e">
        <f t="shared" si="12"/>
        <v>#DIV/0!</v>
      </c>
      <c r="F65" s="1" t="e">
        <f t="shared" si="13"/>
        <v>#DIV/0!</v>
      </c>
      <c r="G65" s="1" t="e">
        <f t="shared" si="14"/>
        <v>#DIV/0!</v>
      </c>
      <c r="H65" s="1" t="e">
        <f t="shared" si="15"/>
        <v>#DIV/0!</v>
      </c>
      <c r="I65"/>
      <c r="J65"/>
      <c r="K65">
        <f t="shared" si="16"/>
        <v>73.75</v>
      </c>
      <c r="L65">
        <f t="shared" si="17"/>
        <v>-147.5</v>
      </c>
      <c r="M65" s="2"/>
      <c r="N65" s="2"/>
      <c r="O65" s="2"/>
      <c r="P65" s="2"/>
      <c r="Q65"/>
      <c r="R65"/>
      <c r="S65" s="2"/>
      <c r="T65" s="2"/>
      <c r="U65" s="2"/>
      <c r="V65" s="2"/>
      <c r="W65" s="2"/>
      <c r="X65"/>
      <c r="Y65"/>
      <c r="Z65"/>
      <c r="AB65" s="2"/>
      <c r="AC65"/>
      <c r="AD65"/>
      <c r="AE65"/>
      <c r="AF65"/>
      <c r="AG65"/>
      <c r="AH65"/>
      <c r="AI65"/>
      <c r="AJ65"/>
      <c r="AK65"/>
      <c r="AL65"/>
      <c r="AM65"/>
      <c r="AN65"/>
      <c r="AO65"/>
      <c r="AQ65" s="2"/>
      <c r="AR65"/>
      <c r="AS65" s="2"/>
      <c r="AT65"/>
      <c r="AU65" s="2"/>
      <c r="AV65"/>
      <c r="AW65"/>
      <c r="AX65"/>
      <c r="AY65"/>
      <c r="AZ65"/>
      <c r="BA65"/>
      <c r="BB65"/>
      <c r="BC65"/>
      <c r="BD65"/>
      <c r="BF65"/>
      <c r="BG65"/>
      <c r="BH65"/>
      <c r="BI65"/>
      <c r="BJ65"/>
      <c r="BK65"/>
      <c r="BL65"/>
      <c r="BM65"/>
      <c r="BN65"/>
      <c r="BO65"/>
      <c r="BP65"/>
      <c r="BQ65"/>
      <c r="BR65"/>
      <c r="BT65"/>
      <c r="BU65"/>
      <c r="BV65"/>
      <c r="BW65"/>
    </row>
    <row r="66" spans="1:75" s="5" customFormat="1" x14ac:dyDescent="0.3">
      <c r="A66">
        <v>63</v>
      </c>
      <c r="B66"/>
      <c r="C66"/>
      <c r="D66"/>
      <c r="E66" s="7" t="e">
        <f t="shared" si="12"/>
        <v>#DIV/0!</v>
      </c>
      <c r="F66" s="1" t="e">
        <f t="shared" si="13"/>
        <v>#DIV/0!</v>
      </c>
      <c r="G66" s="1" t="e">
        <f t="shared" si="14"/>
        <v>#DIV/0!</v>
      </c>
      <c r="H66" s="1" t="e">
        <f t="shared" si="15"/>
        <v>#DIV/0!</v>
      </c>
      <c r="I66"/>
      <c r="J66"/>
      <c r="K66">
        <f t="shared" si="16"/>
        <v>73.75</v>
      </c>
      <c r="L66">
        <f t="shared" si="17"/>
        <v>-147.5</v>
      </c>
      <c r="M66" s="2"/>
      <c r="N66" s="2"/>
      <c r="O66" s="2"/>
      <c r="P66" s="2"/>
      <c r="Q66"/>
      <c r="R66"/>
      <c r="S66" s="2"/>
      <c r="T66" s="2"/>
      <c r="U66" s="2"/>
      <c r="V66" s="2"/>
      <c r="W66" s="2"/>
      <c r="X66"/>
      <c r="Y66"/>
      <c r="Z66"/>
      <c r="AB66" s="2"/>
      <c r="AC66"/>
      <c r="AD66"/>
      <c r="AE66"/>
      <c r="AF66"/>
      <c r="AG66"/>
      <c r="AH66"/>
      <c r="AI66"/>
      <c r="AJ66"/>
      <c r="AK66"/>
      <c r="AL66"/>
      <c r="AM66"/>
      <c r="AN66"/>
      <c r="AO66"/>
      <c r="AQ66" s="2"/>
      <c r="AR66"/>
      <c r="AS66" s="2"/>
      <c r="AT66"/>
      <c r="AU66" s="2"/>
      <c r="AV66"/>
      <c r="AW66"/>
      <c r="AX66"/>
      <c r="AY66"/>
      <c r="AZ66"/>
      <c r="BA66"/>
      <c r="BB66"/>
      <c r="BC66"/>
      <c r="BD66"/>
      <c r="BF66"/>
      <c r="BG66"/>
      <c r="BH66"/>
      <c r="BI66"/>
      <c r="BJ66"/>
      <c r="BK66"/>
      <c r="BL66"/>
      <c r="BM66"/>
      <c r="BN66"/>
      <c r="BO66"/>
      <c r="BP66"/>
      <c r="BQ66"/>
      <c r="BR66"/>
      <c r="BT66"/>
      <c r="BU66"/>
      <c r="BV66"/>
      <c r="BW66"/>
    </row>
    <row r="67" spans="1:75" s="5" customFormat="1" x14ac:dyDescent="0.3">
      <c r="A67">
        <v>64</v>
      </c>
      <c r="B67"/>
      <c r="C67"/>
      <c r="D67"/>
      <c r="E67" s="7" t="e">
        <f t="shared" si="12"/>
        <v>#DIV/0!</v>
      </c>
      <c r="F67" s="1" t="e">
        <f t="shared" si="13"/>
        <v>#DIV/0!</v>
      </c>
      <c r="G67" s="1" t="e">
        <f t="shared" si="14"/>
        <v>#DIV/0!</v>
      </c>
      <c r="H67" s="1" t="e">
        <f t="shared" si="15"/>
        <v>#DIV/0!</v>
      </c>
      <c r="I67"/>
      <c r="J67"/>
      <c r="K67">
        <f t="shared" si="16"/>
        <v>73.75</v>
      </c>
      <c r="L67">
        <f t="shared" si="17"/>
        <v>-147.5</v>
      </c>
      <c r="M67" s="2"/>
      <c r="N67" s="2"/>
      <c r="O67" s="2"/>
      <c r="P67" s="2"/>
      <c r="Q67"/>
      <c r="R67"/>
      <c r="S67" s="2"/>
      <c r="T67" s="2"/>
      <c r="U67" s="2"/>
      <c r="V67" s="2"/>
      <c r="W67" s="2"/>
      <c r="X67"/>
      <c r="Y67"/>
      <c r="Z67"/>
      <c r="AB67" s="2"/>
      <c r="AC67"/>
      <c r="AD67"/>
      <c r="AE67"/>
      <c r="AF67"/>
      <c r="AG67"/>
      <c r="AH67"/>
      <c r="AI67"/>
      <c r="AJ67"/>
      <c r="AK67"/>
      <c r="AL67"/>
      <c r="AM67"/>
      <c r="AN67"/>
      <c r="AO67"/>
      <c r="AQ67" s="2"/>
      <c r="AR67"/>
      <c r="AS67" s="2"/>
      <c r="AT67"/>
      <c r="AU67" s="2"/>
      <c r="AV67"/>
      <c r="AW67"/>
      <c r="AX67"/>
      <c r="AY67"/>
      <c r="AZ67"/>
      <c r="BA67"/>
      <c r="BB67"/>
      <c r="BC67"/>
      <c r="BD67"/>
      <c r="BF67"/>
      <c r="BG67"/>
      <c r="BH67"/>
      <c r="BI67"/>
      <c r="BJ67"/>
      <c r="BK67"/>
      <c r="BL67"/>
      <c r="BM67"/>
      <c r="BN67"/>
      <c r="BO67"/>
      <c r="BP67"/>
      <c r="BQ67"/>
      <c r="BR67"/>
      <c r="BT67"/>
      <c r="BU67"/>
      <c r="BV67"/>
      <c r="BW67"/>
    </row>
    <row r="68" spans="1:75" s="5" customFormat="1" x14ac:dyDescent="0.3">
      <c r="A68">
        <v>65</v>
      </c>
      <c r="B68"/>
      <c r="C68"/>
      <c r="D68"/>
      <c r="E68" s="7" t="e">
        <f t="shared" ref="E68:E74" si="18" xml:space="preserve"> 3*$BU$2*(($BT$2/(M68^3))^(2/3))*(1-($BT$2/(M68^3))^(-1/3))*EXP((3/2)*($BV$2-1)*(1-($BT$2/(M68^3))^(-1/3))) + $BW$2*(K68-300)</f>
        <v>#DIV/0!</v>
      </c>
      <c r="F68" s="1" t="e">
        <f t="shared" ref="F68:F74" si="19" xml:space="preserve"> 3*$BU$2*(($BT$2/(M68^3))^(2/3))*(1-($BT$2/(M68^3))^(-1/3))*EXP((3/2)*($BV$2-1)*(1-($BT$2/(M68^3))^(-1/3))) + $BW$2*((K68+L68)-300)</f>
        <v>#DIV/0!</v>
      </c>
      <c r="G68" s="1" t="e">
        <f t="shared" ref="G68:G74" si="20" xml:space="preserve"> 3*$BU$2*(($BT$2/(M68^3))^(2/3))*(1-($BT$2/(M68^3))^(-1/3))*EXP((3/2)*($BV$2-1)*(1-($BT$2/(M68^3))^(-1/3))) + $BW$2*((K68-L68)-300)</f>
        <v>#DIV/0!</v>
      </c>
      <c r="H68" s="1" t="e">
        <f t="shared" ref="H68:H74" si="21">(F68-G68)/2</f>
        <v>#DIV/0!</v>
      </c>
      <c r="I68"/>
      <c r="J68"/>
      <c r="K68">
        <f t="shared" ref="K68:K74" si="22">(3*J68+295)/4</f>
        <v>73.75</v>
      </c>
      <c r="L68">
        <f t="shared" ref="L68:L74" si="23">(J68-295)/2</f>
        <v>-147.5</v>
      </c>
      <c r="M68" s="2"/>
      <c r="N68" s="2"/>
      <c r="O68" s="2"/>
      <c r="P68" s="2"/>
      <c r="Q68"/>
      <c r="R68"/>
      <c r="S68" s="2"/>
      <c r="T68" s="2"/>
      <c r="U68" s="2"/>
      <c r="V68" s="2"/>
      <c r="W68" s="2"/>
      <c r="X68"/>
      <c r="Y68"/>
      <c r="Z68"/>
      <c r="AB68" s="2"/>
      <c r="AC68"/>
      <c r="AD68"/>
      <c r="AE68"/>
      <c r="AF68"/>
      <c r="AG68"/>
      <c r="AH68"/>
      <c r="AI68"/>
      <c r="AJ68"/>
      <c r="AK68"/>
      <c r="AL68"/>
      <c r="AM68"/>
      <c r="AN68"/>
      <c r="AO68"/>
      <c r="AQ68" s="2"/>
      <c r="AR68"/>
      <c r="AS68" s="2"/>
      <c r="AT68"/>
      <c r="AU68" s="2"/>
      <c r="AV68"/>
      <c r="AW68"/>
      <c r="AX68"/>
      <c r="AY68"/>
      <c r="AZ68"/>
      <c r="BA68"/>
      <c r="BB68"/>
      <c r="BC68"/>
      <c r="BD68"/>
      <c r="BF68"/>
      <c r="BG68"/>
      <c r="BH68"/>
      <c r="BI68"/>
      <c r="BJ68"/>
      <c r="BK68"/>
      <c r="BL68"/>
      <c r="BM68"/>
      <c r="BN68"/>
      <c r="BO68"/>
      <c r="BP68"/>
      <c r="BQ68"/>
      <c r="BR68"/>
      <c r="BT68"/>
      <c r="BU68"/>
      <c r="BV68"/>
      <c r="BW68"/>
    </row>
    <row r="69" spans="1:75" s="5" customFormat="1" x14ac:dyDescent="0.3">
      <c r="A69">
        <v>66</v>
      </c>
      <c r="B69"/>
      <c r="C69"/>
      <c r="D69"/>
      <c r="E69" s="7" t="e">
        <f t="shared" si="18"/>
        <v>#DIV/0!</v>
      </c>
      <c r="F69" s="1" t="e">
        <f t="shared" si="19"/>
        <v>#DIV/0!</v>
      </c>
      <c r="G69" s="1" t="e">
        <f t="shared" si="20"/>
        <v>#DIV/0!</v>
      </c>
      <c r="H69" s="1" t="e">
        <f t="shared" si="21"/>
        <v>#DIV/0!</v>
      </c>
      <c r="I69"/>
      <c r="J69"/>
      <c r="K69">
        <f t="shared" si="22"/>
        <v>73.75</v>
      </c>
      <c r="L69">
        <f t="shared" si="23"/>
        <v>-147.5</v>
      </c>
      <c r="M69" s="2"/>
      <c r="N69" s="2"/>
      <c r="O69" s="2"/>
      <c r="P69" s="2"/>
      <c r="Q69"/>
      <c r="R69"/>
      <c r="S69" s="2"/>
      <c r="T69" s="2"/>
      <c r="U69" s="2"/>
      <c r="V69" s="2"/>
      <c r="W69" s="2"/>
      <c r="X69"/>
      <c r="Y69"/>
      <c r="Z69"/>
      <c r="AB69" s="2"/>
      <c r="AC69"/>
      <c r="AD69"/>
      <c r="AE69"/>
      <c r="AF69"/>
      <c r="AG69"/>
      <c r="AH69"/>
      <c r="AI69"/>
      <c r="AJ69"/>
      <c r="AK69"/>
      <c r="AL69"/>
      <c r="AM69"/>
      <c r="AN69"/>
      <c r="AO69"/>
      <c r="AQ69" s="2"/>
      <c r="AR69"/>
      <c r="AS69" s="2"/>
      <c r="AT69"/>
      <c r="AU69" s="2"/>
      <c r="AV69"/>
      <c r="AW69"/>
      <c r="AX69"/>
      <c r="AY69"/>
      <c r="AZ69"/>
      <c r="BA69"/>
      <c r="BB69"/>
      <c r="BC69"/>
      <c r="BD69"/>
      <c r="BF69"/>
      <c r="BG69"/>
      <c r="BH69"/>
      <c r="BI69"/>
      <c r="BJ69"/>
      <c r="BK69"/>
      <c r="BL69"/>
      <c r="BM69"/>
      <c r="BN69"/>
      <c r="BO69"/>
      <c r="BP69"/>
      <c r="BQ69"/>
      <c r="BR69"/>
      <c r="BT69"/>
      <c r="BU69"/>
      <c r="BV69"/>
      <c r="BW69"/>
    </row>
    <row r="70" spans="1:75" s="5" customFormat="1" x14ac:dyDescent="0.3">
      <c r="A70">
        <v>67</v>
      </c>
      <c r="B70"/>
      <c r="C70"/>
      <c r="D70"/>
      <c r="E70" s="7" t="e">
        <f t="shared" si="18"/>
        <v>#DIV/0!</v>
      </c>
      <c r="F70" s="1" t="e">
        <f t="shared" si="19"/>
        <v>#DIV/0!</v>
      </c>
      <c r="G70" s="1" t="e">
        <f t="shared" si="20"/>
        <v>#DIV/0!</v>
      </c>
      <c r="H70" s="1" t="e">
        <f t="shared" si="21"/>
        <v>#DIV/0!</v>
      </c>
      <c r="I70"/>
      <c r="J70"/>
      <c r="K70">
        <f t="shared" si="22"/>
        <v>73.75</v>
      </c>
      <c r="L70">
        <f t="shared" si="23"/>
        <v>-147.5</v>
      </c>
      <c r="M70" s="2"/>
      <c r="N70" s="2"/>
      <c r="O70" s="2"/>
      <c r="P70" s="2"/>
      <c r="Q70"/>
      <c r="R70"/>
      <c r="S70" s="2"/>
      <c r="T70" s="2"/>
      <c r="U70" s="2"/>
      <c r="V70" s="2"/>
      <c r="W70" s="2"/>
      <c r="X70"/>
      <c r="Y70"/>
      <c r="Z70"/>
      <c r="AB70" s="2"/>
      <c r="AC70"/>
      <c r="AD70"/>
      <c r="AE70"/>
      <c r="AF70"/>
      <c r="AG70"/>
      <c r="AH70"/>
      <c r="AI70"/>
      <c r="AJ70"/>
      <c r="AK70"/>
      <c r="AL70"/>
      <c r="AM70"/>
      <c r="AN70"/>
      <c r="AO70"/>
      <c r="AQ70" s="2"/>
      <c r="AR70"/>
      <c r="AS70" s="2"/>
      <c r="AT70"/>
      <c r="AU70" s="2"/>
      <c r="AV70"/>
      <c r="AW70"/>
      <c r="AX70"/>
      <c r="AY70"/>
      <c r="AZ70"/>
      <c r="BA70"/>
      <c r="BB70"/>
      <c r="BC70"/>
      <c r="BD70"/>
      <c r="BF70"/>
      <c r="BG70"/>
      <c r="BH70"/>
      <c r="BI70"/>
      <c r="BJ70"/>
      <c r="BK70"/>
      <c r="BL70"/>
      <c r="BM70"/>
      <c r="BN70"/>
      <c r="BO70"/>
      <c r="BP70"/>
      <c r="BQ70"/>
      <c r="BR70"/>
      <c r="BT70"/>
      <c r="BU70"/>
      <c r="BV70"/>
      <c r="BW70"/>
    </row>
    <row r="71" spans="1:75" s="5" customFormat="1" x14ac:dyDescent="0.3">
      <c r="A71">
        <v>68</v>
      </c>
      <c r="B71"/>
      <c r="C71"/>
      <c r="D71"/>
      <c r="E71" s="7" t="e">
        <f t="shared" si="18"/>
        <v>#DIV/0!</v>
      </c>
      <c r="F71" s="1" t="e">
        <f t="shared" si="19"/>
        <v>#DIV/0!</v>
      </c>
      <c r="G71" s="1" t="e">
        <f t="shared" si="20"/>
        <v>#DIV/0!</v>
      </c>
      <c r="H71" s="1" t="e">
        <f t="shared" si="21"/>
        <v>#DIV/0!</v>
      </c>
      <c r="I71"/>
      <c r="J71"/>
      <c r="K71">
        <f t="shared" si="22"/>
        <v>73.75</v>
      </c>
      <c r="L71">
        <f t="shared" si="23"/>
        <v>-147.5</v>
      </c>
      <c r="M71" s="2"/>
      <c r="N71" s="2"/>
      <c r="O71" s="2"/>
      <c r="P71" s="2"/>
      <c r="Q71"/>
      <c r="R71"/>
      <c r="S71" s="2"/>
      <c r="T71" s="2"/>
      <c r="U71" s="2"/>
      <c r="V71" s="2"/>
      <c r="W71" s="2"/>
      <c r="X71"/>
      <c r="Y71"/>
      <c r="Z71"/>
      <c r="AB71" s="2"/>
      <c r="AC71"/>
      <c r="AD71"/>
      <c r="AE71"/>
      <c r="AF71"/>
      <c r="AG71"/>
      <c r="AH71"/>
      <c r="AI71"/>
      <c r="AJ71"/>
      <c r="AK71"/>
      <c r="AL71"/>
      <c r="AM71"/>
      <c r="AN71"/>
      <c r="AO71"/>
      <c r="AQ71" s="2"/>
      <c r="AR71"/>
      <c r="AS71" s="2"/>
      <c r="AT71"/>
      <c r="AU71" s="2"/>
      <c r="AV71"/>
      <c r="AW71"/>
      <c r="AX71"/>
      <c r="AY71"/>
      <c r="AZ71"/>
      <c r="BA71"/>
      <c r="BB71"/>
      <c r="BC71"/>
      <c r="BD71"/>
      <c r="BF71"/>
      <c r="BG71"/>
      <c r="BH71"/>
      <c r="BI71"/>
      <c r="BJ71"/>
      <c r="BK71"/>
      <c r="BL71"/>
      <c r="BM71"/>
      <c r="BN71"/>
      <c r="BO71"/>
      <c r="BP71"/>
      <c r="BQ71"/>
      <c r="BR71"/>
      <c r="BT71"/>
      <c r="BU71"/>
      <c r="BV71"/>
      <c r="BW71"/>
    </row>
    <row r="72" spans="1:75" s="5" customFormat="1" x14ac:dyDescent="0.3">
      <c r="A72">
        <v>69</v>
      </c>
      <c r="B72"/>
      <c r="C72"/>
      <c r="D72"/>
      <c r="E72" s="7" t="e">
        <f t="shared" si="18"/>
        <v>#DIV/0!</v>
      </c>
      <c r="F72" s="1" t="e">
        <f t="shared" si="19"/>
        <v>#DIV/0!</v>
      </c>
      <c r="G72" s="1" t="e">
        <f t="shared" si="20"/>
        <v>#DIV/0!</v>
      </c>
      <c r="H72" s="1" t="e">
        <f t="shared" si="21"/>
        <v>#DIV/0!</v>
      </c>
      <c r="I72"/>
      <c r="J72"/>
      <c r="K72">
        <f t="shared" si="22"/>
        <v>73.75</v>
      </c>
      <c r="L72">
        <f t="shared" si="23"/>
        <v>-147.5</v>
      </c>
      <c r="M72" s="2"/>
      <c r="N72" s="2"/>
      <c r="O72" s="2"/>
      <c r="P72" s="2"/>
      <c r="Q72"/>
      <c r="R72"/>
      <c r="S72" s="2"/>
      <c r="T72" s="2"/>
      <c r="U72" s="2"/>
      <c r="V72" s="2"/>
      <c r="W72" s="2"/>
      <c r="X72"/>
      <c r="Y72"/>
      <c r="Z72"/>
      <c r="AB72" s="2"/>
      <c r="AC72"/>
      <c r="AD72"/>
      <c r="AE72"/>
      <c r="AF72"/>
      <c r="AG72"/>
      <c r="AH72"/>
      <c r="AI72"/>
      <c r="AJ72"/>
      <c r="AK72"/>
      <c r="AL72"/>
      <c r="AM72"/>
      <c r="AN72"/>
      <c r="AO72"/>
      <c r="AQ72" s="2"/>
      <c r="AR72"/>
      <c r="AS72" s="2"/>
      <c r="AT72"/>
      <c r="AU72" s="2"/>
      <c r="AV72"/>
      <c r="AW72"/>
      <c r="AX72"/>
      <c r="AY72"/>
      <c r="AZ72"/>
      <c r="BA72"/>
      <c r="BB72"/>
      <c r="BC72"/>
      <c r="BD72"/>
      <c r="BF72"/>
      <c r="BG72"/>
      <c r="BH72"/>
      <c r="BI72"/>
      <c r="BJ72"/>
      <c r="BK72"/>
      <c r="BL72"/>
      <c r="BM72"/>
      <c r="BN72"/>
      <c r="BO72"/>
      <c r="BP72"/>
      <c r="BQ72"/>
      <c r="BR72"/>
      <c r="BT72"/>
      <c r="BU72"/>
      <c r="BV72"/>
      <c r="BW72"/>
    </row>
    <row r="73" spans="1:75" s="5" customFormat="1" x14ac:dyDescent="0.3">
      <c r="A73">
        <v>70</v>
      </c>
      <c r="B73"/>
      <c r="C73"/>
      <c r="D73"/>
      <c r="E73" s="7" t="e">
        <f t="shared" si="18"/>
        <v>#DIV/0!</v>
      </c>
      <c r="F73" s="1" t="e">
        <f t="shared" si="19"/>
        <v>#DIV/0!</v>
      </c>
      <c r="G73" s="1" t="e">
        <f t="shared" si="20"/>
        <v>#DIV/0!</v>
      </c>
      <c r="H73" s="1" t="e">
        <f t="shared" si="21"/>
        <v>#DIV/0!</v>
      </c>
      <c r="I73"/>
      <c r="J73"/>
      <c r="K73">
        <f t="shared" si="22"/>
        <v>73.75</v>
      </c>
      <c r="L73">
        <f t="shared" si="23"/>
        <v>-147.5</v>
      </c>
      <c r="M73" s="2"/>
      <c r="N73" s="2"/>
      <c r="O73" s="2"/>
      <c r="P73" s="2"/>
      <c r="Q73"/>
      <c r="R73"/>
      <c r="S73" s="2"/>
      <c r="T73" s="2"/>
      <c r="U73" s="2"/>
      <c r="V73" s="2"/>
      <c r="W73" s="2"/>
      <c r="X73"/>
      <c r="Y73"/>
      <c r="Z73"/>
      <c r="AB73" s="2"/>
      <c r="AC73"/>
      <c r="AD73"/>
      <c r="AE73"/>
      <c r="AF73"/>
      <c r="AG73"/>
      <c r="AH73"/>
      <c r="AI73"/>
      <c r="AJ73"/>
      <c r="AK73"/>
      <c r="AL73"/>
      <c r="AM73"/>
      <c r="AN73"/>
      <c r="AO73"/>
      <c r="AQ73" s="2"/>
      <c r="AR73"/>
      <c r="AS73" s="2"/>
      <c r="AT73"/>
      <c r="AU73" s="2"/>
      <c r="AV73"/>
      <c r="AW73"/>
      <c r="AX73"/>
      <c r="AY73"/>
      <c r="AZ73"/>
      <c r="BA73"/>
      <c r="BB73"/>
      <c r="BC73"/>
      <c r="BD73"/>
      <c r="BF73"/>
      <c r="BG73"/>
      <c r="BH73"/>
      <c r="BI73"/>
      <c r="BJ73"/>
      <c r="BK73"/>
      <c r="BL73"/>
      <c r="BM73"/>
      <c r="BN73"/>
      <c r="BO73"/>
      <c r="BP73"/>
      <c r="BQ73"/>
      <c r="BR73"/>
      <c r="BT73"/>
      <c r="BU73"/>
      <c r="BV73"/>
      <c r="BW73"/>
    </row>
    <row r="74" spans="1:75" s="5" customFormat="1" x14ac:dyDescent="0.3">
      <c r="A74">
        <v>71</v>
      </c>
      <c r="B74"/>
      <c r="C74"/>
      <c r="D74"/>
      <c r="E74" s="7" t="e">
        <f t="shared" si="18"/>
        <v>#DIV/0!</v>
      </c>
      <c r="F74" s="1" t="e">
        <f t="shared" si="19"/>
        <v>#DIV/0!</v>
      </c>
      <c r="G74" s="1" t="e">
        <f t="shared" si="20"/>
        <v>#DIV/0!</v>
      </c>
      <c r="H74" s="1" t="e">
        <f t="shared" si="21"/>
        <v>#DIV/0!</v>
      </c>
      <c r="I74"/>
      <c r="J74"/>
      <c r="K74">
        <f t="shared" si="22"/>
        <v>73.75</v>
      </c>
      <c r="L74">
        <f t="shared" si="23"/>
        <v>-147.5</v>
      </c>
      <c r="M74" s="2"/>
      <c r="N74" s="2"/>
      <c r="O74" s="2"/>
      <c r="P74" s="2"/>
      <c r="Q74"/>
      <c r="R74"/>
      <c r="S74" s="2"/>
      <c r="T74" s="2"/>
      <c r="U74" s="2"/>
      <c r="V74" s="2"/>
      <c r="W74" s="2"/>
      <c r="X74"/>
      <c r="Y74"/>
      <c r="Z74"/>
      <c r="AB74" s="2"/>
      <c r="AC74"/>
      <c r="AD74"/>
      <c r="AE74"/>
      <c r="AF74"/>
      <c r="AG74"/>
      <c r="AH74"/>
      <c r="AI74"/>
      <c r="AJ74"/>
      <c r="AK74"/>
      <c r="AL74"/>
      <c r="AM74"/>
      <c r="AN74"/>
      <c r="AO74"/>
      <c r="AQ74" s="2"/>
      <c r="AR74"/>
      <c r="AS74" s="2"/>
      <c r="AT74"/>
      <c r="AU74" s="2"/>
      <c r="AV74"/>
      <c r="AW74"/>
      <c r="AX74"/>
      <c r="AY74"/>
      <c r="AZ74"/>
      <c r="BA74"/>
      <c r="BB74"/>
      <c r="BC74"/>
      <c r="BD74"/>
      <c r="BF74"/>
      <c r="BG74"/>
      <c r="BH74"/>
      <c r="BI74"/>
      <c r="BJ74"/>
      <c r="BK74"/>
      <c r="BL74"/>
      <c r="BM74"/>
      <c r="BN74"/>
      <c r="BO74"/>
      <c r="BP74"/>
      <c r="BQ74"/>
      <c r="BR74"/>
      <c r="BT74"/>
      <c r="BU74"/>
      <c r="BV74"/>
      <c r="BW74"/>
    </row>
  </sheetData>
  <mergeCells count="1">
    <mergeCell ref="B58:C5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5"/>
  <sheetViews>
    <sheetView workbookViewId="0">
      <selection activeCell="A14" sqref="A14"/>
    </sheetView>
  </sheetViews>
  <sheetFormatPr baseColWidth="10" defaultColWidth="9" defaultRowHeight="14" x14ac:dyDescent="0.3"/>
  <sheetData>
    <row r="1" spans="1:46" x14ac:dyDescent="0.3">
      <c r="A1" t="s">
        <v>37</v>
      </c>
    </row>
    <row r="2" spans="1:46" x14ac:dyDescent="0.3">
      <c r="A2">
        <v>9</v>
      </c>
      <c r="D2">
        <v>50</v>
      </c>
      <c r="E2">
        <v>29.214913231545133</v>
      </c>
      <c r="F2">
        <v>30.508513231545134</v>
      </c>
      <c r="G2">
        <v>27.921313231545135</v>
      </c>
      <c r="H2">
        <v>1.2935999999999996</v>
      </c>
      <c r="J2">
        <v>1450</v>
      </c>
      <c r="K2">
        <v>1161.25</v>
      </c>
      <c r="L2">
        <v>577.5</v>
      </c>
      <c r="M2">
        <v>3.2605059999999999</v>
      </c>
      <c r="N2">
        <v>8.9999999999999998E-4</v>
      </c>
      <c r="P2">
        <v>34.662101999999997</v>
      </c>
      <c r="Q2">
        <v>5.6328000000000003E-2</v>
      </c>
      <c r="T2">
        <v>5.1931649999999996</v>
      </c>
      <c r="U2">
        <v>1.5169999999999999E-3</v>
      </c>
      <c r="W2">
        <v>6.3443940000000003</v>
      </c>
      <c r="X2">
        <v>2.7799999999999999E-3</v>
      </c>
      <c r="Y2">
        <v>5.2222249999999999</v>
      </c>
      <c r="Z2">
        <v>5.3499999999999997E-3</v>
      </c>
      <c r="AA2">
        <v>91.019932060520816</v>
      </c>
      <c r="AF2">
        <v>0</v>
      </c>
      <c r="AM2">
        <v>0</v>
      </c>
    </row>
    <row r="3" spans="1:46" x14ac:dyDescent="0.3">
      <c r="A3">
        <v>10</v>
      </c>
      <c r="E3">
        <v>29.191166035484319</v>
      </c>
      <c r="F3">
        <v>30.574366035484317</v>
      </c>
      <c r="G3">
        <v>27.807966035484316</v>
      </c>
      <c r="H3">
        <v>1.3832000000000004</v>
      </c>
      <c r="J3">
        <v>1530</v>
      </c>
      <c r="K3">
        <v>1221.25</v>
      </c>
      <c r="L3">
        <v>617.5</v>
      </c>
      <c r="M3">
        <v>3.2618170000000002</v>
      </c>
      <c r="N3">
        <v>8.8099999999999995E-4</v>
      </c>
      <c r="P3">
        <v>34.703930999999997</v>
      </c>
      <c r="Q3">
        <v>4.9773999999999999E-2</v>
      </c>
      <c r="T3">
        <v>5.1977669999999998</v>
      </c>
      <c r="U3">
        <v>5.1500000000000005E-4</v>
      </c>
      <c r="W3">
        <v>6.3601210000000004</v>
      </c>
      <c r="X3">
        <v>1.3944E-2</v>
      </c>
      <c r="Y3">
        <v>5.2188230000000004</v>
      </c>
      <c r="Z3">
        <v>3.6586E-2</v>
      </c>
      <c r="AA3">
        <v>91.412157644083564</v>
      </c>
      <c r="AF3">
        <v>0</v>
      </c>
      <c r="AM3">
        <v>0</v>
      </c>
    </row>
    <row r="4" spans="1:46" x14ac:dyDescent="0.3">
      <c r="A4">
        <v>11</v>
      </c>
      <c r="E4">
        <v>29.169616062421447</v>
      </c>
      <c r="F4">
        <v>30.642416062421447</v>
      </c>
      <c r="G4">
        <v>27.696816062421448</v>
      </c>
      <c r="H4">
        <v>1.4727999999999994</v>
      </c>
      <c r="J4">
        <v>1610</v>
      </c>
      <c r="K4">
        <v>1281.25</v>
      </c>
      <c r="L4">
        <v>657.5</v>
      </c>
      <c r="M4">
        <v>3.2631160000000001</v>
      </c>
      <c r="N4">
        <v>1.0189999999999999E-3</v>
      </c>
      <c r="P4">
        <v>34.74541</v>
      </c>
      <c r="Q4">
        <v>5.7590000000000002E-2</v>
      </c>
      <c r="T4">
        <v>5.2002050000000004</v>
      </c>
      <c r="U4">
        <v>6.2699999999999995E-4</v>
      </c>
      <c r="W4">
        <v>6.3638969999999997</v>
      </c>
      <c r="X4">
        <v>7.4960000000000001E-3</v>
      </c>
      <c r="Y4">
        <v>5.2307990000000002</v>
      </c>
      <c r="Z4">
        <v>2.0423E-2</v>
      </c>
      <c r="AA4">
        <v>91.730751609134231</v>
      </c>
      <c r="AF4">
        <v>0</v>
      </c>
      <c r="AM4">
        <v>0</v>
      </c>
      <c r="AN4" t="s">
        <v>47</v>
      </c>
      <c r="AO4" t="s">
        <v>27</v>
      </c>
      <c r="AP4" t="s">
        <v>48</v>
      </c>
      <c r="AQ4" t="s">
        <v>42</v>
      </c>
      <c r="AR4" t="s">
        <v>49</v>
      </c>
      <c r="AS4" t="s">
        <v>28</v>
      </c>
      <c r="AT4" t="s">
        <v>59</v>
      </c>
    </row>
    <row r="5" spans="1:46" x14ac:dyDescent="0.3">
      <c r="A5">
        <v>12</v>
      </c>
      <c r="E5">
        <v>29.134408193143877</v>
      </c>
      <c r="F5">
        <v>30.719208193143878</v>
      </c>
      <c r="G5">
        <v>27.549608193143875</v>
      </c>
      <c r="H5">
        <v>1.5848000000000013</v>
      </c>
      <c r="J5">
        <v>1710</v>
      </c>
      <c r="K5">
        <v>1356.25</v>
      </c>
      <c r="L5">
        <v>707.5</v>
      </c>
      <c r="M5">
        <v>3.264818</v>
      </c>
      <c r="N5">
        <v>1.4630000000000001E-3</v>
      </c>
      <c r="P5">
        <v>34.799829000000003</v>
      </c>
      <c r="Q5">
        <v>8.2709000000000005E-2</v>
      </c>
      <c r="R5" t="s">
        <v>37</v>
      </c>
      <c r="T5">
        <v>5.2053060000000002</v>
      </c>
      <c r="U5">
        <v>8.3199999999999995E-4</v>
      </c>
      <c r="W5">
        <v>6.3680339999999998</v>
      </c>
      <c r="X5">
        <v>1.8931E-2</v>
      </c>
      <c r="Y5">
        <v>5.2602209999999996</v>
      </c>
      <c r="Z5">
        <v>5.2290999999999997E-2</v>
      </c>
      <c r="AA5">
        <v>92.366688514811571</v>
      </c>
      <c r="AF5">
        <v>0</v>
      </c>
      <c r="AM5">
        <v>0</v>
      </c>
      <c r="AT5">
        <v>0</v>
      </c>
    </row>
    <row r="7" spans="1:46" x14ac:dyDescent="0.3">
      <c r="A7">
        <v>17</v>
      </c>
      <c r="E7">
        <v>32.962839877898482</v>
      </c>
      <c r="F7">
        <v>34.05483987789848</v>
      </c>
      <c r="G7">
        <v>31.870839877898479</v>
      </c>
      <c r="H7">
        <v>1.0920000000000005</v>
      </c>
      <c r="J7">
        <v>1270</v>
      </c>
      <c r="K7">
        <v>1026.25</v>
      </c>
      <c r="L7">
        <v>487.5</v>
      </c>
      <c r="M7">
        <v>3.2289119999999998</v>
      </c>
      <c r="N7">
        <v>1.3500000000000001E-3</v>
      </c>
      <c r="P7">
        <v>33.664225000000002</v>
      </c>
      <c r="Q7">
        <v>7.5494000000000006E-2</v>
      </c>
      <c r="T7">
        <v>5.1714589999999996</v>
      </c>
      <c r="U7">
        <v>4.8099999999999998E-4</v>
      </c>
      <c r="W7">
        <v>6.2983219999999998</v>
      </c>
      <c r="X7">
        <v>2.4399999999999999E-3</v>
      </c>
      <c r="Y7">
        <v>5.1681499999999998</v>
      </c>
      <c r="Z7">
        <v>6.5989999999999998E-3</v>
      </c>
      <c r="AA7">
        <v>88.7739340529873</v>
      </c>
      <c r="AF7">
        <v>0</v>
      </c>
      <c r="AM7">
        <v>0</v>
      </c>
      <c r="AT7">
        <v>0</v>
      </c>
    </row>
    <row r="8" spans="1:46" x14ac:dyDescent="0.3">
      <c r="A8">
        <v>18</v>
      </c>
      <c r="E8">
        <v>33.097239877898481</v>
      </c>
      <c r="F8">
        <v>34.278839877898477</v>
      </c>
      <c r="G8">
        <v>31.915639877898478</v>
      </c>
      <c r="H8">
        <v>1.1815999999999995</v>
      </c>
      <c r="J8">
        <v>1350</v>
      </c>
      <c r="K8">
        <v>1086.25</v>
      </c>
      <c r="L8">
        <v>527.5</v>
      </c>
      <c r="M8">
        <v>3.2289119999999998</v>
      </c>
      <c r="N8">
        <v>1.4920000000000001E-3</v>
      </c>
      <c r="P8">
        <v>33.664233000000003</v>
      </c>
      <c r="Q8">
        <v>8.3430000000000004E-2</v>
      </c>
      <c r="T8">
        <v>5.1717599999999999</v>
      </c>
      <c r="U8">
        <v>2.5399999999999999E-4</v>
      </c>
      <c r="W8">
        <v>6.29969</v>
      </c>
      <c r="X8">
        <v>1.2620000000000001E-3</v>
      </c>
      <c r="Y8">
        <v>5.1766779999999999</v>
      </c>
      <c r="Z8">
        <v>3.3340000000000002E-3</v>
      </c>
      <c r="AA8">
        <v>88.959051886115532</v>
      </c>
      <c r="AF8">
        <v>0</v>
      </c>
      <c r="AM8">
        <v>0</v>
      </c>
      <c r="AT8">
        <v>0</v>
      </c>
    </row>
    <row r="9" spans="1:46" x14ac:dyDescent="0.3">
      <c r="A9">
        <v>19</v>
      </c>
      <c r="E9">
        <v>33.142520300701605</v>
      </c>
      <c r="F9">
        <v>34.458520300701601</v>
      </c>
      <c r="G9">
        <v>31.826520300701603</v>
      </c>
      <c r="H9">
        <v>1.3159999999999989</v>
      </c>
      <c r="J9">
        <v>1470</v>
      </c>
      <c r="K9">
        <v>1176.25</v>
      </c>
      <c r="L9">
        <v>587.5</v>
      </c>
      <c r="M9">
        <v>3.2300659999999999</v>
      </c>
      <c r="N9">
        <v>1.592E-2</v>
      </c>
      <c r="P9">
        <v>33.700339999999997</v>
      </c>
      <c r="Q9">
        <v>8.9058999999999999E-2</v>
      </c>
      <c r="T9">
        <v>5.1747909999999999</v>
      </c>
      <c r="U9">
        <v>3.4900000000000003E-4</v>
      </c>
      <c r="W9">
        <v>6.3060669999999996</v>
      </c>
      <c r="X9">
        <v>5.1500000000000005E-4</v>
      </c>
      <c r="Y9">
        <v>5.1907059999999996</v>
      </c>
      <c r="Z9">
        <v>1.4040000000000001E-3</v>
      </c>
      <c r="AA9">
        <v>89.380798184859898</v>
      </c>
      <c r="AF9">
        <v>0</v>
      </c>
      <c r="AM9">
        <v>0</v>
      </c>
      <c r="AT9">
        <v>0</v>
      </c>
    </row>
    <row r="10" spans="1:46" x14ac:dyDescent="0.3">
      <c r="A10">
        <v>20</v>
      </c>
      <c r="E10">
        <v>33.23485137319966</v>
      </c>
      <c r="F10">
        <v>34.629251373199665</v>
      </c>
      <c r="G10">
        <v>31.840451373199663</v>
      </c>
      <c r="H10">
        <v>1.394400000000001</v>
      </c>
      <c r="J10">
        <v>1540</v>
      </c>
      <c r="K10">
        <v>1228.75</v>
      </c>
      <c r="L10">
        <v>622.5</v>
      </c>
      <c r="M10">
        <v>3.2302529999999998</v>
      </c>
      <c r="N10">
        <v>2.5249999999999999E-3</v>
      </c>
      <c r="P10">
        <v>33.706172000000002</v>
      </c>
      <c r="Q10">
        <v>0.14125599999999999</v>
      </c>
      <c r="T10">
        <v>5.1764729999999997</v>
      </c>
      <c r="U10">
        <v>1.44E-4</v>
      </c>
      <c r="W10">
        <v>6.3119569999999996</v>
      </c>
      <c r="X10">
        <v>7.6599999999999997E-4</v>
      </c>
      <c r="Y10">
        <v>5.1982920000000004</v>
      </c>
      <c r="Z10">
        <v>2.0920000000000001E-3</v>
      </c>
      <c r="AA10">
        <v>89.678713705940567</v>
      </c>
      <c r="AF10">
        <v>0</v>
      </c>
      <c r="AM10">
        <v>0</v>
      </c>
      <c r="AT10">
        <v>0</v>
      </c>
    </row>
    <row r="11" spans="1:46" x14ac:dyDescent="0.3">
      <c r="A11">
        <v>21</v>
      </c>
      <c r="E11">
        <v>33.141933795487347</v>
      </c>
      <c r="F11">
        <v>34.625933795487349</v>
      </c>
      <c r="G11">
        <v>31.657933795487345</v>
      </c>
      <c r="H11">
        <v>1.4840000000000018</v>
      </c>
      <c r="J11">
        <v>1620</v>
      </c>
      <c r="K11">
        <v>1288.75</v>
      </c>
      <c r="L11">
        <v>662.5</v>
      </c>
      <c r="M11">
        <v>3.231941</v>
      </c>
      <c r="N11">
        <v>2.6189999999999998E-3</v>
      </c>
      <c r="P11">
        <v>33.759042000000001</v>
      </c>
      <c r="Q11">
        <v>0.14658599999999999</v>
      </c>
      <c r="S11" t="s">
        <v>35</v>
      </c>
      <c r="T11">
        <v>5.1780270000000002</v>
      </c>
      <c r="U11">
        <v>2.3599999999999999E-4</v>
      </c>
      <c r="W11">
        <v>6.3178850000000004</v>
      </c>
      <c r="X11">
        <v>1.436E-3</v>
      </c>
      <c r="Y11">
        <v>5.2071129999999997</v>
      </c>
      <c r="Z11">
        <v>3.9300000000000003E-3</v>
      </c>
      <c r="AA11">
        <v>89.999702000410025</v>
      </c>
      <c r="AF11">
        <v>0</v>
      </c>
      <c r="AM11">
        <v>0</v>
      </c>
      <c r="AT11">
        <v>0</v>
      </c>
    </row>
    <row r="12" spans="1:46" x14ac:dyDescent="0.3">
      <c r="A12">
        <v>22</v>
      </c>
      <c r="E12">
        <v>33.197293321449948</v>
      </c>
      <c r="F12">
        <v>34.759693321449944</v>
      </c>
      <c r="G12">
        <v>31.634893321449947</v>
      </c>
      <c r="H12">
        <v>1.5623999999999985</v>
      </c>
      <c r="J12">
        <v>1690</v>
      </c>
      <c r="K12">
        <v>1341.25</v>
      </c>
      <c r="L12">
        <v>697.5</v>
      </c>
      <c r="M12">
        <v>3.232405</v>
      </c>
      <c r="N12">
        <v>2.5560000000000001E-3</v>
      </c>
      <c r="P12">
        <v>33.773608000000003</v>
      </c>
      <c r="Q12">
        <v>0.14311199999999999</v>
      </c>
      <c r="T12">
        <v>5.1795470000000003</v>
      </c>
      <c r="U12">
        <v>2.9300000000000002E-4</v>
      </c>
      <c r="W12">
        <v>6.3226319999999996</v>
      </c>
      <c r="X12">
        <v>1.379E-3</v>
      </c>
      <c r="Y12">
        <v>5.2126599999999996</v>
      </c>
      <c r="Z12">
        <v>3.777E-3</v>
      </c>
      <c r="AA12">
        <v>90.231015420563651</v>
      </c>
      <c r="AF12">
        <v>0</v>
      </c>
      <c r="AM12">
        <v>0</v>
      </c>
      <c r="AT12">
        <v>0</v>
      </c>
    </row>
    <row r="13" spans="1:46" x14ac:dyDescent="0.3">
      <c r="A13">
        <v>23</v>
      </c>
      <c r="E13">
        <v>33.353768944016785</v>
      </c>
      <c r="F13">
        <v>35.028168944016784</v>
      </c>
      <c r="G13">
        <v>31.679368944016783</v>
      </c>
      <c r="H13">
        <v>1.6744000000000003</v>
      </c>
      <c r="J13">
        <v>1790</v>
      </c>
      <c r="K13">
        <v>1416.25</v>
      </c>
      <c r="L13">
        <v>747.5</v>
      </c>
      <c r="M13">
        <v>3.232491</v>
      </c>
      <c r="N13">
        <v>3.0999999999999999E-3</v>
      </c>
      <c r="P13">
        <v>33.776285999999999</v>
      </c>
      <c r="Q13">
        <v>0.173566</v>
      </c>
      <c r="T13">
        <v>5.1814830000000001</v>
      </c>
      <c r="U13">
        <v>1.1900000000000001E-4</v>
      </c>
      <c r="W13">
        <v>6.330959</v>
      </c>
      <c r="X13">
        <v>1.5200000000000001E-3</v>
      </c>
      <c r="Y13">
        <v>5.2227600000000001</v>
      </c>
      <c r="Z13">
        <v>4.1700000000000001E-3</v>
      </c>
      <c r="AA13">
        <v>90.644134658883175</v>
      </c>
      <c r="AF13">
        <v>0</v>
      </c>
      <c r="AM13">
        <v>0</v>
      </c>
      <c r="AT13">
        <v>0</v>
      </c>
    </row>
    <row r="14" spans="1:46" x14ac:dyDescent="0.3">
      <c r="A14">
        <v>24</v>
      </c>
      <c r="B14" s="1"/>
      <c r="C14" s="1"/>
      <c r="D14" s="1"/>
      <c r="E14" s="1">
        <v>33.615308381467294</v>
      </c>
      <c r="F14">
        <v>35.424108381467292</v>
      </c>
      <c r="G14">
        <v>31.806508381467296</v>
      </c>
      <c r="H14" s="1">
        <v>1.808799999999998</v>
      </c>
      <c r="I14" s="1"/>
      <c r="J14" s="1">
        <v>1910</v>
      </c>
      <c r="K14" s="1">
        <v>1506.25</v>
      </c>
      <c r="L14">
        <v>807.5</v>
      </c>
      <c r="M14">
        <v>3.2320440000000001</v>
      </c>
      <c r="N14">
        <v>2.6570000000000001E-3</v>
      </c>
      <c r="P14">
        <v>33.762281000000002</v>
      </c>
      <c r="Q14">
        <v>0.14873500000000001</v>
      </c>
      <c r="R14" t="s">
        <v>37</v>
      </c>
      <c r="T14">
        <v>5.1834670000000003</v>
      </c>
      <c r="U14">
        <v>2.9300000000000002E-4</v>
      </c>
      <c r="W14">
        <v>6.3396990000000004</v>
      </c>
      <c r="X14">
        <v>9.810000000000001E-4</v>
      </c>
      <c r="Y14">
        <v>5.2312390000000004</v>
      </c>
      <c r="Z14">
        <v>2.6940000000000002E-3</v>
      </c>
      <c r="AA14">
        <v>91.04214377183969</v>
      </c>
      <c r="AF14">
        <v>0</v>
      </c>
      <c r="AM14">
        <v>0</v>
      </c>
      <c r="AT14">
        <v>0</v>
      </c>
    </row>
    <row r="16" spans="1:46" x14ac:dyDescent="0.3">
      <c r="A16">
        <v>32</v>
      </c>
      <c r="E16">
        <v>41.442027572893899</v>
      </c>
      <c r="F16">
        <v>42.802827572893897</v>
      </c>
      <c r="G16">
        <v>40.081227572893894</v>
      </c>
      <c r="H16">
        <v>1.3608000000000011</v>
      </c>
      <c r="J16">
        <v>1510</v>
      </c>
      <c r="K16">
        <v>1206.25</v>
      </c>
      <c r="L16">
        <v>607.5</v>
      </c>
      <c r="M16">
        <v>3.1750479999999999</v>
      </c>
      <c r="N16">
        <v>2.957E-3</v>
      </c>
      <c r="P16">
        <v>32.007438</v>
      </c>
      <c r="Q16">
        <v>0.16263900000000001</v>
      </c>
      <c r="R16" t="s">
        <v>37</v>
      </c>
      <c r="T16">
        <v>5.1230719999999996</v>
      </c>
      <c r="U16">
        <v>1.35E-4</v>
      </c>
      <c r="W16">
        <v>6.2208800000000002</v>
      </c>
      <c r="X16">
        <v>1.317E-3</v>
      </c>
      <c r="Y16">
        <v>5.1236179999999996</v>
      </c>
      <c r="Z16">
        <v>3.5969999999999999E-3</v>
      </c>
      <c r="AA16">
        <v>85.858051191440509</v>
      </c>
      <c r="AF16">
        <v>0</v>
      </c>
      <c r="AM16">
        <v>0</v>
      </c>
      <c r="AT16">
        <v>0</v>
      </c>
    </row>
    <row r="17" spans="1:46" x14ac:dyDescent="0.3">
      <c r="A17">
        <v>33</v>
      </c>
      <c r="E17">
        <v>40.587094833796826</v>
      </c>
      <c r="F17">
        <v>42.026294833796825</v>
      </c>
      <c r="G17">
        <v>39.147894833796826</v>
      </c>
      <c r="H17">
        <v>1.4391999999999996</v>
      </c>
      <c r="J17">
        <v>1580</v>
      </c>
      <c r="K17">
        <v>1258.75</v>
      </c>
      <c r="L17">
        <v>642.5</v>
      </c>
      <c r="M17">
        <v>3.1810049999999999</v>
      </c>
      <c r="N17">
        <v>1.6199999999999999E-3</v>
      </c>
      <c r="P17">
        <v>32.187930000000001</v>
      </c>
      <c r="Q17">
        <v>8.9243000000000003E-2</v>
      </c>
      <c r="S17" t="s">
        <v>35</v>
      </c>
      <c r="T17">
        <v>5.125381</v>
      </c>
      <c r="U17">
        <v>1.2999999999999999E-4</v>
      </c>
      <c r="W17">
        <v>6.2255630000000002</v>
      </c>
      <c r="X17">
        <v>6.3100000000000005E-4</v>
      </c>
      <c r="Y17">
        <v>5.1307809999999998</v>
      </c>
      <c r="Z17">
        <v>1.7279999999999999E-3</v>
      </c>
      <c r="AA17">
        <v>86.107578954342287</v>
      </c>
      <c r="AF17">
        <v>0</v>
      </c>
      <c r="AM17">
        <v>0</v>
      </c>
      <c r="AT17">
        <v>0</v>
      </c>
    </row>
    <row r="18" spans="1:46" x14ac:dyDescent="0.3">
      <c r="A18">
        <v>34</v>
      </c>
      <c r="E18">
        <v>40.928056980117574</v>
      </c>
      <c r="F18">
        <v>42.434456980117574</v>
      </c>
      <c r="G18">
        <v>39.421656980117575</v>
      </c>
      <c r="H18">
        <v>1.5063999999999993</v>
      </c>
      <c r="J18">
        <v>1640</v>
      </c>
      <c r="K18">
        <v>1303.75</v>
      </c>
      <c r="L18">
        <v>672.5</v>
      </c>
      <c r="M18">
        <v>3.179522</v>
      </c>
      <c r="N18">
        <v>2.5270000000000002E-3</v>
      </c>
      <c r="P18">
        <v>32.142944999999997</v>
      </c>
      <c r="Q18">
        <v>0.13916000000000001</v>
      </c>
      <c r="T18">
        <v>5.127243</v>
      </c>
      <c r="U18">
        <v>1.95E-4</v>
      </c>
      <c r="W18">
        <v>6.2289289999999999</v>
      </c>
      <c r="X18">
        <v>1.1709999999999999E-3</v>
      </c>
      <c r="Y18">
        <v>5.1409739999999999</v>
      </c>
      <c r="Z18">
        <v>3.2169999999999998E-3</v>
      </c>
      <c r="AA18">
        <v>86.371965926067546</v>
      </c>
      <c r="AF18">
        <v>0</v>
      </c>
      <c r="AM18">
        <v>0</v>
      </c>
      <c r="AT18">
        <v>0</v>
      </c>
    </row>
    <row r="19" spans="1:46" x14ac:dyDescent="0.3">
      <c r="A19">
        <v>35</v>
      </c>
      <c r="E19">
        <v>41.242457925995616</v>
      </c>
      <c r="F19">
        <v>42.87205792599562</v>
      </c>
      <c r="G19">
        <v>39.61285792599562</v>
      </c>
      <c r="H19">
        <v>1.6295999999999999</v>
      </c>
      <c r="J19">
        <v>1750</v>
      </c>
      <c r="K19">
        <v>1386.25</v>
      </c>
      <c r="L19">
        <v>727.5</v>
      </c>
      <c r="M19">
        <v>3.178725</v>
      </c>
      <c r="N19">
        <v>2.1649999999999998E-3</v>
      </c>
      <c r="P19">
        <v>32.118777999999999</v>
      </c>
      <c r="Q19">
        <v>0.119218</v>
      </c>
      <c r="T19">
        <v>5.1292669999999996</v>
      </c>
      <c r="U19">
        <v>2.24E-4</v>
      </c>
      <c r="W19">
        <v>6.2348439999999998</v>
      </c>
      <c r="X19">
        <v>2.065E-3</v>
      </c>
      <c r="Y19">
        <v>5.1421570000000001</v>
      </c>
      <c r="Z19">
        <v>6.051E-3</v>
      </c>
      <c r="AA19">
        <v>86.555994693299567</v>
      </c>
      <c r="AF19">
        <v>0</v>
      </c>
      <c r="AM19">
        <v>0</v>
      </c>
      <c r="AT19">
        <v>0</v>
      </c>
    </row>
    <row r="20" spans="1:46" x14ac:dyDescent="0.3">
      <c r="A20">
        <v>36</v>
      </c>
      <c r="E20">
        <v>41.417608138393504</v>
      </c>
      <c r="F20">
        <v>43.204008138393505</v>
      </c>
      <c r="G20">
        <v>39.631208138393504</v>
      </c>
      <c r="H20">
        <v>1.7864000000000004</v>
      </c>
      <c r="J20">
        <v>1890</v>
      </c>
      <c r="K20">
        <v>1491.25</v>
      </c>
      <c r="L20">
        <v>797.5</v>
      </c>
      <c r="M20">
        <v>3.1790940000000001</v>
      </c>
      <c r="N20">
        <v>3.5149999999999999E-3</v>
      </c>
      <c r="P20">
        <v>32.129956</v>
      </c>
      <c r="Q20">
        <v>0.19354199999999999</v>
      </c>
      <c r="T20">
        <v>5.1324490000000003</v>
      </c>
      <c r="U20">
        <v>5.4000000000000001E-4</v>
      </c>
      <c r="W20">
        <v>6.2414639999999997</v>
      </c>
      <c r="X20">
        <v>2.611E-3</v>
      </c>
      <c r="Y20">
        <v>5.1497630000000001</v>
      </c>
      <c r="Z20">
        <v>7.6600000000000001E-3</v>
      </c>
      <c r="AA20">
        <v>86.868199172093924</v>
      </c>
      <c r="AF20">
        <v>0</v>
      </c>
      <c r="AM20">
        <v>0</v>
      </c>
      <c r="AT20">
        <v>0</v>
      </c>
    </row>
    <row r="21" spans="1:46" x14ac:dyDescent="0.3">
      <c r="A21">
        <v>37</v>
      </c>
      <c r="E21">
        <v>41.930233176031024</v>
      </c>
      <c r="F21">
        <v>43.806233176031029</v>
      </c>
      <c r="G21">
        <v>40.054233176031026</v>
      </c>
      <c r="H21">
        <v>1.8760000000000012</v>
      </c>
      <c r="J21">
        <v>1970</v>
      </c>
      <c r="K21">
        <v>1551.25</v>
      </c>
      <c r="L21">
        <v>837.5</v>
      </c>
      <c r="M21">
        <v>3.1767780000000001</v>
      </c>
      <c r="N21">
        <v>1.7260000000000001E-3</v>
      </c>
      <c r="P21">
        <v>32.059780000000003</v>
      </c>
      <c r="Q21">
        <v>9.4969999999999999E-2</v>
      </c>
      <c r="T21">
        <v>5.1347560000000003</v>
      </c>
      <c r="U21">
        <v>1.0579999999999999E-3</v>
      </c>
      <c r="W21">
        <v>6.2445700000000004</v>
      </c>
      <c r="X21">
        <v>3.7139999999999999E-3</v>
      </c>
      <c r="Y21">
        <v>5.1643549999999996</v>
      </c>
      <c r="Z21">
        <v>1.0260999999999999E-2</v>
      </c>
      <c r="AA21">
        <v>87.201067362897291</v>
      </c>
      <c r="AF21">
        <v>0</v>
      </c>
      <c r="AM21">
        <v>0</v>
      </c>
      <c r="AT21">
        <v>0</v>
      </c>
    </row>
    <row r="22" spans="1:46" x14ac:dyDescent="0.3">
      <c r="A22">
        <v>38</v>
      </c>
      <c r="E22">
        <v>41.724479215794858</v>
      </c>
      <c r="F22">
        <v>43.69007921579486</v>
      </c>
      <c r="G22">
        <v>39.758879215794863</v>
      </c>
      <c r="H22">
        <v>1.9655999999999985</v>
      </c>
      <c r="J22">
        <v>2050</v>
      </c>
      <c r="K22">
        <v>1611.25</v>
      </c>
      <c r="L22">
        <v>877.5</v>
      </c>
      <c r="M22">
        <v>3.1788599999999998</v>
      </c>
      <c r="N22">
        <v>3.3170000000000001E-3</v>
      </c>
      <c r="P22">
        <v>32.122866000000002</v>
      </c>
      <c r="Q22">
        <v>0.182614</v>
      </c>
      <c r="T22">
        <v>5.1367589999999996</v>
      </c>
      <c r="U22">
        <v>9.859999999999999E-4</v>
      </c>
      <c r="W22">
        <v>6.25</v>
      </c>
      <c r="X22">
        <v>3.496E-3</v>
      </c>
      <c r="Y22">
        <v>5.17225</v>
      </c>
      <c r="Z22">
        <v>9.6790000000000001E-3</v>
      </c>
      <c r="AA22">
        <v>87.486326068829371</v>
      </c>
      <c r="AF22">
        <v>0</v>
      </c>
      <c r="AM22">
        <v>0</v>
      </c>
      <c r="AT22">
        <v>0</v>
      </c>
    </row>
    <row r="24" spans="1:46" x14ac:dyDescent="0.3">
      <c r="A24">
        <v>46</v>
      </c>
      <c r="E24">
        <v>43.865237544837484</v>
      </c>
      <c r="F24">
        <v>45.394037544837488</v>
      </c>
      <c r="G24">
        <v>42.336437544837487</v>
      </c>
      <c r="H24">
        <v>1.5288000000000004</v>
      </c>
      <c r="J24">
        <v>1660</v>
      </c>
      <c r="K24">
        <v>1318.75</v>
      </c>
      <c r="L24">
        <v>682.5</v>
      </c>
      <c r="M24">
        <v>3.1621929999999998</v>
      </c>
      <c r="N24">
        <v>9.0799999999999995E-4</v>
      </c>
      <c r="P24">
        <v>31.620249999999999</v>
      </c>
      <c r="Q24">
        <v>4.9735000000000001E-2</v>
      </c>
      <c r="R24" t="s">
        <v>37</v>
      </c>
      <c r="T24">
        <v>5.1093840000000004</v>
      </c>
      <c r="U24">
        <v>3.5E-4</v>
      </c>
      <c r="W24">
        <v>6.2012770000000002</v>
      </c>
      <c r="X24">
        <v>1.9419999999999999E-3</v>
      </c>
      <c r="Y24">
        <v>5.113791</v>
      </c>
      <c r="Z24">
        <v>5.3229999999999996E-3</v>
      </c>
      <c r="AA24">
        <v>85.154160624607087</v>
      </c>
      <c r="AF24">
        <v>0</v>
      </c>
      <c r="AM24">
        <v>0</v>
      </c>
      <c r="AT24">
        <v>0</v>
      </c>
    </row>
    <row r="25" spans="1:46" x14ac:dyDescent="0.3">
      <c r="A25">
        <v>47</v>
      </c>
      <c r="E25">
        <v>44.067471675201688</v>
      </c>
      <c r="F25">
        <v>45.708271675201686</v>
      </c>
      <c r="G25">
        <v>42.426671675201682</v>
      </c>
      <c r="H25">
        <v>1.6408000000000023</v>
      </c>
      <c r="J25">
        <v>1760</v>
      </c>
      <c r="K25">
        <v>1393.75</v>
      </c>
      <c r="L25">
        <v>732.5</v>
      </c>
      <c r="M25">
        <v>3.1619950000000001</v>
      </c>
      <c r="N25">
        <v>8.4900000000000004E-4</v>
      </c>
      <c r="P25">
        <v>31.614294999999998</v>
      </c>
      <c r="Q25">
        <v>4.648E-2</v>
      </c>
      <c r="T25">
        <v>5.1111690000000003</v>
      </c>
      <c r="U25">
        <v>3.3500000000000001E-4</v>
      </c>
      <c r="W25">
        <v>6.2054729999999996</v>
      </c>
      <c r="X25">
        <v>1.537E-3</v>
      </c>
      <c r="Y25">
        <v>5.1214789999999999</v>
      </c>
      <c r="Z25">
        <v>4.1079999999999997E-3</v>
      </c>
      <c r="AA25">
        <v>85.3976289994811</v>
      </c>
      <c r="AF25">
        <v>0</v>
      </c>
      <c r="AM25">
        <v>0</v>
      </c>
      <c r="AT25">
        <v>0</v>
      </c>
    </row>
    <row r="26" spans="1:46" x14ac:dyDescent="0.3">
      <c r="A26">
        <v>48</v>
      </c>
      <c r="E26">
        <v>44.219017598888748</v>
      </c>
      <c r="F26">
        <v>45.960617598888746</v>
      </c>
      <c r="G26">
        <v>42.477417598888749</v>
      </c>
      <c r="H26">
        <v>1.7415999999999983</v>
      </c>
      <c r="J26">
        <v>1850</v>
      </c>
      <c r="K26">
        <v>1461.25</v>
      </c>
      <c r="L26">
        <v>777.5</v>
      </c>
      <c r="M26">
        <v>3.1619929999999998</v>
      </c>
      <c r="N26">
        <v>3.1619929999999998</v>
      </c>
      <c r="P26">
        <v>31.614243999999999</v>
      </c>
      <c r="Q26">
        <v>4.6561999999999999E-2</v>
      </c>
      <c r="T26">
        <v>5.1132</v>
      </c>
      <c r="U26">
        <v>5.2499999999999997E-4</v>
      </c>
      <c r="W26">
        <v>6.2082689999999996</v>
      </c>
      <c r="X26">
        <v>1.031E-3</v>
      </c>
      <c r="Y26">
        <v>5.1376629999999999</v>
      </c>
      <c r="Z26">
        <v>2.7750000000000001E-3</v>
      </c>
      <c r="AA26">
        <v>85.744703406367137</v>
      </c>
      <c r="AF26">
        <v>0</v>
      </c>
      <c r="AM26">
        <v>0</v>
      </c>
      <c r="AT26">
        <v>0</v>
      </c>
    </row>
    <row r="27" spans="1:46" x14ac:dyDescent="0.3">
      <c r="A27">
        <v>49</v>
      </c>
      <c r="E27">
        <v>44.203081070852704</v>
      </c>
      <c r="F27">
        <v>46.045481070852702</v>
      </c>
      <c r="G27">
        <v>42.360681070852699</v>
      </c>
      <c r="H27">
        <v>1.8424000000000014</v>
      </c>
      <c r="J27">
        <v>1940</v>
      </c>
      <c r="K27">
        <v>1528.75</v>
      </c>
      <c r="L27">
        <v>822.5</v>
      </c>
      <c r="M27">
        <v>3.1629610000000001</v>
      </c>
      <c r="N27">
        <v>6.96E-4</v>
      </c>
      <c r="P27">
        <v>31.643287999999998</v>
      </c>
      <c r="Q27">
        <v>3.8124999999999999E-2</v>
      </c>
      <c r="T27">
        <v>5.1152240000000004</v>
      </c>
      <c r="U27">
        <v>5.31E-4</v>
      </c>
      <c r="W27">
        <v>6.2117100000000001</v>
      </c>
      <c r="X27">
        <v>2.287E-3</v>
      </c>
      <c r="Y27">
        <v>5.1531320000000003</v>
      </c>
      <c r="Z27">
        <v>6.1960000000000001E-3</v>
      </c>
      <c r="AA27">
        <v>86.098234766826593</v>
      </c>
      <c r="AF27">
        <v>0</v>
      </c>
      <c r="AM27">
        <v>0</v>
      </c>
      <c r="AT27">
        <v>0</v>
      </c>
    </row>
    <row r="28" spans="1:46" x14ac:dyDescent="0.3">
      <c r="A28">
        <v>50</v>
      </c>
      <c r="E28">
        <v>44.20762793566125</v>
      </c>
      <c r="F28">
        <v>46.117227935661248</v>
      </c>
      <c r="G28">
        <v>42.298027935661246</v>
      </c>
      <c r="H28">
        <v>1.9096000000000011</v>
      </c>
      <c r="J28">
        <v>2000</v>
      </c>
      <c r="K28">
        <v>1573.75</v>
      </c>
      <c r="L28">
        <v>852.5</v>
      </c>
      <c r="M28">
        <v>3.1635200000000001</v>
      </c>
      <c r="N28">
        <v>7.7399999999999995E-4</v>
      </c>
      <c r="P28">
        <v>31.660067999999999</v>
      </c>
      <c r="Q28">
        <v>4.2414E-2</v>
      </c>
      <c r="R28" t="s">
        <v>37</v>
      </c>
      <c r="T28">
        <v>5.1163319999999999</v>
      </c>
      <c r="U28">
        <v>5.0100000000000003E-4</v>
      </c>
      <c r="W28">
        <v>6.216043</v>
      </c>
      <c r="X28">
        <v>2.8349999999999998E-3</v>
      </c>
      <c r="Y28">
        <v>5.1581900000000003</v>
      </c>
      <c r="Z28">
        <v>8.3840000000000008E-3</v>
      </c>
      <c r="AA28">
        <v>86.303019623817747</v>
      </c>
      <c r="AF28">
        <v>0</v>
      </c>
      <c r="AM28">
        <v>0</v>
      </c>
      <c r="AT28">
        <v>0</v>
      </c>
    </row>
    <row r="30" spans="1:46" x14ac:dyDescent="0.3">
      <c r="A30">
        <v>69</v>
      </c>
      <c r="E30">
        <v>54.154374818959283</v>
      </c>
      <c r="F30">
        <v>55.705574818959285</v>
      </c>
      <c r="G30">
        <v>52.603174818959289</v>
      </c>
      <c r="H30">
        <v>1.5511999999999979</v>
      </c>
      <c r="J30">
        <v>1680</v>
      </c>
      <c r="K30">
        <v>1333.75</v>
      </c>
      <c r="L30">
        <v>692.5</v>
      </c>
      <c r="M30">
        <v>3.1083949999999998</v>
      </c>
      <c r="N30">
        <v>2.4600000000000002E-4</v>
      </c>
      <c r="P30">
        <v>30.033684999999998</v>
      </c>
      <c r="Q30">
        <v>1.3225000000000001E-2</v>
      </c>
      <c r="R30" t="s">
        <v>37</v>
      </c>
      <c r="T30">
        <v>5.0593870000000001</v>
      </c>
      <c r="U30">
        <v>6.9700000000000003E-4</v>
      </c>
      <c r="W30">
        <v>6.1270049999999996</v>
      </c>
      <c r="X30">
        <v>8.0500000000000005E-4</v>
      </c>
      <c r="Y30">
        <v>5.0580049999999996</v>
      </c>
      <c r="Z30">
        <v>1.905E-3</v>
      </c>
      <c r="AA30">
        <v>82.219789363419267</v>
      </c>
      <c r="AF30">
        <v>0</v>
      </c>
      <c r="AM30">
        <v>0</v>
      </c>
      <c r="AT30">
        <v>0</v>
      </c>
    </row>
    <row r="31" spans="1:46" x14ac:dyDescent="0.3">
      <c r="A31">
        <v>70</v>
      </c>
      <c r="E31">
        <v>54.065519619791019</v>
      </c>
      <c r="F31">
        <v>55.695119619791015</v>
      </c>
      <c r="G31">
        <v>52.435919619791022</v>
      </c>
      <c r="H31">
        <v>1.6295999999999964</v>
      </c>
      <c r="J31">
        <v>1750</v>
      </c>
      <c r="K31">
        <v>1386.25</v>
      </c>
      <c r="L31">
        <v>727.5</v>
      </c>
      <c r="M31">
        <v>3.1093820000000001</v>
      </c>
      <c r="N31">
        <v>1.55E-4</v>
      </c>
      <c r="P31">
        <v>30.062297000000001</v>
      </c>
      <c r="Q31">
        <v>8.345E-3</v>
      </c>
      <c r="T31">
        <v>5.0606669999999996</v>
      </c>
      <c r="U31">
        <v>2.9999999999999997E-4</v>
      </c>
      <c r="W31">
        <v>6.1303619999999999</v>
      </c>
      <c r="X31">
        <v>1.3799999999999999E-3</v>
      </c>
      <c r="Y31">
        <v>5.065658</v>
      </c>
      <c r="Z31">
        <v>3.274E-3</v>
      </c>
      <c r="AA31">
        <v>82.434449640647983</v>
      </c>
      <c r="AF31">
        <v>0</v>
      </c>
      <c r="AM31">
        <v>0</v>
      </c>
      <c r="AT31">
        <v>0</v>
      </c>
    </row>
    <row r="32" spans="1:46" x14ac:dyDescent="0.3">
      <c r="A32">
        <v>71</v>
      </c>
      <c r="E32">
        <v>54.167154853085627</v>
      </c>
      <c r="F32">
        <v>55.86395485308563</v>
      </c>
      <c r="G32">
        <v>52.470354853085631</v>
      </c>
      <c r="H32">
        <v>1.6967999999999996</v>
      </c>
      <c r="J32">
        <v>1810</v>
      </c>
      <c r="K32">
        <v>1431.25</v>
      </c>
      <c r="L32">
        <v>757.5</v>
      </c>
      <c r="M32">
        <v>3.109378</v>
      </c>
      <c r="N32">
        <v>3.1E-4</v>
      </c>
      <c r="P32">
        <v>30.062197999999999</v>
      </c>
      <c r="Q32">
        <v>1.6695999999999999E-2</v>
      </c>
      <c r="T32">
        <v>5.0616190000000003</v>
      </c>
      <c r="U32">
        <v>3.7199999999999999E-4</v>
      </c>
      <c r="W32">
        <v>6.1343139999999998</v>
      </c>
      <c r="X32">
        <v>2.6340000000000001E-3</v>
      </c>
      <c r="Y32">
        <v>5.0688529999999998</v>
      </c>
      <c r="Z32">
        <v>5.7499999999999999E-3</v>
      </c>
      <c r="AA32">
        <v>82.592828227214085</v>
      </c>
      <c r="AF32">
        <v>0</v>
      </c>
      <c r="AM32">
        <v>0</v>
      </c>
      <c r="AT32">
        <v>0</v>
      </c>
    </row>
    <row r="33" spans="1:46" x14ac:dyDescent="0.3">
      <c r="A33">
        <v>72</v>
      </c>
      <c r="E33">
        <v>54.034302284932032</v>
      </c>
      <c r="F33">
        <v>55.80950228493203</v>
      </c>
      <c r="G33">
        <v>52.259102284932027</v>
      </c>
      <c r="H33">
        <v>1.7752000000000017</v>
      </c>
      <c r="J33">
        <v>1880</v>
      </c>
      <c r="K33">
        <v>1483.75</v>
      </c>
      <c r="L33">
        <v>792.5</v>
      </c>
      <c r="M33">
        <v>3.1105800000000001</v>
      </c>
      <c r="N33">
        <v>7.4999999999999993E-5</v>
      </c>
      <c r="P33">
        <v>30.097062999999999</v>
      </c>
      <c r="Q33">
        <v>4.0549999999999996E-3</v>
      </c>
      <c r="R33" t="s">
        <v>37</v>
      </c>
      <c r="T33">
        <v>5.0629939999999998</v>
      </c>
      <c r="U33">
        <v>3.0200000000000002E-4</v>
      </c>
      <c r="W33">
        <v>6.139151</v>
      </c>
      <c r="X33">
        <v>4.5620000000000001E-3</v>
      </c>
      <c r="Y33">
        <v>5.0764440000000004</v>
      </c>
      <c r="Z33">
        <v>9.9780000000000008E-3</v>
      </c>
      <c r="AA33">
        <v>82.847015281691384</v>
      </c>
      <c r="AF33">
        <v>0</v>
      </c>
      <c r="AM33">
        <v>0</v>
      </c>
      <c r="AT33">
        <v>0</v>
      </c>
    </row>
    <row r="35" spans="1:46" x14ac:dyDescent="0.3">
      <c r="A35">
        <v>88</v>
      </c>
      <c r="E35">
        <v>58.535535118244198</v>
      </c>
      <c r="F35">
        <v>60.3667351182442</v>
      </c>
      <c r="G35">
        <v>56.704335118244202</v>
      </c>
      <c r="H35">
        <v>1.8311999999999991</v>
      </c>
      <c r="J35">
        <v>1930</v>
      </c>
      <c r="K35">
        <v>1521.25</v>
      </c>
      <c r="L35">
        <v>817.5</v>
      </c>
      <c r="M35">
        <v>3.0901000000000001</v>
      </c>
      <c r="N35">
        <v>1.9699999999999999E-4</v>
      </c>
      <c r="P35">
        <v>29.506505000000001</v>
      </c>
      <c r="Q35">
        <v>1.0555999999999999E-2</v>
      </c>
      <c r="R35" t="s">
        <v>37</v>
      </c>
      <c r="T35">
        <v>5.0409369999999996</v>
      </c>
      <c r="U35">
        <v>4.4799999999999999E-4</v>
      </c>
      <c r="W35">
        <v>6.1017780000000004</v>
      </c>
      <c r="X35">
        <v>2.2899999999999999E-3</v>
      </c>
      <c r="Y35">
        <v>5.0366200000000001</v>
      </c>
      <c r="Z35">
        <v>6.123E-3</v>
      </c>
      <c r="AA35">
        <v>81.199363919837509</v>
      </c>
      <c r="AF35">
        <v>0</v>
      </c>
      <c r="AM35">
        <v>0</v>
      </c>
      <c r="AT35">
        <v>0</v>
      </c>
    </row>
    <row r="36" spans="1:46" x14ac:dyDescent="0.3">
      <c r="A36">
        <v>89</v>
      </c>
      <c r="E36">
        <v>58.533441999600733</v>
      </c>
      <c r="F36">
        <v>60.454241999600733</v>
      </c>
      <c r="G36">
        <v>56.612641999600733</v>
      </c>
      <c r="H36">
        <v>1.9207999999999998</v>
      </c>
      <c r="J36">
        <v>2010</v>
      </c>
      <c r="K36">
        <v>1581.25</v>
      </c>
      <c r="L36">
        <v>857.5</v>
      </c>
      <c r="M36">
        <v>3.0907110000000002</v>
      </c>
      <c r="N36">
        <v>1.9599999999999999E-4</v>
      </c>
      <c r="P36">
        <v>29.524004000000001</v>
      </c>
      <c r="Q36">
        <v>1.0499E-2</v>
      </c>
      <c r="R36" t="s">
        <v>37</v>
      </c>
      <c r="T36">
        <v>5.0422770000000003</v>
      </c>
      <c r="U36">
        <v>6.02E-4</v>
      </c>
      <c r="W36">
        <v>6.1010799999999996</v>
      </c>
      <c r="X36">
        <v>2.0230000000000001E-3</v>
      </c>
      <c r="Y36">
        <v>5.0528919999999999</v>
      </c>
      <c r="Z36">
        <v>5.4590000000000003E-3</v>
      </c>
      <c r="AA36">
        <v>81.443061584903489</v>
      </c>
      <c r="AF36">
        <v>0</v>
      </c>
      <c r="AM36">
        <v>0</v>
      </c>
      <c r="AT36">
        <v>0</v>
      </c>
    </row>
    <row r="38" spans="1:46" x14ac:dyDescent="0.3">
      <c r="A38">
        <v>108</v>
      </c>
      <c r="E38">
        <v>63.455062590586415</v>
      </c>
      <c r="F38">
        <v>65.566262590586419</v>
      </c>
      <c r="G38">
        <v>61.343862590586419</v>
      </c>
      <c r="H38">
        <v>2.1112000000000002</v>
      </c>
      <c r="J38">
        <v>2180</v>
      </c>
      <c r="K38">
        <v>1708.75</v>
      </c>
      <c r="L38">
        <v>942.5</v>
      </c>
      <c r="M38">
        <v>3.0706660000000001</v>
      </c>
      <c r="N38">
        <v>3.0699999999999998E-4</v>
      </c>
      <c r="P38">
        <v>28.953268000000001</v>
      </c>
      <c r="Q38">
        <v>1.6337999999999998E-2</v>
      </c>
      <c r="R38" t="s">
        <v>37</v>
      </c>
      <c r="T38">
        <v>5.0244309999999999</v>
      </c>
      <c r="U38">
        <v>1.2310000000000001E-3</v>
      </c>
      <c r="W38">
        <v>6.0723830000000003</v>
      </c>
      <c r="X38">
        <v>1.0189999999999999E-3</v>
      </c>
      <c r="Y38">
        <v>5.0389480000000004</v>
      </c>
      <c r="Z38">
        <v>2.7620000000000001E-3</v>
      </c>
      <c r="AA38">
        <v>80.456071706460136</v>
      </c>
      <c r="AF38">
        <v>0</v>
      </c>
      <c r="AM38">
        <v>0</v>
      </c>
      <c r="AT38">
        <v>0</v>
      </c>
    </row>
    <row r="40" spans="1:46" x14ac:dyDescent="0.3">
      <c r="A40">
        <v>127</v>
      </c>
      <c r="E40">
        <v>69.144974727207597</v>
      </c>
      <c r="F40">
        <v>71.043374727207606</v>
      </c>
      <c r="G40">
        <v>67.246574727207602</v>
      </c>
      <c r="H40">
        <v>1.8984000000000023</v>
      </c>
      <c r="J40">
        <v>1990</v>
      </c>
      <c r="K40">
        <v>1566.25</v>
      </c>
      <c r="L40">
        <v>847.5</v>
      </c>
      <c r="M40">
        <v>3.046637</v>
      </c>
      <c r="N40">
        <v>4.5300000000000001E-4</v>
      </c>
      <c r="P40">
        <v>28.278880000000001</v>
      </c>
      <c r="Q40">
        <v>2.3904000000000002E-2</v>
      </c>
      <c r="R40" t="s">
        <v>37</v>
      </c>
      <c r="T40">
        <v>4.9975610000000001</v>
      </c>
      <c r="U40">
        <v>4.8500000000000003E-4</v>
      </c>
      <c r="W40">
        <v>6.0351309999999998</v>
      </c>
      <c r="X40">
        <v>2.3159999999999999E-3</v>
      </c>
      <c r="Y40">
        <v>5.0006950000000003</v>
      </c>
      <c r="Z40">
        <v>6.2560000000000003E-3</v>
      </c>
      <c r="AA40">
        <v>78.868649806709882</v>
      </c>
      <c r="AF40">
        <v>0</v>
      </c>
      <c r="AM40">
        <v>0</v>
      </c>
      <c r="AT40">
        <v>0</v>
      </c>
    </row>
    <row r="41" spans="1:46" x14ac:dyDescent="0.3">
      <c r="A41">
        <v>128</v>
      </c>
      <c r="E41">
        <v>69.275000654136264</v>
      </c>
      <c r="F41">
        <v>71.319000654136261</v>
      </c>
      <c r="G41">
        <v>67.231000654136267</v>
      </c>
      <c r="H41">
        <v>2.0439999999999969</v>
      </c>
      <c r="J41">
        <v>2120</v>
      </c>
      <c r="K41">
        <v>1663.75</v>
      </c>
      <c r="L41">
        <v>912.5</v>
      </c>
      <c r="M41">
        <v>3.0469759999999999</v>
      </c>
      <c r="N41">
        <v>3.7300000000000001E-4</v>
      </c>
      <c r="P41">
        <v>28.288325</v>
      </c>
      <c r="Q41">
        <v>1.9709000000000001E-2</v>
      </c>
      <c r="R41" t="s">
        <v>37</v>
      </c>
      <c r="T41">
        <v>4.9982480000000002</v>
      </c>
      <c r="U41">
        <v>6.7000000000000002E-4</v>
      </c>
      <c r="W41">
        <v>6.0377850000000004</v>
      </c>
      <c r="X41">
        <v>9.5E-4</v>
      </c>
      <c r="Y41">
        <v>5.0106729999999997</v>
      </c>
      <c r="Z41">
        <v>2.5769999999999999E-3</v>
      </c>
      <c r="AA41">
        <v>79.09553821507761</v>
      </c>
      <c r="AF41">
        <v>0</v>
      </c>
      <c r="AM41">
        <v>0</v>
      </c>
      <c r="AT41">
        <v>0</v>
      </c>
    </row>
    <row r="43" spans="1:46" x14ac:dyDescent="0.3">
      <c r="A43" t="s">
        <v>83</v>
      </c>
    </row>
    <row r="44" spans="1:46" x14ac:dyDescent="0.3">
      <c r="A44">
        <v>15</v>
      </c>
      <c r="E44">
        <v>83.922228045151599</v>
      </c>
      <c r="F44">
        <v>85.787028045151601</v>
      </c>
      <c r="G44">
        <v>82.057428045151596</v>
      </c>
      <c r="H44">
        <v>1.8648000000000025</v>
      </c>
      <c r="J44">
        <v>1960</v>
      </c>
      <c r="K44">
        <v>1543.75</v>
      </c>
      <c r="L44">
        <v>832.5</v>
      </c>
      <c r="M44">
        <v>2.9948220000000001</v>
      </c>
      <c r="N44">
        <v>1.2589999999999999E-3</v>
      </c>
      <c r="P44">
        <v>26.860429</v>
      </c>
      <c r="Q44">
        <v>6.5287999999999999E-2</v>
      </c>
      <c r="R44" t="s">
        <v>37</v>
      </c>
      <c r="T44">
        <v>4.9463100000000004</v>
      </c>
      <c r="U44">
        <v>8.2999999999999998E-5</v>
      </c>
      <c r="W44">
        <v>5.9637200000000004</v>
      </c>
      <c r="X44">
        <v>1.7539999999999999E-3</v>
      </c>
      <c r="Y44">
        <v>4.9464699999999997</v>
      </c>
      <c r="Z44">
        <v>3.8670000000000002E-3</v>
      </c>
      <c r="AA44">
        <v>76.178164687395807</v>
      </c>
      <c r="AL44">
        <v>0</v>
      </c>
      <c r="AS44">
        <v>0</v>
      </c>
    </row>
    <row r="45" spans="1:46" x14ac:dyDescent="0.3">
      <c r="A45">
        <v>16</v>
      </c>
      <c r="E45">
        <v>83.776205775804058</v>
      </c>
      <c r="F45">
        <v>85.75300577580407</v>
      </c>
      <c r="G45">
        <v>81.799405775804061</v>
      </c>
      <c r="H45">
        <v>1.9768000000000043</v>
      </c>
      <c r="J45">
        <v>2060</v>
      </c>
      <c r="K45">
        <v>1618.75</v>
      </c>
      <c r="L45">
        <v>882.5</v>
      </c>
      <c r="M45">
        <v>2.9958269999999998</v>
      </c>
      <c r="N45">
        <v>1.126E-3</v>
      </c>
      <c r="P45">
        <v>26.887498999999998</v>
      </c>
      <c r="Q45">
        <v>5.8406E-2</v>
      </c>
      <c r="R45" t="s">
        <v>37</v>
      </c>
      <c r="T45">
        <v>4.9488190000000003</v>
      </c>
      <c r="U45">
        <v>8.0000000000000007E-5</v>
      </c>
      <c r="W45">
        <v>5.968197</v>
      </c>
      <c r="X45">
        <v>1.688E-3</v>
      </c>
      <c r="Y45">
        <v>4.9565099999999997</v>
      </c>
      <c r="Z45">
        <v>3.735E-3</v>
      </c>
      <c r="AA45">
        <v>76.447435784676799</v>
      </c>
      <c r="AL45">
        <v>0</v>
      </c>
      <c r="AS45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5"/>
  <sheetViews>
    <sheetView workbookViewId="0">
      <selection activeCell="A2" sqref="A2"/>
    </sheetView>
  </sheetViews>
  <sheetFormatPr baseColWidth="10" defaultRowHeight="14" x14ac:dyDescent="0.3"/>
  <sheetData>
    <row r="1" spans="1:46" x14ac:dyDescent="0.3">
      <c r="A1" t="s">
        <v>36</v>
      </c>
    </row>
    <row r="2" spans="1:46" x14ac:dyDescent="0.3">
      <c r="A2">
        <v>13</v>
      </c>
      <c r="E2">
        <v>29.367570085928797</v>
      </c>
      <c r="F2">
        <v>31.0979700859288</v>
      </c>
      <c r="G2">
        <v>27.637170085928798</v>
      </c>
      <c r="H2">
        <v>1.7304000000000013</v>
      </c>
      <c r="J2">
        <v>1840</v>
      </c>
      <c r="K2">
        <v>1453.75</v>
      </c>
      <c r="L2">
        <v>772.5</v>
      </c>
      <c r="M2">
        <v>3.264694</v>
      </c>
      <c r="N2">
        <v>1.5100000000000001E-3</v>
      </c>
      <c r="P2">
        <v>34.795844000000002</v>
      </c>
      <c r="Q2">
        <v>8.541E-2</v>
      </c>
      <c r="R2" t="s">
        <v>36</v>
      </c>
      <c r="T2">
        <v>5.2080390000000003</v>
      </c>
      <c r="U2">
        <v>8.4800000000000001E-4</v>
      </c>
      <c r="AA2">
        <v>0</v>
      </c>
      <c r="AB2">
        <v>3.1930260000000001</v>
      </c>
      <c r="AC2">
        <v>2.4600000000000002E-4</v>
      </c>
      <c r="AD2">
        <v>5.2553669999999997</v>
      </c>
      <c r="AE2">
        <v>1.2470000000000001E-3</v>
      </c>
      <c r="AF2">
        <v>92.804404179558347</v>
      </c>
      <c r="AM2">
        <v>0</v>
      </c>
      <c r="AT2">
        <v>0</v>
      </c>
    </row>
    <row r="3" spans="1:46" x14ac:dyDescent="0.3">
      <c r="A3">
        <v>14</v>
      </c>
      <c r="E3">
        <v>29.635179361156258</v>
      </c>
      <c r="F3">
        <v>31.544779361156255</v>
      </c>
      <c r="G3">
        <v>27.725579361156257</v>
      </c>
      <c r="H3">
        <v>1.9095999999999993</v>
      </c>
      <c r="J3">
        <v>2000</v>
      </c>
      <c r="K3">
        <v>1573.75</v>
      </c>
      <c r="L3">
        <v>852.5</v>
      </c>
      <c r="M3">
        <v>3.2647040000000001</v>
      </c>
      <c r="N3">
        <v>1.941E-3</v>
      </c>
      <c r="P3">
        <v>34.796171000000001</v>
      </c>
      <c r="Q3">
        <v>0.109773</v>
      </c>
      <c r="T3">
        <v>5.2112689999999997</v>
      </c>
      <c r="U3">
        <v>1.8060000000000001E-3</v>
      </c>
      <c r="AA3">
        <v>0</v>
      </c>
      <c r="AB3">
        <v>3.1966139999999998</v>
      </c>
      <c r="AC3">
        <v>2.4899999999999998E-4</v>
      </c>
      <c r="AD3">
        <v>5.2768769999999998</v>
      </c>
      <c r="AE3">
        <v>1.276E-3</v>
      </c>
      <c r="AF3">
        <v>93.393788522376227</v>
      </c>
      <c r="AM3">
        <v>0</v>
      </c>
      <c r="AT3">
        <v>0</v>
      </c>
    </row>
    <row r="5" spans="1:46" x14ac:dyDescent="0.3">
      <c r="A5">
        <v>25</v>
      </c>
      <c r="E5">
        <v>33.792759935760415</v>
      </c>
      <c r="F5">
        <v>35.735959935760413</v>
      </c>
      <c r="G5">
        <v>31.849559935760414</v>
      </c>
      <c r="H5">
        <v>1.9431999999999992</v>
      </c>
      <c r="J5">
        <v>2030</v>
      </c>
      <c r="K5">
        <v>1596.25</v>
      </c>
      <c r="L5">
        <v>867.5</v>
      </c>
      <c r="M5">
        <v>3.232224</v>
      </c>
      <c r="N5">
        <v>4.1060000000000003E-3</v>
      </c>
      <c r="P5">
        <v>33.767912000000003</v>
      </c>
      <c r="Q5">
        <v>0.229851</v>
      </c>
      <c r="R5" t="s">
        <v>36</v>
      </c>
      <c r="T5">
        <v>5.186547</v>
      </c>
      <c r="U5">
        <v>7.2400000000000003E-4</v>
      </c>
      <c r="AA5">
        <v>0</v>
      </c>
      <c r="AB5">
        <v>3.1759979999999999</v>
      </c>
      <c r="AC5">
        <v>4.95E-4</v>
      </c>
      <c r="AD5">
        <v>5.2558069999999999</v>
      </c>
      <c r="AE5">
        <v>9.810000000000001E-4</v>
      </c>
      <c r="AF5">
        <v>91.824902713379572</v>
      </c>
      <c r="AM5">
        <v>0</v>
      </c>
      <c r="AT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13"/>
  <sheetViews>
    <sheetView topLeftCell="AD1" workbookViewId="0">
      <selection activeCell="AQ21" sqref="AQ21"/>
    </sheetView>
  </sheetViews>
  <sheetFormatPr baseColWidth="10" defaultRowHeight="14" x14ac:dyDescent="0.3"/>
  <sheetData>
    <row r="1" spans="1:46" x14ac:dyDescent="0.3">
      <c r="A1" t="s">
        <v>44</v>
      </c>
    </row>
    <row r="2" spans="1:46" x14ac:dyDescent="0.3">
      <c r="A2">
        <v>29</v>
      </c>
      <c r="E2">
        <v>41.417887420957648</v>
      </c>
      <c r="F2">
        <v>42.453887420957649</v>
      </c>
      <c r="G2">
        <v>40.381887420957646</v>
      </c>
      <c r="H2">
        <v>1.0360000000000014</v>
      </c>
      <c r="J2">
        <v>1220</v>
      </c>
      <c r="K2">
        <v>988.75</v>
      </c>
      <c r="L2">
        <v>462.5</v>
      </c>
      <c r="M2">
        <v>3.172256</v>
      </c>
      <c r="N2">
        <v>1.691E-3</v>
      </c>
      <c r="P2">
        <v>31.923071</v>
      </c>
      <c r="Q2">
        <v>9.2926999999999996E-2</v>
      </c>
      <c r="T2">
        <v>5.1176919999999999</v>
      </c>
      <c r="U2">
        <v>2.7700000000000001E-4</v>
      </c>
      <c r="AA2">
        <v>0</v>
      </c>
      <c r="AF2">
        <v>0</v>
      </c>
      <c r="AG2">
        <v>5.0998289999999997</v>
      </c>
      <c r="AH2">
        <v>8.7209999999999996E-3</v>
      </c>
      <c r="AI2">
        <v>3.1208670000000001</v>
      </c>
      <c r="AJ2">
        <v>2.728E-3</v>
      </c>
      <c r="AK2">
        <v>5.3572040000000003</v>
      </c>
      <c r="AL2">
        <v>4.7000000000000002E-3</v>
      </c>
      <c r="AM2">
        <v>85.264659027205738</v>
      </c>
      <c r="AT2">
        <v>0</v>
      </c>
    </row>
    <row r="3" spans="1:46" x14ac:dyDescent="0.3">
      <c r="A3">
        <v>30</v>
      </c>
      <c r="E3">
        <v>41.105316467407079</v>
      </c>
      <c r="F3">
        <v>42.264516467407077</v>
      </c>
      <c r="G3">
        <v>39.946116467407073</v>
      </c>
      <c r="H3">
        <v>1.159200000000002</v>
      </c>
      <c r="J3">
        <v>1330</v>
      </c>
      <c r="K3">
        <v>1071.25</v>
      </c>
      <c r="L3">
        <v>517.5</v>
      </c>
      <c r="M3">
        <v>3.1752560000000001</v>
      </c>
      <c r="N3">
        <v>9.0600000000000001E-4</v>
      </c>
      <c r="P3">
        <v>32.013736999999999</v>
      </c>
      <c r="Q3">
        <v>9.1061000000000003E-2</v>
      </c>
      <c r="R3" t="s">
        <v>44</v>
      </c>
      <c r="T3">
        <v>5.1179629999999996</v>
      </c>
      <c r="U3">
        <v>1.9799999999999999E-4</v>
      </c>
      <c r="AA3">
        <v>0</v>
      </c>
      <c r="AF3">
        <v>0</v>
      </c>
      <c r="AG3">
        <v>5.1123969999999996</v>
      </c>
      <c r="AH3">
        <v>8.2830000000000004E-3</v>
      </c>
      <c r="AI3">
        <v>3.1056590000000002</v>
      </c>
      <c r="AJ3">
        <v>2.5479999999999999E-3</v>
      </c>
      <c r="AK3">
        <v>5.3702740000000002</v>
      </c>
      <c r="AL3">
        <v>4.463E-3</v>
      </c>
      <c r="AM3">
        <v>85.265783019446275</v>
      </c>
      <c r="AT3">
        <v>0</v>
      </c>
    </row>
    <row r="5" spans="1:46" x14ac:dyDescent="0.3">
      <c r="A5">
        <v>42</v>
      </c>
      <c r="E5">
        <v>44.405201933109694</v>
      </c>
      <c r="F5">
        <v>45.474801933109688</v>
      </c>
      <c r="G5">
        <v>43.335601933109693</v>
      </c>
      <c r="H5">
        <v>1.0695999999999977</v>
      </c>
      <c r="J5">
        <v>1250</v>
      </c>
      <c r="K5">
        <v>1011.25</v>
      </c>
      <c r="L5">
        <v>477.5</v>
      </c>
      <c r="M5">
        <v>3.155173</v>
      </c>
      <c r="N5">
        <v>1.09E-3</v>
      </c>
      <c r="P5">
        <v>31.410122999999999</v>
      </c>
      <c r="Q5">
        <v>5.9546000000000002E-2</v>
      </c>
      <c r="T5">
        <v>5.102875</v>
      </c>
      <c r="U5">
        <v>5.5999999999999995E-4</v>
      </c>
      <c r="AA5">
        <v>0</v>
      </c>
      <c r="AF5">
        <v>0</v>
      </c>
      <c r="AG5">
        <v>5.073353</v>
      </c>
      <c r="AH5">
        <v>7.5360000000000002E-3</v>
      </c>
      <c r="AI5">
        <v>3.1169539999999998</v>
      </c>
      <c r="AJ5">
        <v>2.379E-3</v>
      </c>
      <c r="AK5">
        <v>5.3258530000000004</v>
      </c>
      <c r="AL5">
        <v>4.0559999999999997E-3</v>
      </c>
      <c r="AM5">
        <v>84.219886046969179</v>
      </c>
      <c r="AT5">
        <v>0</v>
      </c>
    </row>
    <row r="6" spans="1:46" x14ac:dyDescent="0.3">
      <c r="A6">
        <v>43</v>
      </c>
      <c r="E6">
        <v>44.16727486653015</v>
      </c>
      <c r="F6">
        <v>45.337674866530151</v>
      </c>
      <c r="G6">
        <v>42.996874866530149</v>
      </c>
      <c r="H6">
        <v>1.1704000000000008</v>
      </c>
      <c r="J6">
        <v>1340</v>
      </c>
      <c r="K6">
        <v>1078.75</v>
      </c>
      <c r="L6">
        <v>522.5</v>
      </c>
      <c r="M6">
        <v>3.1573769999999999</v>
      </c>
      <c r="N6">
        <v>1.562E-3</v>
      </c>
      <c r="P6">
        <v>31.475981999999998</v>
      </c>
      <c r="Q6">
        <v>8.5442000000000004E-2</v>
      </c>
      <c r="T6">
        <v>5.1044219999999996</v>
      </c>
      <c r="U6">
        <v>3.7199999999999999E-4</v>
      </c>
      <c r="AA6">
        <v>0</v>
      </c>
      <c r="AF6">
        <v>0</v>
      </c>
      <c r="AG6">
        <v>5.083075</v>
      </c>
      <c r="AH6">
        <v>8.0770000000000008E-3</v>
      </c>
      <c r="AI6">
        <v>3.1126740000000002</v>
      </c>
      <c r="AJ6">
        <v>2.3579999999999999E-3</v>
      </c>
      <c r="AK6">
        <v>5.3361039999999997</v>
      </c>
      <c r="AL6">
        <v>5.0860000000000002E-3</v>
      </c>
      <c r="AM6">
        <v>84.42759945800762</v>
      </c>
      <c r="AT6">
        <v>0</v>
      </c>
    </row>
    <row r="7" spans="1:46" x14ac:dyDescent="0.3">
      <c r="A7">
        <v>44</v>
      </c>
      <c r="E7">
        <v>44.02144964312636</v>
      </c>
      <c r="F7">
        <v>45.270249643126355</v>
      </c>
      <c r="G7">
        <v>42.772649643126357</v>
      </c>
      <c r="H7">
        <v>1.2487999999999992</v>
      </c>
      <c r="J7">
        <v>1410</v>
      </c>
      <c r="K7">
        <v>1131.25</v>
      </c>
      <c r="L7">
        <v>557.5</v>
      </c>
      <c r="M7">
        <v>3.1588790000000002</v>
      </c>
      <c r="N7">
        <v>1.286E-3</v>
      </c>
      <c r="P7">
        <v>31.520918000000002</v>
      </c>
      <c r="Q7">
        <v>7.0384000000000002E-2</v>
      </c>
      <c r="R7" t="s">
        <v>44</v>
      </c>
      <c r="T7">
        <v>5.1044460000000003</v>
      </c>
      <c r="U7">
        <v>3.0699999999999998E-4</v>
      </c>
      <c r="AA7">
        <v>0</v>
      </c>
      <c r="AF7">
        <v>0</v>
      </c>
      <c r="AG7">
        <v>5.0882259999999997</v>
      </c>
      <c r="AH7">
        <v>1.0659E-2</v>
      </c>
      <c r="AI7">
        <v>3.108174</v>
      </c>
      <c r="AJ7">
        <v>3.0950000000000001E-3</v>
      </c>
      <c r="AK7">
        <v>5.3437020000000004</v>
      </c>
      <c r="AL7">
        <v>6.718E-3</v>
      </c>
      <c r="AM7">
        <v>84.51113746448317</v>
      </c>
      <c r="AT7">
        <v>0</v>
      </c>
    </row>
    <row r="9" spans="1:46" x14ac:dyDescent="0.3">
      <c r="A9">
        <v>62</v>
      </c>
      <c r="E9">
        <v>54.418199165986451</v>
      </c>
      <c r="F9">
        <v>55.454199165986452</v>
      </c>
      <c r="G9">
        <v>53.382199165986449</v>
      </c>
      <c r="H9">
        <v>1.0360000000000014</v>
      </c>
      <c r="J9">
        <v>1220</v>
      </c>
      <c r="K9">
        <v>988.75</v>
      </c>
      <c r="L9">
        <v>462.5</v>
      </c>
      <c r="M9">
        <v>3.103491</v>
      </c>
      <c r="N9">
        <v>1.4760000000000001E-3</v>
      </c>
      <c r="P9">
        <v>29.891753000000001</v>
      </c>
      <c r="Q9">
        <v>7.9341999999999996E-2</v>
      </c>
      <c r="T9">
        <v>5.0586919999999997</v>
      </c>
      <c r="U9">
        <v>2.5360000000000001E-3</v>
      </c>
      <c r="AA9">
        <v>0</v>
      </c>
      <c r="AF9">
        <v>0</v>
      </c>
      <c r="AG9">
        <v>4.9960690000000003</v>
      </c>
      <c r="AH9">
        <v>4.0200000000000001E-3</v>
      </c>
      <c r="AI9">
        <v>3.0920839999999998</v>
      </c>
      <c r="AJ9">
        <v>9.9400000000000009E-4</v>
      </c>
      <c r="AK9">
        <v>5.2522130000000002</v>
      </c>
      <c r="AL9">
        <v>1.4599999999999999E-3</v>
      </c>
      <c r="AM9">
        <v>81.137578353913383</v>
      </c>
      <c r="AT9">
        <v>0</v>
      </c>
    </row>
    <row r="10" spans="1:46" x14ac:dyDescent="0.3">
      <c r="A10">
        <v>63</v>
      </c>
      <c r="E10">
        <v>54.196525503418414</v>
      </c>
      <c r="F10">
        <v>55.277325503418417</v>
      </c>
      <c r="G10">
        <v>53.115725503418417</v>
      </c>
      <c r="H10">
        <v>1.0808</v>
      </c>
      <c r="J10">
        <v>1260</v>
      </c>
      <c r="K10">
        <v>1018.75</v>
      </c>
      <c r="L10">
        <v>482.5</v>
      </c>
      <c r="M10">
        <v>3.1048490000000002</v>
      </c>
      <c r="N10">
        <v>1.1100000000000001E-3</v>
      </c>
      <c r="P10">
        <v>29.931013</v>
      </c>
      <c r="Q10">
        <v>5.9681999999999999E-2</v>
      </c>
      <c r="T10">
        <v>5.058567</v>
      </c>
      <c r="U10">
        <v>2.0240000000000002E-3</v>
      </c>
      <c r="AA10">
        <v>0</v>
      </c>
      <c r="AF10">
        <v>0</v>
      </c>
      <c r="AG10">
        <v>5.0051079999999999</v>
      </c>
      <c r="AH10">
        <v>3.5460000000000001E-3</v>
      </c>
      <c r="AI10">
        <v>3.086398</v>
      </c>
      <c r="AJ10">
        <v>8.6899999999999998E-4</v>
      </c>
      <c r="AK10">
        <v>5.2582279999999999</v>
      </c>
      <c r="AL10">
        <v>1.2849999999999999E-3</v>
      </c>
      <c r="AM10">
        <v>81.227819565947044</v>
      </c>
      <c r="AT10">
        <v>0</v>
      </c>
    </row>
    <row r="11" spans="1:46" x14ac:dyDescent="0.3">
      <c r="A11">
        <v>64</v>
      </c>
      <c r="E11">
        <v>54.652859651913012</v>
      </c>
      <c r="F11">
        <v>55.823259651913013</v>
      </c>
      <c r="G11">
        <v>53.482459651913011</v>
      </c>
      <c r="H11">
        <v>1.1704000000000008</v>
      </c>
      <c r="J11">
        <v>1340</v>
      </c>
      <c r="K11">
        <v>1078.75</v>
      </c>
      <c r="L11">
        <v>522.5</v>
      </c>
      <c r="M11">
        <v>3.1033360000000001</v>
      </c>
      <c r="N11">
        <v>1.013E-3</v>
      </c>
      <c r="P11">
        <v>29.887274999999999</v>
      </c>
      <c r="Q11">
        <v>5.4433000000000002E-2</v>
      </c>
      <c r="T11">
        <v>5.0572819999999998</v>
      </c>
      <c r="U11">
        <v>1.1280000000000001E-3</v>
      </c>
      <c r="AA11">
        <v>0</v>
      </c>
      <c r="AF11">
        <v>0</v>
      </c>
      <c r="AG11">
        <v>5.0205080000000004</v>
      </c>
      <c r="AH11">
        <v>7.6309999999999998E-3</v>
      </c>
      <c r="AI11">
        <v>3.078068</v>
      </c>
      <c r="AJ11">
        <v>1.9859999999999999E-3</v>
      </c>
      <c r="AK11">
        <v>5.270753</v>
      </c>
      <c r="AL11">
        <v>3.003E-3</v>
      </c>
      <c r="AM11">
        <v>81.45139710688585</v>
      </c>
      <c r="AT11">
        <v>0</v>
      </c>
    </row>
    <row r="12" spans="1:46" x14ac:dyDescent="0.3">
      <c r="A12">
        <v>65</v>
      </c>
      <c r="E12">
        <v>54.54287091877876</v>
      </c>
      <c r="F12">
        <v>55.713270918778761</v>
      </c>
      <c r="G12">
        <v>53.37247091877876</v>
      </c>
      <c r="H12">
        <v>1.1704000000000008</v>
      </c>
      <c r="J12">
        <v>1340</v>
      </c>
      <c r="K12">
        <v>1078.75</v>
      </c>
      <c r="L12">
        <v>522.5</v>
      </c>
      <c r="M12">
        <v>3.1038519999999998</v>
      </c>
      <c r="N12">
        <v>8.92E-4</v>
      </c>
      <c r="P12">
        <v>29.902203</v>
      </c>
      <c r="Q12">
        <v>4.7967999999999997E-2</v>
      </c>
      <c r="T12">
        <v>5.0562370000000003</v>
      </c>
      <c r="U12">
        <v>9.3199999999999999E-4</v>
      </c>
      <c r="AA12">
        <v>0</v>
      </c>
      <c r="AF12">
        <v>0</v>
      </c>
      <c r="AG12">
        <v>5.0203449999999998</v>
      </c>
      <c r="AH12">
        <v>6.7599999999999995E-4</v>
      </c>
      <c r="AI12">
        <v>3.0774720000000002</v>
      </c>
      <c r="AJ12">
        <v>2.32E-4</v>
      </c>
      <c r="AK12">
        <v>5.2664210000000002</v>
      </c>
      <c r="AL12">
        <v>3.3799999999999998E-4</v>
      </c>
      <c r="AM12">
        <v>81.366052607707104</v>
      </c>
      <c r="AT12">
        <v>0</v>
      </c>
    </row>
    <row r="13" spans="1:46" x14ac:dyDescent="0.3">
      <c r="A13">
        <v>66</v>
      </c>
      <c r="E13">
        <v>54.364891038658158</v>
      </c>
      <c r="F13">
        <v>55.636091038658158</v>
      </c>
      <c r="G13">
        <v>53.093691038658157</v>
      </c>
      <c r="H13">
        <v>1.2712000000000003</v>
      </c>
      <c r="J13">
        <v>1430</v>
      </c>
      <c r="K13">
        <v>1146.25</v>
      </c>
      <c r="L13">
        <v>567.5</v>
      </c>
      <c r="M13">
        <v>3.1054020000000002</v>
      </c>
      <c r="N13">
        <v>5.9199999999999997E-4</v>
      </c>
      <c r="P13">
        <v>29.947009000000001</v>
      </c>
      <c r="Q13">
        <v>3.184E-2</v>
      </c>
      <c r="T13">
        <v>5.0560479999999997</v>
      </c>
      <c r="U13">
        <v>1.1230000000000001E-3</v>
      </c>
      <c r="AA13">
        <v>0</v>
      </c>
      <c r="AF13">
        <v>0</v>
      </c>
      <c r="AG13">
        <v>5.0284170000000001</v>
      </c>
      <c r="AH13">
        <v>1.0129000000000001E-2</v>
      </c>
      <c r="AI13">
        <v>3.0727950000000002</v>
      </c>
      <c r="AJ13">
        <v>3.4420000000000002E-3</v>
      </c>
      <c r="AK13">
        <v>5.28207</v>
      </c>
      <c r="AL13">
        <v>5.0679999999999996E-3</v>
      </c>
      <c r="AM13">
        <v>81.614819749773318</v>
      </c>
      <c r="AT13">
        <v>0</v>
      </c>
    </row>
    <row r="14" spans="1:46" x14ac:dyDescent="0.3">
      <c r="A14">
        <v>67</v>
      </c>
      <c r="E14">
        <v>54.104044169647736</v>
      </c>
      <c r="F14">
        <v>55.431244169647741</v>
      </c>
      <c r="G14">
        <v>52.776844169647738</v>
      </c>
      <c r="H14">
        <v>1.3272000000000013</v>
      </c>
      <c r="J14">
        <v>1480</v>
      </c>
      <c r="K14">
        <v>1183.75</v>
      </c>
      <c r="L14">
        <v>592.5</v>
      </c>
      <c r="M14">
        <v>3.1070350000000002</v>
      </c>
      <c r="N14">
        <v>3.3799999999999998E-4</v>
      </c>
      <c r="P14">
        <v>29.994268000000002</v>
      </c>
      <c r="Q14">
        <v>1.8173000000000002E-2</v>
      </c>
      <c r="R14" t="s">
        <v>44</v>
      </c>
      <c r="T14">
        <v>5.0574260000000004</v>
      </c>
      <c r="U14">
        <v>6.3000000000000003E-4</v>
      </c>
      <c r="AA14">
        <v>0</v>
      </c>
      <c r="AF14">
        <v>0</v>
      </c>
      <c r="AG14">
        <v>5.0455259999999997</v>
      </c>
      <c r="AH14">
        <v>6.202E-3</v>
      </c>
      <c r="AI14">
        <v>3.0637219999999998</v>
      </c>
      <c r="AJ14">
        <v>3.7820000000000002E-3</v>
      </c>
      <c r="AK14">
        <v>5.2962429999999996</v>
      </c>
      <c r="AL14">
        <v>3.669E-3</v>
      </c>
      <c r="AM14">
        <v>81.869795700789396</v>
      </c>
      <c r="AT14">
        <v>0</v>
      </c>
    </row>
    <row r="16" spans="1:46" x14ac:dyDescent="0.3">
      <c r="A16">
        <v>80</v>
      </c>
      <c r="E16">
        <v>57.952356247262045</v>
      </c>
      <c r="F16">
        <v>59.077956247262044</v>
      </c>
      <c r="G16">
        <v>56.826756247262047</v>
      </c>
      <c r="H16">
        <v>1.1255999999999986</v>
      </c>
      <c r="J16">
        <v>1300</v>
      </c>
      <c r="K16">
        <v>1048.75</v>
      </c>
      <c r="L16">
        <v>502.5</v>
      </c>
      <c r="M16">
        <v>3.0879829999999999</v>
      </c>
      <c r="N16">
        <v>1.11E-4</v>
      </c>
      <c r="P16">
        <v>29.445882000000001</v>
      </c>
      <c r="Q16">
        <v>5.9129999999999999E-3</v>
      </c>
      <c r="T16">
        <v>5.0391279999999998</v>
      </c>
      <c r="U16">
        <v>1.0560000000000001E-3</v>
      </c>
      <c r="AA16">
        <v>0</v>
      </c>
      <c r="AF16">
        <v>0</v>
      </c>
      <c r="AG16">
        <v>4.9934430000000001</v>
      </c>
      <c r="AH16">
        <v>4.4720000000000003E-3</v>
      </c>
      <c r="AI16">
        <v>3.0798649999999999</v>
      </c>
      <c r="AJ16">
        <v>1.157E-3</v>
      </c>
      <c r="AK16">
        <v>5.2274039999999999</v>
      </c>
      <c r="AL16">
        <v>1.2080000000000001E-3</v>
      </c>
      <c r="AM16">
        <v>80.392927378445648</v>
      </c>
      <c r="AT16">
        <v>0</v>
      </c>
    </row>
    <row r="17" spans="1:46" x14ac:dyDescent="0.3">
      <c r="A17">
        <v>81</v>
      </c>
      <c r="E17">
        <v>58.021220650004075</v>
      </c>
      <c r="F17">
        <v>59.270020650004071</v>
      </c>
      <c r="G17">
        <v>56.772420650004072</v>
      </c>
      <c r="H17">
        <v>1.2487999999999992</v>
      </c>
      <c r="J17">
        <v>1410</v>
      </c>
      <c r="K17">
        <v>1131.25</v>
      </c>
      <c r="L17">
        <v>557.5</v>
      </c>
      <c r="M17">
        <v>3.088498</v>
      </c>
      <c r="N17">
        <v>8.5000000000000006E-5</v>
      </c>
      <c r="P17">
        <v>29.460633999999999</v>
      </c>
      <c r="Q17">
        <v>4.5589999999999997E-3</v>
      </c>
      <c r="T17">
        <v>5.0395640000000004</v>
      </c>
      <c r="U17">
        <v>8.9300000000000002E-4</v>
      </c>
      <c r="AA17">
        <v>0</v>
      </c>
      <c r="AF17">
        <v>0</v>
      </c>
      <c r="AG17">
        <v>4.9836020000000003</v>
      </c>
      <c r="AH17">
        <v>5.2040000000000003E-3</v>
      </c>
      <c r="AI17">
        <v>3.0742750000000001</v>
      </c>
      <c r="AJ17">
        <v>1.348E-3</v>
      </c>
      <c r="AK17">
        <v>5.2449700000000004</v>
      </c>
      <c r="AL17">
        <v>1.426E-3</v>
      </c>
      <c r="AM17">
        <v>80.357991508303613</v>
      </c>
      <c r="AT17">
        <v>0</v>
      </c>
    </row>
    <row r="18" spans="1:46" x14ac:dyDescent="0.3">
      <c r="A18">
        <v>82</v>
      </c>
      <c r="E18">
        <v>57.903123201293731</v>
      </c>
      <c r="F18">
        <v>59.207923201293731</v>
      </c>
      <c r="G18">
        <v>56.598323201293731</v>
      </c>
      <c r="H18">
        <v>1.3048000000000002</v>
      </c>
      <c r="J18">
        <v>1460</v>
      </c>
      <c r="K18">
        <v>1168.75</v>
      </c>
      <c r="L18">
        <v>582.5</v>
      </c>
      <c r="M18">
        <v>3.0893980000000001</v>
      </c>
      <c r="N18">
        <v>2.0799999999999999E-4</v>
      </c>
      <c r="P18">
        <v>29.486376</v>
      </c>
      <c r="Q18">
        <v>1.1141E-2</v>
      </c>
      <c r="T18">
        <v>5.0388149999999996</v>
      </c>
      <c r="U18">
        <v>9.3999999999999997E-4</v>
      </c>
      <c r="AA18">
        <v>0</v>
      </c>
      <c r="AF18">
        <v>0</v>
      </c>
      <c r="AG18">
        <v>5.0078469999999999</v>
      </c>
      <c r="AH18">
        <v>4.7559999999999998E-3</v>
      </c>
      <c r="AI18">
        <v>3.0692460000000001</v>
      </c>
      <c r="AJ18">
        <v>1.2110000000000001E-3</v>
      </c>
      <c r="AK18">
        <v>5.2448730000000001</v>
      </c>
      <c r="AL18">
        <v>1.286E-3</v>
      </c>
      <c r="AM18">
        <v>80.615346858358279</v>
      </c>
      <c r="AT18">
        <v>0</v>
      </c>
    </row>
    <row r="19" spans="1:46" x14ac:dyDescent="0.3">
      <c r="A19">
        <v>83</v>
      </c>
      <c r="E19">
        <v>58.302356121467646</v>
      </c>
      <c r="F19">
        <v>59.674356121467646</v>
      </c>
      <c r="G19">
        <v>56.930356121467646</v>
      </c>
      <c r="H19">
        <v>1.3719999999999999</v>
      </c>
      <c r="J19">
        <v>1520</v>
      </c>
      <c r="K19">
        <v>1213.75</v>
      </c>
      <c r="L19">
        <v>612.5</v>
      </c>
      <c r="M19">
        <v>3.0880700000000001</v>
      </c>
      <c r="N19">
        <v>5.3300000000000005E-4</v>
      </c>
      <c r="P19">
        <v>29.448388000000001</v>
      </c>
      <c r="Q19">
        <v>2.8525999999999999E-2</v>
      </c>
      <c r="T19">
        <v>5.0390689999999996</v>
      </c>
      <c r="U19">
        <v>7.36E-4</v>
      </c>
      <c r="AA19">
        <v>0</v>
      </c>
      <c r="AF19">
        <v>0</v>
      </c>
      <c r="AG19">
        <v>5.0310079999999999</v>
      </c>
      <c r="AH19">
        <v>1.1507E-2</v>
      </c>
      <c r="AI19">
        <v>3.0646100000000001</v>
      </c>
      <c r="AJ19">
        <v>2.8830000000000001E-3</v>
      </c>
      <c r="AK19">
        <v>5.2461849999999997</v>
      </c>
      <c r="AL19">
        <v>3.075E-3</v>
      </c>
      <c r="AM19">
        <v>80.886086525736445</v>
      </c>
      <c r="AT19">
        <v>0</v>
      </c>
    </row>
    <row r="20" spans="1:46" x14ac:dyDescent="0.3">
      <c r="A20">
        <v>84</v>
      </c>
      <c r="E20">
        <v>58.108064959504269</v>
      </c>
      <c r="F20">
        <v>59.603264959504266</v>
      </c>
      <c r="G20">
        <v>56.612864959504272</v>
      </c>
      <c r="H20">
        <v>1.495199999999997</v>
      </c>
      <c r="J20">
        <v>1630</v>
      </c>
      <c r="K20">
        <v>1296.25</v>
      </c>
      <c r="L20">
        <v>667.5</v>
      </c>
      <c r="M20">
        <v>3.0897579999999998</v>
      </c>
      <c r="N20">
        <v>1.3100000000000001E-4</v>
      </c>
      <c r="P20">
        <v>29.496697000000001</v>
      </c>
      <c r="Q20">
        <v>6.986E-3</v>
      </c>
      <c r="T20">
        <v>5.0395839999999996</v>
      </c>
      <c r="U20">
        <v>6.1200000000000002E-4</v>
      </c>
      <c r="AA20">
        <v>0</v>
      </c>
      <c r="AF20">
        <v>0</v>
      </c>
      <c r="AG20">
        <v>5.004111</v>
      </c>
      <c r="AH20">
        <v>6.0530000000000002E-3</v>
      </c>
      <c r="AI20">
        <v>3.0622220000000002</v>
      </c>
      <c r="AJ20">
        <v>1.475E-3</v>
      </c>
      <c r="AK20">
        <v>5.258616</v>
      </c>
      <c r="AL20">
        <v>3.1220000000000002E-3</v>
      </c>
      <c r="AM20">
        <v>80.581447660685143</v>
      </c>
      <c r="AT20">
        <v>0</v>
      </c>
    </row>
    <row r="21" spans="1:46" x14ac:dyDescent="0.3">
      <c r="A21">
        <v>85</v>
      </c>
      <c r="E21">
        <v>58.145557051134688</v>
      </c>
      <c r="F21">
        <v>59.719157051134694</v>
      </c>
      <c r="G21">
        <v>56.571957051134689</v>
      </c>
      <c r="H21">
        <v>1.5736000000000026</v>
      </c>
      <c r="J21">
        <v>1700</v>
      </c>
      <c r="K21">
        <v>1348.75</v>
      </c>
      <c r="L21">
        <v>702.5</v>
      </c>
      <c r="M21">
        <v>3.0901160000000001</v>
      </c>
      <c r="N21">
        <v>6.9999999999999994E-5</v>
      </c>
      <c r="P21">
        <v>29.506948000000001</v>
      </c>
      <c r="Q21">
        <v>3.7429999999999998E-3</v>
      </c>
      <c r="T21">
        <v>5.0393059999999998</v>
      </c>
      <c r="U21">
        <v>3.4600000000000001E-4</v>
      </c>
      <c r="AA21">
        <v>0</v>
      </c>
      <c r="AF21">
        <v>0</v>
      </c>
      <c r="AG21">
        <v>5.0306150000000001</v>
      </c>
      <c r="AH21">
        <v>6.7600000000000004E-3</v>
      </c>
      <c r="AI21">
        <v>3.045442</v>
      </c>
      <c r="AJ21">
        <v>2.013E-3</v>
      </c>
      <c r="AK21">
        <v>5.2703110000000004</v>
      </c>
      <c r="AL21">
        <v>3.1710000000000002E-3</v>
      </c>
      <c r="AM21">
        <v>80.74351616876443</v>
      </c>
      <c r="AT21">
        <v>0</v>
      </c>
    </row>
    <row r="22" spans="1:46" x14ac:dyDescent="0.3">
      <c r="A22">
        <v>86</v>
      </c>
      <c r="E22">
        <v>58.413162808248067</v>
      </c>
      <c r="F22">
        <v>60.065162808248068</v>
      </c>
      <c r="G22">
        <v>56.761162808248066</v>
      </c>
      <c r="H22">
        <v>1.652000000000001</v>
      </c>
      <c r="J22">
        <v>1770</v>
      </c>
      <c r="K22">
        <v>1401.25</v>
      </c>
      <c r="L22">
        <v>737.5</v>
      </c>
      <c r="M22">
        <v>3.0894460000000001</v>
      </c>
      <c r="N22">
        <v>9.6000000000000002E-5</v>
      </c>
      <c r="P22">
        <v>29.487763000000001</v>
      </c>
      <c r="Q22">
        <v>5.13E-3</v>
      </c>
      <c r="T22">
        <v>5.0395789999999998</v>
      </c>
      <c r="U22">
        <v>1.73E-4</v>
      </c>
      <c r="AA22">
        <v>0</v>
      </c>
      <c r="AF22">
        <v>0</v>
      </c>
      <c r="AG22">
        <v>5.0326690000000003</v>
      </c>
      <c r="AH22">
        <v>6.293E-3</v>
      </c>
      <c r="AI22">
        <v>3.0570119999999998</v>
      </c>
      <c r="AJ22">
        <v>1.9689999999999998E-3</v>
      </c>
      <c r="AK22">
        <v>5.275989</v>
      </c>
      <c r="AL22">
        <v>3.094E-3</v>
      </c>
      <c r="AM22">
        <v>81.170718939822947</v>
      </c>
      <c r="AT22">
        <v>0</v>
      </c>
    </row>
    <row r="23" spans="1:46" x14ac:dyDescent="0.3">
      <c r="A23">
        <v>87</v>
      </c>
      <c r="E23">
        <v>58.477441052468443</v>
      </c>
      <c r="F23">
        <v>60.219041052468441</v>
      </c>
      <c r="G23">
        <v>56.735841052468444</v>
      </c>
      <c r="H23">
        <v>1.7415999999999983</v>
      </c>
      <c r="J23">
        <v>1850</v>
      </c>
      <c r="K23">
        <v>1461.25</v>
      </c>
      <c r="L23">
        <v>777.5</v>
      </c>
      <c r="M23">
        <v>3.0897589999999999</v>
      </c>
      <c r="N23">
        <v>1.3200000000000001E-4</v>
      </c>
      <c r="P23">
        <v>29.496714000000001</v>
      </c>
      <c r="Q23">
        <v>7.0740000000000004E-3</v>
      </c>
      <c r="R23" t="s">
        <v>44</v>
      </c>
      <c r="T23">
        <v>5.0403900000000004</v>
      </c>
      <c r="U23">
        <v>4.2499999999999998E-4</v>
      </c>
      <c r="AF23">
        <v>0</v>
      </c>
      <c r="AG23">
        <v>5.0404039999999997</v>
      </c>
      <c r="AH23">
        <v>3.2429999999999998E-3</v>
      </c>
      <c r="AI23">
        <v>3.0507590000000002</v>
      </c>
      <c r="AJ23">
        <v>9.5500000000000001E-4</v>
      </c>
      <c r="AK23">
        <v>5.280068</v>
      </c>
      <c r="AL23">
        <v>1.7589999999999999E-3</v>
      </c>
      <c r="AM23">
        <v>81.191923000000003</v>
      </c>
    </row>
    <row r="25" spans="1:46" x14ac:dyDescent="0.3">
      <c r="A25">
        <v>96</v>
      </c>
      <c r="E25">
        <v>63.554559125904262</v>
      </c>
      <c r="F25">
        <v>64.680159125904268</v>
      </c>
      <c r="G25">
        <v>62.428959125904264</v>
      </c>
      <c r="H25">
        <v>1.1256000000000022</v>
      </c>
      <c r="J25">
        <v>1300</v>
      </c>
      <c r="K25">
        <v>1048.75</v>
      </c>
      <c r="L25">
        <v>502.5</v>
      </c>
      <c r="M25">
        <v>3.0641560000000001</v>
      </c>
      <c r="N25">
        <v>1.66E-4</v>
      </c>
      <c r="P25">
        <v>28.769518999999999</v>
      </c>
      <c r="Q25">
        <v>8.8260000000000005E-3</v>
      </c>
      <c r="T25">
        <v>5.0306300000000004</v>
      </c>
      <c r="U25">
        <v>2.6199999999999999E-3</v>
      </c>
      <c r="AA25">
        <v>0</v>
      </c>
      <c r="AF25">
        <v>0</v>
      </c>
      <c r="AG25">
        <v>4.921087</v>
      </c>
      <c r="AH25">
        <v>4.0130000000000001E-3</v>
      </c>
      <c r="AI25">
        <v>3.0968520000000002</v>
      </c>
      <c r="AJ25">
        <v>2.323E-3</v>
      </c>
      <c r="AK25">
        <v>5.2033139999999998</v>
      </c>
      <c r="AL25">
        <v>1.916E-3</v>
      </c>
      <c r="AM25">
        <v>79.297871170328264</v>
      </c>
      <c r="AT25">
        <v>0</v>
      </c>
    </row>
    <row r="26" spans="1:46" x14ac:dyDescent="0.3">
      <c r="A26">
        <v>97</v>
      </c>
      <c r="E26">
        <v>63.473826094241318</v>
      </c>
      <c r="F26">
        <v>64.644226094241318</v>
      </c>
      <c r="G26">
        <v>62.303426094241317</v>
      </c>
      <c r="H26">
        <v>1.1704000000000008</v>
      </c>
      <c r="J26">
        <v>1340</v>
      </c>
      <c r="K26">
        <v>1078.75</v>
      </c>
      <c r="L26">
        <v>522.5</v>
      </c>
      <c r="M26">
        <v>3.0647600000000002</v>
      </c>
      <c r="N26">
        <v>1.15E-4</v>
      </c>
      <c r="P26">
        <v>28.786548</v>
      </c>
      <c r="Q26">
        <v>6.123E-3</v>
      </c>
      <c r="T26">
        <v>5.024248</v>
      </c>
      <c r="U26">
        <v>1.4920000000000001E-3</v>
      </c>
      <c r="AA26">
        <v>0</v>
      </c>
      <c r="AF26">
        <v>0</v>
      </c>
      <c r="AG26">
        <v>4.9408139999999996</v>
      </c>
      <c r="AH26">
        <v>4.1609999999999998E-3</v>
      </c>
      <c r="AI26">
        <v>3.0818449999999999</v>
      </c>
      <c r="AJ26">
        <v>1.333E-3</v>
      </c>
      <c r="AK26">
        <v>5.2107890000000001</v>
      </c>
      <c r="AL26">
        <v>1.9910000000000001E-3</v>
      </c>
      <c r="AM26">
        <v>79.343761386019622</v>
      </c>
      <c r="AT26">
        <v>0</v>
      </c>
    </row>
    <row r="27" spans="1:46" x14ac:dyDescent="0.3">
      <c r="A27">
        <v>98</v>
      </c>
      <c r="E27">
        <v>63.35229680129563</v>
      </c>
      <c r="F27">
        <v>64.612296801295628</v>
      </c>
      <c r="G27">
        <v>62.092296801295632</v>
      </c>
      <c r="H27">
        <v>1.259999999999998</v>
      </c>
      <c r="J27">
        <v>1420</v>
      </c>
      <c r="K27">
        <v>1138.75</v>
      </c>
      <c r="L27">
        <v>562.5</v>
      </c>
      <c r="M27">
        <v>3.0658080000000001</v>
      </c>
      <c r="N27">
        <v>1.2E-4</v>
      </c>
      <c r="P27">
        <v>28.816082999999999</v>
      </c>
      <c r="Q27">
        <v>6.3930000000000002E-3</v>
      </c>
      <c r="T27">
        <v>5.0183309999999999</v>
      </c>
      <c r="U27">
        <v>6.8199999999999999E-4</v>
      </c>
      <c r="AA27">
        <v>0</v>
      </c>
      <c r="AF27">
        <v>0</v>
      </c>
      <c r="AG27">
        <v>4.9582819999999996</v>
      </c>
      <c r="AH27">
        <v>3.3509999999999998E-3</v>
      </c>
      <c r="AI27">
        <v>3.0719959999999999</v>
      </c>
      <c r="AJ27">
        <v>1.0549999999999999E-3</v>
      </c>
      <c r="AK27">
        <v>5.2123910000000002</v>
      </c>
      <c r="AL27">
        <v>1.5889999999999999E-3</v>
      </c>
      <c r="AM27">
        <v>79.394214360770974</v>
      </c>
      <c r="AT27">
        <v>0</v>
      </c>
    </row>
    <row r="28" spans="1:46" x14ac:dyDescent="0.3">
      <c r="A28">
        <v>99</v>
      </c>
      <c r="E28">
        <v>63.683341509462913</v>
      </c>
      <c r="F28">
        <v>65.010541509462911</v>
      </c>
      <c r="G28">
        <v>62.356141509462915</v>
      </c>
      <c r="H28">
        <v>1.3271999999999977</v>
      </c>
      <c r="J28">
        <v>1480</v>
      </c>
      <c r="K28">
        <v>1183.75</v>
      </c>
      <c r="L28">
        <v>592.5</v>
      </c>
      <c r="M28">
        <v>3.0648650000000002</v>
      </c>
      <c r="N28">
        <v>6.0499999999999996E-4</v>
      </c>
      <c r="P28">
        <v>28.789486</v>
      </c>
      <c r="Q28">
        <v>3.2101999999999999E-2</v>
      </c>
      <c r="T28">
        <v>5.0186809999999999</v>
      </c>
      <c r="U28">
        <v>8.7900000000000001E-4</v>
      </c>
      <c r="AA28">
        <v>0</v>
      </c>
      <c r="AF28">
        <v>0</v>
      </c>
      <c r="AG28">
        <v>4.9668840000000003</v>
      </c>
      <c r="AH28">
        <v>2.6129999999999999E-3</v>
      </c>
      <c r="AI28">
        <v>3.0668489999999999</v>
      </c>
      <c r="AJ28">
        <v>8.1599999999999999E-4</v>
      </c>
      <c r="AK28">
        <v>5.2145820000000001</v>
      </c>
      <c r="AL28">
        <v>1.235E-3</v>
      </c>
      <c r="AM28">
        <v>79.432075775121419</v>
      </c>
      <c r="AT28">
        <v>0</v>
      </c>
    </row>
    <row r="29" spans="1:46" x14ac:dyDescent="0.3">
      <c r="A29">
        <v>100</v>
      </c>
      <c r="E29">
        <v>63.310858314855714</v>
      </c>
      <c r="F29">
        <v>64.716458314855714</v>
      </c>
      <c r="G29">
        <v>61.905258314855715</v>
      </c>
      <c r="H29">
        <v>1.4055999999999997</v>
      </c>
      <c r="J29">
        <v>1550</v>
      </c>
      <c r="K29">
        <v>1236.25</v>
      </c>
      <c r="L29">
        <v>627.5</v>
      </c>
      <c r="M29">
        <v>3.0668760000000002</v>
      </c>
      <c r="N29">
        <v>3.3399999999999999E-4</v>
      </c>
      <c r="P29">
        <v>28.846209000000002</v>
      </c>
      <c r="Q29">
        <v>1.7724E-2</v>
      </c>
      <c r="T29">
        <v>5.0203290000000003</v>
      </c>
      <c r="U29">
        <v>9.6400000000000001E-4</v>
      </c>
      <c r="AA29">
        <v>0</v>
      </c>
      <c r="AF29">
        <v>0</v>
      </c>
      <c r="AG29">
        <v>4.9736159999999998</v>
      </c>
      <c r="AH29">
        <v>2.6090000000000002E-3</v>
      </c>
      <c r="AI29">
        <v>3.0633819999999998</v>
      </c>
      <c r="AJ29">
        <v>8.0999999999999996E-4</v>
      </c>
      <c r="AK29">
        <v>5.2173990000000003</v>
      </c>
      <c r="AL29">
        <v>1.23E-3</v>
      </c>
      <c r="AM29">
        <v>79.492738448026699</v>
      </c>
      <c r="AT29">
        <v>0</v>
      </c>
    </row>
    <row r="30" spans="1:46" x14ac:dyDescent="0.3">
      <c r="A30">
        <v>101</v>
      </c>
      <c r="E30">
        <v>63.503563436738332</v>
      </c>
      <c r="F30">
        <v>64.998763436738329</v>
      </c>
      <c r="G30">
        <v>62.008363436738335</v>
      </c>
      <c r="H30">
        <v>1.495199999999997</v>
      </c>
      <c r="J30">
        <v>1630</v>
      </c>
      <c r="K30">
        <v>1296.25</v>
      </c>
      <c r="L30">
        <v>667.5</v>
      </c>
      <c r="M30">
        <v>3.0666359999999999</v>
      </c>
      <c r="N30">
        <v>3.8299999999999999E-4</v>
      </c>
      <c r="P30">
        <v>28.839438000000001</v>
      </c>
      <c r="Q30">
        <v>2.0334999999999999E-2</v>
      </c>
      <c r="T30">
        <v>5.0190989999999998</v>
      </c>
      <c r="U30">
        <v>1.84E-4</v>
      </c>
      <c r="AA30">
        <v>0</v>
      </c>
      <c r="AF30">
        <v>0</v>
      </c>
      <c r="AG30">
        <v>4.9788309999999996</v>
      </c>
      <c r="AH30">
        <v>4.9950000000000003E-3</v>
      </c>
      <c r="AI30">
        <v>3.0581680000000002</v>
      </c>
      <c r="AJ30">
        <v>1.212E-3</v>
      </c>
      <c r="AK30">
        <v>5.2220500000000003</v>
      </c>
      <c r="AL30">
        <v>1.8010000000000001E-3</v>
      </c>
      <c r="AM30">
        <v>79.511464077559069</v>
      </c>
      <c r="AT30">
        <v>0</v>
      </c>
    </row>
    <row r="31" spans="1:46" x14ac:dyDescent="0.3">
      <c r="A31">
        <v>102</v>
      </c>
      <c r="E31">
        <v>63.567151008611006</v>
      </c>
      <c r="F31">
        <v>65.118351008611</v>
      </c>
      <c r="G31">
        <v>62.015951008611005</v>
      </c>
      <c r="H31">
        <v>1.5511999999999979</v>
      </c>
      <c r="J31">
        <v>1680</v>
      </c>
      <c r="K31">
        <v>1333.75</v>
      </c>
      <c r="L31">
        <v>692.5</v>
      </c>
      <c r="M31">
        <v>3.0667200000000001</v>
      </c>
      <c r="N31">
        <v>4.6999999999999999E-4</v>
      </c>
      <c r="P31">
        <v>28.841812000000001</v>
      </c>
      <c r="Q31">
        <v>2.4979999999999999E-2</v>
      </c>
      <c r="T31">
        <v>5.0192379999999996</v>
      </c>
      <c r="U31">
        <v>4.0700000000000003E-4</v>
      </c>
      <c r="AA31">
        <v>0</v>
      </c>
      <c r="AF31">
        <v>0</v>
      </c>
      <c r="AG31">
        <v>4.9904310000000001</v>
      </c>
      <c r="AH31">
        <v>2.882E-3</v>
      </c>
      <c r="AI31">
        <v>3.0526909999999998</v>
      </c>
      <c r="AJ31">
        <v>7.3899999999999997E-4</v>
      </c>
      <c r="AK31">
        <v>5.2283179999999998</v>
      </c>
      <c r="AL31">
        <v>1.3029999999999999E-3</v>
      </c>
      <c r="AM31">
        <v>79.649471074992533</v>
      </c>
      <c r="AT31">
        <v>0</v>
      </c>
    </row>
    <row r="32" spans="1:46" x14ac:dyDescent="0.3">
      <c r="A32">
        <v>103</v>
      </c>
      <c r="E32">
        <v>63.219500882986019</v>
      </c>
      <c r="F32">
        <v>64.86030088298601</v>
      </c>
      <c r="G32">
        <v>61.578700882986013</v>
      </c>
      <c r="H32">
        <v>1.6407999999999987</v>
      </c>
      <c r="J32">
        <v>1760</v>
      </c>
      <c r="K32">
        <v>1393.75</v>
      </c>
      <c r="L32">
        <v>732.5</v>
      </c>
      <c r="M32">
        <v>3.068711</v>
      </c>
      <c r="N32">
        <v>1E-4</v>
      </c>
      <c r="P32">
        <v>28.898015000000001</v>
      </c>
      <c r="Q32">
        <v>5.3020000000000003E-3</v>
      </c>
      <c r="T32">
        <v>5.0202349999999996</v>
      </c>
      <c r="U32">
        <v>8.0699999999999999E-4</v>
      </c>
      <c r="AA32">
        <v>0</v>
      </c>
      <c r="AF32">
        <v>0</v>
      </c>
      <c r="AG32">
        <v>5.0020800000000003</v>
      </c>
      <c r="AH32">
        <v>3.8070000000000001E-3</v>
      </c>
      <c r="AI32">
        <v>3.0466500000000001</v>
      </c>
      <c r="AJ32">
        <v>9.6599999999999995E-4</v>
      </c>
      <c r="AK32">
        <v>5.2334690000000004</v>
      </c>
      <c r="AL32">
        <v>1.7149999999999999E-3</v>
      </c>
      <c r="AM32">
        <v>79.755906304774015</v>
      </c>
      <c r="AT32">
        <v>0</v>
      </c>
    </row>
    <row r="33" spans="1:46" x14ac:dyDescent="0.3">
      <c r="A33">
        <v>104</v>
      </c>
      <c r="E33">
        <v>63.255362101010661</v>
      </c>
      <c r="F33">
        <v>64.974562101010662</v>
      </c>
      <c r="G33">
        <v>61.53616210101066</v>
      </c>
      <c r="H33">
        <v>1.7192000000000007</v>
      </c>
      <c r="J33">
        <v>1830</v>
      </c>
      <c r="K33">
        <v>1446.25</v>
      </c>
      <c r="L33">
        <v>767.5</v>
      </c>
      <c r="M33">
        <v>3.0690499999999998</v>
      </c>
      <c r="N33">
        <v>3.0600000000000001E-4</v>
      </c>
      <c r="P33">
        <v>28.907596999999999</v>
      </c>
      <c r="Q33">
        <v>1.6258999999999999E-2</v>
      </c>
      <c r="T33">
        <v>5.0207069999999998</v>
      </c>
      <c r="U33">
        <v>2.5099999999999998E-4</v>
      </c>
      <c r="AA33">
        <v>0</v>
      </c>
      <c r="AF33">
        <v>0</v>
      </c>
      <c r="AG33">
        <v>5.0063810000000002</v>
      </c>
      <c r="AH33">
        <v>3.627E-3</v>
      </c>
      <c r="AI33">
        <v>3.0443120000000001</v>
      </c>
      <c r="AJ33">
        <v>9.1699999999999995E-4</v>
      </c>
      <c r="AK33">
        <v>5.2381549999999999</v>
      </c>
      <c r="AL33">
        <v>1.634E-3</v>
      </c>
      <c r="AM33">
        <v>79.834645736811552</v>
      </c>
      <c r="AT33">
        <v>0</v>
      </c>
    </row>
    <row r="34" spans="1:46" x14ac:dyDescent="0.3">
      <c r="A34">
        <v>105</v>
      </c>
      <c r="E34">
        <v>63.200884626017235</v>
      </c>
      <c r="F34">
        <v>64.99848462601723</v>
      </c>
      <c r="G34">
        <v>61.403284626017232</v>
      </c>
      <c r="H34">
        <v>1.7975999999999992</v>
      </c>
      <c r="J34">
        <v>1900</v>
      </c>
      <c r="K34">
        <v>1498.75</v>
      </c>
      <c r="L34">
        <v>802.5</v>
      </c>
      <c r="M34">
        <v>3.0697649999999999</v>
      </c>
      <c r="N34">
        <v>3.5300000000000002E-4</v>
      </c>
      <c r="P34">
        <v>28.927795</v>
      </c>
      <c r="Q34">
        <v>1.8751E-2</v>
      </c>
      <c r="T34">
        <v>5.0222949999999997</v>
      </c>
      <c r="U34">
        <v>3.3300000000000002E-4</v>
      </c>
      <c r="AA34">
        <v>0</v>
      </c>
      <c r="AF34">
        <v>0</v>
      </c>
      <c r="AG34">
        <v>5.0160999999999998</v>
      </c>
      <c r="AH34">
        <v>5.0270000000000002E-3</v>
      </c>
      <c r="AI34">
        <v>3.0384899999999999</v>
      </c>
      <c r="AJ34">
        <v>1.2589999999999999E-3</v>
      </c>
      <c r="AK34">
        <v>5.2456139999999998</v>
      </c>
      <c r="AL34">
        <v>2.2599999999999999E-3</v>
      </c>
      <c r="AM34">
        <v>79.950342219794038</v>
      </c>
      <c r="AT34">
        <v>0</v>
      </c>
    </row>
    <row r="35" spans="1:46" x14ac:dyDescent="0.3">
      <c r="A35">
        <v>106</v>
      </c>
      <c r="E35">
        <v>63.091035513054791</v>
      </c>
      <c r="F35">
        <v>64.978235513054784</v>
      </c>
      <c r="G35">
        <v>61.203835513054791</v>
      </c>
      <c r="H35">
        <v>1.8871999999999964</v>
      </c>
      <c r="J35">
        <v>1980</v>
      </c>
      <c r="K35">
        <v>1558.75</v>
      </c>
      <c r="L35">
        <v>842.5</v>
      </c>
      <c r="M35">
        <v>3.070783</v>
      </c>
      <c r="N35">
        <v>1.3300000000000001E-4</v>
      </c>
      <c r="P35">
        <v>28.956593000000002</v>
      </c>
      <c r="Q35">
        <v>7.0749999999999997E-3</v>
      </c>
      <c r="T35">
        <v>5.0237829999999999</v>
      </c>
      <c r="U35">
        <v>4.2499999999999998E-4</v>
      </c>
      <c r="W35">
        <v>6.068594</v>
      </c>
      <c r="X35">
        <v>2.9780000000000002E-3</v>
      </c>
      <c r="Y35">
        <v>5.022113</v>
      </c>
      <c r="Z35">
        <v>8.0160000000000006E-3</v>
      </c>
      <c r="AA35">
        <v>80.087231888684059</v>
      </c>
      <c r="AF35">
        <v>0</v>
      </c>
      <c r="AM35">
        <v>0</v>
      </c>
      <c r="AT35">
        <v>0</v>
      </c>
    </row>
    <row r="36" spans="1:46" x14ac:dyDescent="0.3">
      <c r="A36">
        <v>107</v>
      </c>
      <c r="E36">
        <v>63.034347149059208</v>
      </c>
      <c r="F36">
        <v>65.011147149059212</v>
      </c>
      <c r="G36">
        <v>61.057547149059211</v>
      </c>
      <c r="H36">
        <v>1.9768000000000008</v>
      </c>
      <c r="J36">
        <v>2060</v>
      </c>
      <c r="K36">
        <v>1618.75</v>
      </c>
      <c r="L36">
        <v>882.5</v>
      </c>
      <c r="M36">
        <v>3.0715819999999998</v>
      </c>
      <c r="N36">
        <v>1.8799999999999999E-4</v>
      </c>
      <c r="P36">
        <v>28.979189999999999</v>
      </c>
      <c r="Q36">
        <v>1.0011000000000001E-2</v>
      </c>
      <c r="R36" t="s">
        <v>44</v>
      </c>
      <c r="T36">
        <v>5.0239599999999998</v>
      </c>
      <c r="U36">
        <v>3.9500000000000001E-4</v>
      </c>
      <c r="W36">
        <v>6.0700640000000003</v>
      </c>
      <c r="X36">
        <v>1.3489999999999999E-3</v>
      </c>
      <c r="Y36">
        <v>5.0317809999999996</v>
      </c>
      <c r="Z36">
        <v>3.6480000000000002E-3</v>
      </c>
      <c r="AA36">
        <v>80.280285285180625</v>
      </c>
      <c r="AF36">
        <v>0</v>
      </c>
      <c r="AM36">
        <v>0</v>
      </c>
      <c r="AT36">
        <v>0</v>
      </c>
    </row>
    <row r="38" spans="1:46" x14ac:dyDescent="0.3">
      <c r="A38">
        <v>119</v>
      </c>
      <c r="E38">
        <v>68.847733418840519</v>
      </c>
      <c r="F38">
        <v>69.962133418840523</v>
      </c>
      <c r="G38">
        <v>67.73333341884053</v>
      </c>
      <c r="H38">
        <v>1.1143999999999963</v>
      </c>
      <c r="J38">
        <v>1290</v>
      </c>
      <c r="K38">
        <v>1041.25</v>
      </c>
      <c r="L38">
        <v>497.5</v>
      </c>
      <c r="M38">
        <v>3.043288</v>
      </c>
      <c r="N38">
        <v>3.3E-4</v>
      </c>
      <c r="P38">
        <v>28.185735000000001</v>
      </c>
      <c r="Q38">
        <v>1.7412E-2</v>
      </c>
      <c r="T38">
        <v>5.0147089999999999</v>
      </c>
      <c r="U38">
        <v>1.2880000000000001E-3</v>
      </c>
      <c r="AA38">
        <v>0</v>
      </c>
      <c r="AF38">
        <v>0</v>
      </c>
      <c r="AG38">
        <v>4.8591939999999996</v>
      </c>
      <c r="AH38">
        <v>3.6089999999999998E-3</v>
      </c>
      <c r="AI38">
        <v>3.0760930000000002</v>
      </c>
      <c r="AJ38">
        <v>7.7099999999999998E-4</v>
      </c>
      <c r="AK38">
        <v>5.1810859999999996</v>
      </c>
      <c r="AL38">
        <v>6.6399999999999999E-4</v>
      </c>
      <c r="AM38">
        <v>77.443415925294417</v>
      </c>
      <c r="AT38">
        <v>0</v>
      </c>
    </row>
    <row r="39" spans="1:46" x14ac:dyDescent="0.3">
      <c r="A39">
        <v>120</v>
      </c>
      <c r="E39">
        <v>68.943870737669272</v>
      </c>
      <c r="F39">
        <v>70.14787073766928</v>
      </c>
      <c r="G39">
        <v>67.739870737669278</v>
      </c>
      <c r="H39">
        <v>1.2040000000000006</v>
      </c>
      <c r="J39">
        <v>1370</v>
      </c>
      <c r="K39">
        <v>1101.25</v>
      </c>
      <c r="L39">
        <v>537.5</v>
      </c>
      <c r="M39">
        <v>3.0434329999999998</v>
      </c>
      <c r="N39">
        <v>3.48E-4</v>
      </c>
      <c r="P39">
        <v>28.189737999999998</v>
      </c>
      <c r="Q39">
        <v>1.8343000000000002E-2</v>
      </c>
      <c r="T39">
        <v>5.0129599999999996</v>
      </c>
      <c r="U39">
        <v>3.6900000000000001E-3</v>
      </c>
      <c r="AA39">
        <v>0</v>
      </c>
      <c r="AF39">
        <v>0</v>
      </c>
      <c r="AG39">
        <v>4.9305349999999999</v>
      </c>
      <c r="AH39">
        <v>7.8740000000000008E-3</v>
      </c>
      <c r="AI39">
        <v>3.0716299999999999</v>
      </c>
      <c r="AJ39">
        <v>2.7000000000000001E-3</v>
      </c>
      <c r="AK39">
        <v>5.1773949999999997</v>
      </c>
      <c r="AL39">
        <v>4.156E-3</v>
      </c>
      <c r="AM39">
        <v>78.410504220345558</v>
      </c>
      <c r="AT39">
        <v>0</v>
      </c>
    </row>
    <row r="40" spans="1:46" x14ac:dyDescent="0.3">
      <c r="A40">
        <v>121</v>
      </c>
      <c r="E40">
        <v>68.917040877424398</v>
      </c>
      <c r="F40">
        <v>70.199440877424394</v>
      </c>
      <c r="G40">
        <v>67.634640877424388</v>
      </c>
      <c r="H40">
        <v>1.2824000000000026</v>
      </c>
      <c r="J40">
        <v>1440</v>
      </c>
      <c r="K40">
        <v>1153.75</v>
      </c>
      <c r="L40">
        <v>572.5</v>
      </c>
      <c r="M40">
        <v>3.043981</v>
      </c>
      <c r="N40">
        <v>6.6299999999999996E-4</v>
      </c>
      <c r="P40">
        <v>28.204982999999999</v>
      </c>
      <c r="Q40">
        <v>3.4960999999999999E-2</v>
      </c>
      <c r="T40">
        <v>5.0143180000000003</v>
      </c>
      <c r="U40">
        <v>3.6949999999999999E-3</v>
      </c>
      <c r="AA40">
        <v>0</v>
      </c>
      <c r="AF40">
        <v>0</v>
      </c>
      <c r="AG40">
        <v>4.9394309999999999</v>
      </c>
      <c r="AH40">
        <v>6.6220000000000003E-3</v>
      </c>
      <c r="AI40">
        <v>3.0621849999999999</v>
      </c>
      <c r="AJ40">
        <v>2.2430000000000002E-3</v>
      </c>
      <c r="AK40">
        <v>5.1834730000000002</v>
      </c>
      <c r="AL40">
        <v>3.4849999999999998E-3</v>
      </c>
      <c r="AM40">
        <v>78.402369549804916</v>
      </c>
      <c r="AT40">
        <v>0</v>
      </c>
    </row>
    <row r="41" spans="1:46" x14ac:dyDescent="0.3">
      <c r="A41">
        <v>122</v>
      </c>
      <c r="E41">
        <v>68.929590747687399</v>
      </c>
      <c r="F41">
        <v>70.323990747687404</v>
      </c>
      <c r="G41">
        <v>67.535190747687409</v>
      </c>
      <c r="H41">
        <v>1.3943999999999974</v>
      </c>
      <c r="J41">
        <v>1540</v>
      </c>
      <c r="K41">
        <v>1228.75</v>
      </c>
      <c r="L41">
        <v>622.5</v>
      </c>
      <c r="M41">
        <v>3.0445720000000001</v>
      </c>
      <c r="N41">
        <v>6.6699999999999995E-4</v>
      </c>
      <c r="P41">
        <v>28.221419000000001</v>
      </c>
      <c r="Q41">
        <v>3.5159999999999997E-2</v>
      </c>
      <c r="T41">
        <v>5.0012379999999999</v>
      </c>
      <c r="U41">
        <v>4.1289999999999999E-3</v>
      </c>
      <c r="AA41">
        <v>0</v>
      </c>
      <c r="AF41">
        <v>0</v>
      </c>
      <c r="AG41">
        <v>4.9505439999999998</v>
      </c>
      <c r="AH41">
        <v>5.4130000000000003E-3</v>
      </c>
      <c r="AI41">
        <v>3.0534300000000001</v>
      </c>
      <c r="AJ41">
        <v>1.8090000000000001E-3</v>
      </c>
      <c r="AK41">
        <v>5.1893000000000002</v>
      </c>
      <c r="AL41">
        <v>2.836E-3</v>
      </c>
      <c r="AM41">
        <v>78.44218304942865</v>
      </c>
      <c r="AT41">
        <v>0</v>
      </c>
    </row>
    <row r="42" spans="1:46" x14ac:dyDescent="0.3">
      <c r="A42">
        <v>123</v>
      </c>
      <c r="E42">
        <v>69.200797776529811</v>
      </c>
      <c r="F42">
        <v>70.673597776529817</v>
      </c>
      <c r="G42">
        <v>67.727997776529818</v>
      </c>
      <c r="H42">
        <v>1.4727999999999994</v>
      </c>
      <c r="J42">
        <v>1610</v>
      </c>
      <c r="K42">
        <v>1281.25</v>
      </c>
      <c r="L42">
        <v>657.5</v>
      </c>
      <c r="M42">
        <v>3.0439880000000001</v>
      </c>
      <c r="N42">
        <v>3.59E-4</v>
      </c>
      <c r="P42">
        <v>28.205171</v>
      </c>
      <c r="Q42">
        <v>1.8904000000000001E-2</v>
      </c>
      <c r="T42">
        <v>4.9988359999999998</v>
      </c>
      <c r="U42">
        <v>1.8320000000000001E-3</v>
      </c>
      <c r="AA42">
        <v>0</v>
      </c>
      <c r="AF42">
        <v>0</v>
      </c>
      <c r="AG42">
        <v>4.9643680000000003</v>
      </c>
      <c r="AH42">
        <v>2.8930000000000002E-3</v>
      </c>
      <c r="AI42">
        <v>3.04332</v>
      </c>
      <c r="AJ42">
        <v>9.5200000000000005E-4</v>
      </c>
      <c r="AK42">
        <v>5.1966070000000002</v>
      </c>
      <c r="AL42">
        <v>1.5089999999999999E-3</v>
      </c>
      <c r="AM42">
        <v>78.511172204840975</v>
      </c>
      <c r="AT42">
        <v>0</v>
      </c>
    </row>
    <row r="43" spans="1:46" x14ac:dyDescent="0.3">
      <c r="A43">
        <v>124</v>
      </c>
      <c r="E43">
        <v>69.199934397848139</v>
      </c>
      <c r="F43">
        <v>70.807134397848131</v>
      </c>
      <c r="G43">
        <v>67.592734397848133</v>
      </c>
      <c r="H43">
        <v>1.6071999999999989</v>
      </c>
      <c r="J43">
        <v>1730</v>
      </c>
      <c r="K43">
        <v>1371.25</v>
      </c>
      <c r="L43">
        <v>717.5</v>
      </c>
      <c r="M43">
        <v>3.0447579999999999</v>
      </c>
      <c r="N43">
        <v>3.0400000000000002E-4</v>
      </c>
      <c r="P43">
        <v>28.226578</v>
      </c>
      <c r="Q43">
        <v>1.6049999999999998E-2</v>
      </c>
      <c r="R43" t="s">
        <v>35</v>
      </c>
      <c r="T43">
        <v>4.9969809999999999</v>
      </c>
      <c r="U43">
        <v>2.6819999999999999E-3</v>
      </c>
      <c r="AA43">
        <v>0</v>
      </c>
      <c r="AF43">
        <v>0</v>
      </c>
      <c r="AG43">
        <v>4.9746249999999996</v>
      </c>
      <c r="AH43">
        <v>2.212E-3</v>
      </c>
      <c r="AI43">
        <v>3.0361910000000001</v>
      </c>
      <c r="AJ43">
        <v>7.2000000000000005E-4</v>
      </c>
      <c r="AK43">
        <v>5.2038929999999999</v>
      </c>
      <c r="AL43">
        <v>1.15E-3</v>
      </c>
      <c r="AM43">
        <v>78.599140125616586</v>
      </c>
      <c r="AT43">
        <v>0</v>
      </c>
    </row>
    <row r="44" spans="1:46" x14ac:dyDescent="0.3">
      <c r="A44">
        <v>125</v>
      </c>
      <c r="E44">
        <v>69.07821241602214</v>
      </c>
      <c r="F44">
        <v>70.819812416022131</v>
      </c>
      <c r="G44">
        <v>67.336612416022135</v>
      </c>
      <c r="H44">
        <v>1.7415999999999983</v>
      </c>
      <c r="J44">
        <v>1850</v>
      </c>
      <c r="K44">
        <v>1461.25</v>
      </c>
      <c r="L44">
        <v>777.5</v>
      </c>
      <c r="M44">
        <v>3.045992</v>
      </c>
      <c r="N44">
        <v>3.9800000000000002E-4</v>
      </c>
      <c r="P44">
        <v>28.260926999999999</v>
      </c>
      <c r="Q44">
        <v>2.0982000000000001E-2</v>
      </c>
      <c r="R44" t="s">
        <v>44</v>
      </c>
      <c r="T44">
        <v>4.9977150000000004</v>
      </c>
      <c r="U44">
        <v>7.7200000000000001E-4</v>
      </c>
      <c r="AA44">
        <v>0</v>
      </c>
      <c r="AF44">
        <v>0</v>
      </c>
      <c r="AG44">
        <v>4.9882400000000002</v>
      </c>
      <c r="AH44">
        <v>3.1549999999999998E-3</v>
      </c>
      <c r="AI44">
        <v>3.0265249999999999</v>
      </c>
      <c r="AJ44">
        <v>1.0280000000000001E-3</v>
      </c>
      <c r="AK44">
        <v>5.2135600000000002</v>
      </c>
      <c r="AL44">
        <v>2.2650000000000001E-3</v>
      </c>
      <c r="AM44">
        <v>78.709287711574959</v>
      </c>
      <c r="AT44">
        <v>0</v>
      </c>
    </row>
    <row r="46" spans="1:46" x14ac:dyDescent="0.3">
      <c r="A46" t="s">
        <v>84</v>
      </c>
    </row>
    <row r="47" spans="1:46" x14ac:dyDescent="0.3">
      <c r="A47">
        <v>5</v>
      </c>
      <c r="E47">
        <v>82.470484542744813</v>
      </c>
      <c r="F47">
        <v>83.5736845427448</v>
      </c>
      <c r="G47">
        <v>81.367284542744812</v>
      </c>
      <c r="H47">
        <v>1.103199999999994</v>
      </c>
      <c r="J47">
        <v>1280</v>
      </c>
      <c r="K47">
        <v>1033.75</v>
      </c>
      <c r="L47">
        <v>492.5</v>
      </c>
      <c r="M47">
        <v>2.9958119999999999</v>
      </c>
      <c r="N47">
        <v>2.8419999999999999E-3</v>
      </c>
      <c r="P47">
        <v>26.887083000000001</v>
      </c>
      <c r="Q47">
        <v>0.147448</v>
      </c>
      <c r="AG47">
        <v>4.8214880000000004</v>
      </c>
      <c r="AH47">
        <v>4.2460999999999999E-2</v>
      </c>
      <c r="AI47">
        <v>3.0159099999999999</v>
      </c>
      <c r="AJ47">
        <v>4.6509999999999998E-3</v>
      </c>
      <c r="AK47">
        <v>5.1172560000000002</v>
      </c>
      <c r="AL47">
        <v>7.9810000000000002E-3</v>
      </c>
      <c r="AM47">
        <v>74.410909254179131</v>
      </c>
      <c r="AS47">
        <v>0</v>
      </c>
    </row>
    <row r="48" spans="1:46" x14ac:dyDescent="0.3">
      <c r="A48">
        <v>6</v>
      </c>
      <c r="E48">
        <v>82.498295213764663</v>
      </c>
      <c r="F48">
        <v>83.679895213764667</v>
      </c>
      <c r="G48">
        <v>81.31669521376466</v>
      </c>
      <c r="H48">
        <v>1.1816000000000031</v>
      </c>
      <c r="J48">
        <v>1350</v>
      </c>
      <c r="K48">
        <v>1086.25</v>
      </c>
      <c r="L48">
        <v>527.5</v>
      </c>
      <c r="M48">
        <v>2.9961000000000002</v>
      </c>
      <c r="N48">
        <v>2.8509999999999998E-3</v>
      </c>
      <c r="P48">
        <v>26.894839000000001</v>
      </c>
      <c r="Q48">
        <v>0.147953</v>
      </c>
      <c r="AG48">
        <v>4.8555229999999998</v>
      </c>
      <c r="AH48">
        <v>7.7270000000000004E-3</v>
      </c>
      <c r="AI48">
        <v>3.0193949999999998</v>
      </c>
      <c r="AJ48">
        <v>1.934E-3</v>
      </c>
      <c r="AK48">
        <v>5.1140129999999999</v>
      </c>
      <c r="AL48">
        <v>2.823E-3</v>
      </c>
      <c r="AM48">
        <v>74.975224505587974</v>
      </c>
      <c r="AS48">
        <v>0</v>
      </c>
    </row>
    <row r="49" spans="1:45" x14ac:dyDescent="0.3">
      <c r="A49">
        <v>7</v>
      </c>
      <c r="E49">
        <v>82.536452384218052</v>
      </c>
      <c r="F49">
        <v>83.818852384218047</v>
      </c>
      <c r="G49">
        <v>81.254052384218042</v>
      </c>
      <c r="H49">
        <v>1.2824000000000026</v>
      </c>
      <c r="J49">
        <v>1440</v>
      </c>
      <c r="K49">
        <v>1153.75</v>
      </c>
      <c r="L49">
        <v>572.5</v>
      </c>
      <c r="M49">
        <v>2.9964629999999999</v>
      </c>
      <c r="N49">
        <v>2.7820000000000002E-3</v>
      </c>
      <c r="P49">
        <v>26.904613999999999</v>
      </c>
      <c r="Q49">
        <v>0.144374</v>
      </c>
      <c r="T49">
        <v>4.9403230000000002</v>
      </c>
      <c r="U49">
        <v>1.9840000000000001E-3</v>
      </c>
      <c r="AG49">
        <v>4.8705049999999996</v>
      </c>
      <c r="AH49">
        <v>4.1920000000000004E-3</v>
      </c>
      <c r="AI49">
        <v>3.0160680000000002</v>
      </c>
      <c r="AJ49">
        <v>1.0380000000000001E-3</v>
      </c>
      <c r="AK49">
        <v>5.1158960000000002</v>
      </c>
      <c r="AL49">
        <v>1.5200000000000001E-3</v>
      </c>
      <c r="AM49">
        <v>75.151357450998916</v>
      </c>
      <c r="AS49">
        <v>0</v>
      </c>
    </row>
    <row r="50" spans="1:45" x14ac:dyDescent="0.3">
      <c r="A50">
        <v>8</v>
      </c>
      <c r="E50">
        <v>82.604989496241529</v>
      </c>
      <c r="F50">
        <v>83.864989496241535</v>
      </c>
      <c r="G50">
        <v>81.344989496241524</v>
      </c>
      <c r="H50">
        <v>1.2600000000000051</v>
      </c>
      <c r="J50">
        <v>1420</v>
      </c>
      <c r="K50">
        <v>1138.75</v>
      </c>
      <c r="L50">
        <v>562.5</v>
      </c>
      <c r="M50">
        <v>2.9961350000000002</v>
      </c>
      <c r="N50">
        <v>1.477E-3</v>
      </c>
      <c r="P50">
        <v>26.895768</v>
      </c>
      <c r="Q50">
        <v>7.6623999999999998E-2</v>
      </c>
      <c r="T50">
        <v>4.9353990000000003</v>
      </c>
      <c r="U50">
        <v>4.3600000000000003E-4</v>
      </c>
      <c r="AG50">
        <v>4.8875520000000003</v>
      </c>
      <c r="AH50">
        <v>2.3259999999999999E-3</v>
      </c>
      <c r="AI50">
        <v>3.0124870000000001</v>
      </c>
      <c r="AJ50">
        <v>5.6899999999999995E-4</v>
      </c>
      <c r="AK50">
        <v>5.1116330000000003</v>
      </c>
      <c r="AL50">
        <v>8.3299999999999997E-4</v>
      </c>
      <c r="AM50">
        <v>75.262083644566005</v>
      </c>
      <c r="AS50">
        <v>0</v>
      </c>
    </row>
    <row r="51" spans="1:45" x14ac:dyDescent="0.3">
      <c r="A51">
        <v>9</v>
      </c>
      <c r="E51">
        <v>82.723212644032827</v>
      </c>
      <c r="F51">
        <v>84.061612644032834</v>
      </c>
      <c r="G51">
        <v>81.384812644032834</v>
      </c>
      <c r="H51">
        <v>1.3384</v>
      </c>
      <c r="J51">
        <v>1490</v>
      </c>
      <c r="K51">
        <v>1191.25</v>
      </c>
      <c r="L51">
        <v>597.5</v>
      </c>
      <c r="M51">
        <v>2.9961329999999999</v>
      </c>
      <c r="N51">
        <v>1.0150000000000001E-3</v>
      </c>
      <c r="P51">
        <v>26.89573</v>
      </c>
      <c r="Q51">
        <v>5.2697000000000001E-2</v>
      </c>
      <c r="T51">
        <v>4.9398390000000001</v>
      </c>
      <c r="U51">
        <v>1.6980000000000001E-3</v>
      </c>
      <c r="AG51">
        <v>4.8907530000000001</v>
      </c>
      <c r="AH51">
        <v>2.0349999999999999E-3</v>
      </c>
      <c r="AI51">
        <v>3.0106090000000001</v>
      </c>
      <c r="AJ51">
        <v>5.3499999999999999E-4</v>
      </c>
      <c r="AK51">
        <v>5.1166179999999999</v>
      </c>
      <c r="AL51">
        <v>7.9500000000000003E-4</v>
      </c>
      <c r="AM51">
        <v>75.337825334329054</v>
      </c>
      <c r="AS51">
        <v>0</v>
      </c>
    </row>
    <row r="52" spans="1:45" x14ac:dyDescent="0.3">
      <c r="A52">
        <v>10</v>
      </c>
      <c r="E52">
        <v>83.006413133572323</v>
      </c>
      <c r="F52">
        <v>84.423213133572318</v>
      </c>
      <c r="G52">
        <v>81.589613133572314</v>
      </c>
      <c r="H52">
        <v>1.4168000000000021</v>
      </c>
      <c r="J52">
        <v>1560</v>
      </c>
      <c r="K52">
        <v>1243.75</v>
      </c>
      <c r="L52">
        <v>632.5</v>
      </c>
      <c r="M52">
        <v>2.9956019999999999</v>
      </c>
      <c r="N52">
        <v>1.6280000000000001E-3</v>
      </c>
      <c r="P52">
        <v>26.881437999999999</v>
      </c>
      <c r="Q52">
        <v>8.4474999999999995E-2</v>
      </c>
      <c r="T52">
        <v>4.9402869999999997</v>
      </c>
      <c r="U52">
        <v>9.9799999999999997E-4</v>
      </c>
      <c r="AG52">
        <v>4.8976819999999996</v>
      </c>
      <c r="AH52">
        <v>2.6510000000000001E-3</v>
      </c>
      <c r="AI52">
        <v>3.007212</v>
      </c>
      <c r="AJ52">
        <v>6.9300000000000004E-4</v>
      </c>
      <c r="AK52">
        <v>5.1212520000000001</v>
      </c>
      <c r="AL52">
        <v>1.034E-3</v>
      </c>
      <c r="AM52">
        <v>75.427684499669482</v>
      </c>
      <c r="AS52">
        <v>0</v>
      </c>
    </row>
    <row r="53" spans="1:45" x14ac:dyDescent="0.3">
      <c r="A53">
        <v>11</v>
      </c>
      <c r="E53">
        <v>83.57962793427032</v>
      </c>
      <c r="F53">
        <v>85.130827934270314</v>
      </c>
      <c r="G53">
        <v>82.028427934270312</v>
      </c>
      <c r="H53">
        <v>1.5512000000000015</v>
      </c>
      <c r="J53">
        <v>1680</v>
      </c>
      <c r="K53">
        <v>1333.75</v>
      </c>
      <c r="L53">
        <v>692.5</v>
      </c>
      <c r="M53">
        <v>2.9944139999999999</v>
      </c>
      <c r="N53">
        <v>1.9910000000000001E-3</v>
      </c>
      <c r="P53">
        <v>26.849456</v>
      </c>
      <c r="Q53">
        <v>0.103237</v>
      </c>
      <c r="T53">
        <v>4.9387869999999996</v>
      </c>
      <c r="U53">
        <v>6.4999999999999994E-5</v>
      </c>
      <c r="AG53">
        <v>4.9129560000000003</v>
      </c>
      <c r="AH53">
        <v>1.8829999999999999E-3</v>
      </c>
      <c r="AI53">
        <v>2.9986380000000001</v>
      </c>
      <c r="AJ53">
        <v>4.8000000000000001E-4</v>
      </c>
      <c r="AK53">
        <v>5.1356799999999998</v>
      </c>
      <c r="AL53">
        <v>8.4599999999999996E-4</v>
      </c>
      <c r="AM53">
        <v>75.65974448447696</v>
      </c>
      <c r="AS53">
        <v>0</v>
      </c>
    </row>
    <row r="54" spans="1:45" x14ac:dyDescent="0.3">
      <c r="A54">
        <v>12</v>
      </c>
      <c r="E54">
        <v>83.675099287151937</v>
      </c>
      <c r="F54">
        <v>85.293499287151946</v>
      </c>
      <c r="G54">
        <v>82.056699287151943</v>
      </c>
      <c r="H54">
        <v>1.6184000000000012</v>
      </c>
      <c r="J54">
        <v>1740</v>
      </c>
      <c r="K54">
        <v>1378.75</v>
      </c>
      <c r="L54">
        <v>722.5</v>
      </c>
      <c r="M54">
        <v>2.9944310000000001</v>
      </c>
      <c r="N54">
        <v>1.41E-3</v>
      </c>
      <c r="P54">
        <v>26.849906000000001</v>
      </c>
      <c r="Q54">
        <v>7.3148000000000005E-2</v>
      </c>
      <c r="T54">
        <v>4.9411810000000003</v>
      </c>
      <c r="U54">
        <v>3.0299999999999999E-4</v>
      </c>
      <c r="AG54">
        <v>4.9188400000000003</v>
      </c>
      <c r="AH54">
        <v>3.0690000000000001E-3</v>
      </c>
      <c r="AI54">
        <v>2.994678</v>
      </c>
      <c r="AJ54">
        <v>7.7800000000000005E-4</v>
      </c>
      <c r="AK54">
        <v>5.1432789999999997</v>
      </c>
      <c r="AL54">
        <v>1.3799999999999999E-3</v>
      </c>
      <c r="AM54">
        <v>75.762258329492809</v>
      </c>
      <c r="AS54">
        <v>0</v>
      </c>
    </row>
    <row r="55" spans="1:45" x14ac:dyDescent="0.3">
      <c r="A55">
        <v>13</v>
      </c>
      <c r="E55">
        <v>83.742562876815683</v>
      </c>
      <c r="F55">
        <v>85.439362876815679</v>
      </c>
      <c r="G55">
        <v>82.045762876815672</v>
      </c>
      <c r="H55">
        <v>1.6968000000000032</v>
      </c>
      <c r="J55">
        <v>1810</v>
      </c>
      <c r="K55">
        <v>1431.25</v>
      </c>
      <c r="L55">
        <v>757.5</v>
      </c>
      <c r="M55">
        <v>2.9945909999999998</v>
      </c>
      <c r="N55">
        <v>1.3680000000000001E-3</v>
      </c>
      <c r="P55">
        <v>26.854215</v>
      </c>
      <c r="Q55">
        <v>7.0951E-2</v>
      </c>
      <c r="T55">
        <v>4.9433850000000001</v>
      </c>
      <c r="U55">
        <v>6.78E-4</v>
      </c>
      <c r="AG55">
        <v>4.9228350000000001</v>
      </c>
      <c r="AH55">
        <v>3.5070000000000001E-3</v>
      </c>
      <c r="AI55">
        <v>2.992121</v>
      </c>
      <c r="AJ55">
        <v>8.8500000000000004E-4</v>
      </c>
      <c r="AK55">
        <v>5.1511589999999998</v>
      </c>
      <c r="AL55">
        <v>1.5790000000000001E-3</v>
      </c>
      <c r="AM55">
        <v>75.875119355772583</v>
      </c>
      <c r="AS55">
        <v>0</v>
      </c>
    </row>
    <row r="56" spans="1:45" x14ac:dyDescent="0.3">
      <c r="A56">
        <v>14</v>
      </c>
      <c r="E56">
        <v>83.573985140226256</v>
      </c>
      <c r="F56">
        <v>85.349185140226254</v>
      </c>
      <c r="G56">
        <v>81.798785140226258</v>
      </c>
      <c r="H56">
        <v>1.7751999999999981</v>
      </c>
      <c r="J56">
        <v>1880</v>
      </c>
      <c r="K56">
        <v>1483.75</v>
      </c>
      <c r="L56">
        <v>792.5</v>
      </c>
      <c r="M56">
        <v>2.9955059999999998</v>
      </c>
      <c r="N56">
        <v>8.0599999999999997E-4</v>
      </c>
      <c r="P56">
        <v>26.87884</v>
      </c>
      <c r="Q56">
        <v>4.1800999999999998E-2</v>
      </c>
      <c r="R56" t="s">
        <v>44</v>
      </c>
      <c r="T56">
        <v>4.9447510000000001</v>
      </c>
      <c r="U56">
        <v>1.45E-4</v>
      </c>
      <c r="AG56">
        <v>4.9357199999999999</v>
      </c>
      <c r="AH56">
        <v>5.7190000000000001E-3</v>
      </c>
      <c r="AI56">
        <v>2.9842050000000002</v>
      </c>
      <c r="AJ56">
        <v>1.4250000000000001E-3</v>
      </c>
      <c r="AK56">
        <v>5.1601610000000004</v>
      </c>
      <c r="AL56">
        <v>2.568E-3</v>
      </c>
      <c r="AM56">
        <v>76.005044962664726</v>
      </c>
      <c r="AS56">
        <v>0</v>
      </c>
    </row>
    <row r="58" spans="1:45" x14ac:dyDescent="0.3">
      <c r="A58">
        <v>27</v>
      </c>
      <c r="E58">
        <v>91.164511613372184</v>
      </c>
      <c r="F58">
        <v>92.558911613372189</v>
      </c>
      <c r="G58">
        <v>89.770111613372194</v>
      </c>
      <c r="H58">
        <v>1.3943999999999974</v>
      </c>
      <c r="J58">
        <v>1540</v>
      </c>
      <c r="K58">
        <v>1228.75</v>
      </c>
      <c r="L58">
        <v>622.5</v>
      </c>
      <c r="M58">
        <v>2.9704969999999999</v>
      </c>
      <c r="N58">
        <v>1.63E-4</v>
      </c>
      <c r="P58">
        <v>26.21123</v>
      </c>
      <c r="Q58">
        <v>8.3689999999999997E-3</v>
      </c>
      <c r="T58">
        <v>4.9082220000000003</v>
      </c>
      <c r="U58">
        <v>1.24E-3</v>
      </c>
      <c r="AG58">
        <v>4.8471380000000002</v>
      </c>
      <c r="AH58">
        <v>7.6790000000000001E-3</v>
      </c>
      <c r="AI58">
        <v>3.0023819999999999</v>
      </c>
      <c r="AJ58">
        <v>2.7000000000000001E-3</v>
      </c>
      <c r="AK58">
        <v>5.0891840000000004</v>
      </c>
      <c r="AL58">
        <v>4.509E-3</v>
      </c>
      <c r="AM58">
        <v>74.062690587760144</v>
      </c>
      <c r="AS58">
        <v>0</v>
      </c>
    </row>
    <row r="59" spans="1:45" x14ac:dyDescent="0.3">
      <c r="A59">
        <v>28</v>
      </c>
      <c r="E59">
        <v>90.827803727349689</v>
      </c>
      <c r="F59">
        <v>92.300603727349696</v>
      </c>
      <c r="G59">
        <v>89.355003727349697</v>
      </c>
      <c r="H59">
        <v>1.4727999999999994</v>
      </c>
      <c r="J59">
        <v>1610</v>
      </c>
      <c r="K59">
        <v>1281.25</v>
      </c>
      <c r="L59">
        <v>657.5</v>
      </c>
      <c r="M59">
        <v>2.9718330000000002</v>
      </c>
      <c r="N59">
        <v>1.4580000000000001E-3</v>
      </c>
      <c r="P59">
        <v>26.246614000000001</v>
      </c>
      <c r="Q59">
        <v>7.5047000000000003E-2</v>
      </c>
      <c r="T59">
        <v>4.9096229999999998</v>
      </c>
      <c r="U59">
        <v>6.6299999999999996E-4</v>
      </c>
      <c r="AG59">
        <v>4.8533749999999998</v>
      </c>
      <c r="AH59">
        <v>1.2728E-2</v>
      </c>
      <c r="AI59">
        <v>2.9972020000000001</v>
      </c>
      <c r="AJ59">
        <v>3.3409999999999998E-3</v>
      </c>
      <c r="AK59">
        <v>5.0993950000000003</v>
      </c>
      <c r="AL59">
        <v>5.803E-3</v>
      </c>
      <c r="AM59">
        <v>74.178580149544672</v>
      </c>
      <c r="AS59">
        <v>0</v>
      </c>
    </row>
    <row r="60" spans="1:45" x14ac:dyDescent="0.3">
      <c r="A60">
        <v>29</v>
      </c>
      <c r="E60">
        <v>90.951999793869831</v>
      </c>
      <c r="F60">
        <v>92.648799793869827</v>
      </c>
      <c r="G60">
        <v>89.255199793869821</v>
      </c>
      <c r="H60">
        <v>1.6968000000000032</v>
      </c>
      <c r="J60">
        <v>1810</v>
      </c>
      <c r="K60">
        <v>1431.25</v>
      </c>
      <c r="L60">
        <v>757.5</v>
      </c>
      <c r="M60">
        <v>2.972458</v>
      </c>
      <c r="N60">
        <v>2.1350000000000002E-3</v>
      </c>
      <c r="P60">
        <v>26.263182</v>
      </c>
      <c r="Q60">
        <v>0.109944</v>
      </c>
      <c r="T60">
        <v>4.9131280000000004</v>
      </c>
      <c r="U60">
        <v>2.1499999999999999E-4</v>
      </c>
      <c r="AG60">
        <v>4.8898529999999996</v>
      </c>
      <c r="AH60">
        <v>1.632E-3</v>
      </c>
      <c r="AI60">
        <v>2.9758260000000001</v>
      </c>
      <c r="AJ60">
        <v>1.7359999999999999E-3</v>
      </c>
      <c r="AK60">
        <v>5.1135039999999998</v>
      </c>
      <c r="AL60">
        <v>4.4920000000000003E-3</v>
      </c>
      <c r="AM60">
        <v>74.408395090517871</v>
      </c>
      <c r="AS60">
        <v>0</v>
      </c>
    </row>
    <row r="61" spans="1:45" x14ac:dyDescent="0.3">
      <c r="A61">
        <v>30</v>
      </c>
      <c r="E61">
        <v>91.549171349610702</v>
      </c>
      <c r="F61">
        <v>93.357971349610708</v>
      </c>
      <c r="G61">
        <v>89.740371349610697</v>
      </c>
      <c r="H61">
        <v>1.8088000000000051</v>
      </c>
      <c r="J61">
        <v>1910</v>
      </c>
      <c r="K61">
        <v>1506.25</v>
      </c>
      <c r="L61">
        <v>807.5</v>
      </c>
      <c r="M61">
        <v>2.971193</v>
      </c>
      <c r="N61">
        <v>1.4120000000000001E-3</v>
      </c>
      <c r="P61">
        <v>26.229651</v>
      </c>
      <c r="Q61">
        <v>7.2674000000000002E-2</v>
      </c>
      <c r="T61">
        <v>4.9147670000000003</v>
      </c>
      <c r="U61">
        <v>8.7999999999999998E-5</v>
      </c>
      <c r="AG61">
        <v>4.8996110000000002</v>
      </c>
      <c r="AH61">
        <v>1.2899999999999999E-3</v>
      </c>
      <c r="AI61">
        <v>2.9705400000000002</v>
      </c>
      <c r="AJ61">
        <v>1.358E-3</v>
      </c>
      <c r="AK61">
        <v>5.11761</v>
      </c>
      <c r="AL61">
        <v>3.542E-3</v>
      </c>
      <c r="AM61">
        <v>74.484205922693548</v>
      </c>
      <c r="AS61">
        <v>0</v>
      </c>
    </row>
    <row r="62" spans="1:45" x14ac:dyDescent="0.3">
      <c r="A62">
        <v>31</v>
      </c>
      <c r="E62">
        <v>90.996307371820947</v>
      </c>
      <c r="F62">
        <v>92.569907371820946</v>
      </c>
      <c r="G62">
        <v>89.422707371820948</v>
      </c>
      <c r="H62">
        <v>1.573599999999999</v>
      </c>
      <c r="J62">
        <v>1700</v>
      </c>
      <c r="K62">
        <v>1348.75</v>
      </c>
      <c r="L62">
        <v>702.5</v>
      </c>
      <c r="M62">
        <v>2.9717820000000001</v>
      </c>
      <c r="N62">
        <v>2.2899999999999999E-3</v>
      </c>
      <c r="P62">
        <v>26.245259000000001</v>
      </c>
      <c r="Q62">
        <v>0.11788700000000001</v>
      </c>
      <c r="T62">
        <v>4.9123250000000001</v>
      </c>
      <c r="U62">
        <v>1.3899999999999999E-4</v>
      </c>
      <c r="AG62">
        <v>4.8852909999999996</v>
      </c>
      <c r="AH62">
        <v>4.7600000000000002E-4</v>
      </c>
      <c r="AI62">
        <v>2.9769899999999998</v>
      </c>
      <c r="AJ62">
        <v>2.3800000000000001E-4</v>
      </c>
      <c r="AK62">
        <v>5.1029679999999997</v>
      </c>
      <c r="AL62">
        <v>1.0640000000000001E-3</v>
      </c>
      <c r="AM62">
        <v>74.214823512422726</v>
      </c>
      <c r="AS62">
        <v>0</v>
      </c>
    </row>
    <row r="63" spans="1:45" x14ac:dyDescent="0.3">
      <c r="A63">
        <v>32</v>
      </c>
      <c r="E63">
        <v>91.320203263104474</v>
      </c>
      <c r="F63">
        <v>92.781803263104464</v>
      </c>
      <c r="G63">
        <v>89.85860326310447</v>
      </c>
      <c r="H63">
        <v>1.4615999999999971</v>
      </c>
      <c r="J63">
        <v>1600</v>
      </c>
      <c r="K63">
        <v>1273.75</v>
      </c>
      <c r="L63">
        <v>652.5</v>
      </c>
      <c r="M63">
        <v>2.9703360000000001</v>
      </c>
      <c r="N63">
        <v>1.766E-3</v>
      </c>
      <c r="P63">
        <v>26.206958</v>
      </c>
      <c r="Q63">
        <v>9.0855000000000005E-2</v>
      </c>
      <c r="T63">
        <v>4.9111479999999998</v>
      </c>
      <c r="U63">
        <v>1.8599999999999999E-4</v>
      </c>
      <c r="AG63">
        <v>4.8797300000000003</v>
      </c>
      <c r="AH63">
        <v>3.388E-3</v>
      </c>
      <c r="AI63">
        <v>2.978065</v>
      </c>
      <c r="AJ63">
        <v>1.8940000000000001E-3</v>
      </c>
      <c r="AK63">
        <v>5.1137980000000001</v>
      </c>
      <c r="AL63">
        <v>4.5570000000000003E-3</v>
      </c>
      <c r="AM63">
        <v>74.314495573278577</v>
      </c>
      <c r="AS63">
        <v>0</v>
      </c>
    </row>
    <row r="64" spans="1:45" x14ac:dyDescent="0.3">
      <c r="A64">
        <v>33</v>
      </c>
      <c r="E64">
        <v>91.663944343882861</v>
      </c>
      <c r="F64">
        <v>93.416744343882868</v>
      </c>
      <c r="G64">
        <v>89.911144343882867</v>
      </c>
      <c r="H64">
        <v>1.7528000000000006</v>
      </c>
      <c r="J64">
        <v>1860</v>
      </c>
      <c r="K64">
        <v>1468.75</v>
      </c>
      <c r="L64">
        <v>782.5</v>
      </c>
      <c r="M64">
        <v>2.9706090000000001</v>
      </c>
      <c r="N64">
        <v>1.6930000000000001E-3</v>
      </c>
      <c r="P64">
        <v>26.214191</v>
      </c>
      <c r="Q64">
        <v>8.7093000000000004E-2</v>
      </c>
      <c r="T64">
        <v>4.9127140000000002</v>
      </c>
      <c r="U64">
        <v>1.8599999999999999E-4</v>
      </c>
      <c r="AG64">
        <v>4.8883869999999998</v>
      </c>
      <c r="AH64">
        <v>2.5249999999999999E-3</v>
      </c>
      <c r="AI64">
        <v>2.9727869999999998</v>
      </c>
      <c r="AJ64">
        <v>1.4E-3</v>
      </c>
      <c r="AK64">
        <v>5.1223489999999998</v>
      </c>
      <c r="AL64">
        <v>3.398E-3</v>
      </c>
      <c r="AM64">
        <v>74.43865860297268</v>
      </c>
      <c r="AS64">
        <v>0</v>
      </c>
    </row>
    <row r="65" spans="1:45" x14ac:dyDescent="0.3">
      <c r="A65">
        <v>34</v>
      </c>
      <c r="E65">
        <v>92.705429096646057</v>
      </c>
      <c r="F65">
        <v>94.547829096646069</v>
      </c>
      <c r="G65">
        <v>90.863029096646059</v>
      </c>
      <c r="H65">
        <v>1.8424000000000049</v>
      </c>
      <c r="J65">
        <v>1940</v>
      </c>
      <c r="K65">
        <v>1528.75</v>
      </c>
      <c r="L65">
        <v>822.5</v>
      </c>
      <c r="M65">
        <v>2.967959</v>
      </c>
      <c r="N65">
        <v>3.4699999999999998E-4</v>
      </c>
      <c r="P65">
        <v>26.144086999999999</v>
      </c>
      <c r="Q65">
        <v>1.7859E-2</v>
      </c>
      <c r="R65" t="s">
        <v>44</v>
      </c>
      <c r="T65">
        <v>4.9131229999999997</v>
      </c>
      <c r="U65">
        <v>3.39E-4</v>
      </c>
      <c r="AG65">
        <v>4.8975369999999998</v>
      </c>
      <c r="AH65">
        <v>2.7550000000000001E-3</v>
      </c>
      <c r="AI65">
        <v>2.9656690000000001</v>
      </c>
      <c r="AJ65">
        <v>1.513E-3</v>
      </c>
      <c r="AK65">
        <v>5.1312800000000003</v>
      </c>
      <c r="AL65">
        <v>3.7090000000000001E-3</v>
      </c>
      <c r="AM65">
        <v>74.529141187989168</v>
      </c>
      <c r="AS65">
        <v>0</v>
      </c>
    </row>
    <row r="67" spans="1:45" x14ac:dyDescent="0.3">
      <c r="A67">
        <v>43</v>
      </c>
      <c r="E67">
        <v>104.75903960198185</v>
      </c>
      <c r="F67">
        <v>106.36623960198185</v>
      </c>
      <c r="G67">
        <v>103.15183960198185</v>
      </c>
      <c r="H67">
        <v>1.6071999999999989</v>
      </c>
      <c r="J67">
        <v>1730</v>
      </c>
      <c r="K67">
        <v>1371.25</v>
      </c>
      <c r="L67">
        <v>717.5</v>
      </c>
      <c r="M67">
        <v>2.93398</v>
      </c>
      <c r="N67">
        <v>2.8240000000000001E-3</v>
      </c>
      <c r="P67">
        <v>25.256409000000001</v>
      </c>
      <c r="Q67">
        <v>0.14348900000000001</v>
      </c>
      <c r="T67">
        <v>4.862336</v>
      </c>
      <c r="U67">
        <v>2.6879999999999999E-3</v>
      </c>
      <c r="AG67">
        <v>4.8123180000000003</v>
      </c>
      <c r="AH67">
        <v>2.4520000000000002E-3</v>
      </c>
      <c r="AI67">
        <v>2.959308</v>
      </c>
      <c r="AJ67">
        <v>8.4400000000000002E-4</v>
      </c>
      <c r="AK67">
        <v>5.0312359999999998</v>
      </c>
      <c r="AL67">
        <v>1.3339999999999999E-3</v>
      </c>
      <c r="AM67">
        <v>71.650491752507079</v>
      </c>
      <c r="AS67">
        <v>0</v>
      </c>
    </row>
    <row r="68" spans="1:45" x14ac:dyDescent="0.3">
      <c r="A68">
        <v>44</v>
      </c>
      <c r="E68">
        <v>105.1223868681255</v>
      </c>
      <c r="F68">
        <v>106.8079868681255</v>
      </c>
      <c r="G68">
        <v>103.43678686812549</v>
      </c>
      <c r="H68">
        <v>1.6856000000000009</v>
      </c>
      <c r="J68">
        <v>1800</v>
      </c>
      <c r="K68">
        <v>1423.75</v>
      </c>
      <c r="L68">
        <v>752.5</v>
      </c>
      <c r="M68">
        <v>2.9333459999999998</v>
      </c>
      <c r="N68">
        <v>2.686E-3</v>
      </c>
      <c r="P68">
        <v>25.240017999999999</v>
      </c>
      <c r="Q68">
        <v>0.13645399999999999</v>
      </c>
      <c r="T68">
        <v>4.861783</v>
      </c>
      <c r="U68">
        <v>4.28E-4</v>
      </c>
      <c r="AG68">
        <v>4.8204989999999999</v>
      </c>
      <c r="AH68">
        <v>1.7440000000000001E-3</v>
      </c>
      <c r="AI68">
        <v>2.955066</v>
      </c>
      <c r="AJ68">
        <v>5.9599999999999996E-4</v>
      </c>
      <c r="AK68">
        <v>5.033487</v>
      </c>
      <c r="AL68">
        <v>9.4499999999999998E-4</v>
      </c>
      <c r="AM68">
        <v>71.701482211445708</v>
      </c>
      <c r="AS68">
        <v>0</v>
      </c>
    </row>
    <row r="69" spans="1:45" x14ac:dyDescent="0.3">
      <c r="A69">
        <v>45</v>
      </c>
      <c r="E69">
        <v>106.20632104454715</v>
      </c>
      <c r="F69">
        <v>108.08232104454714</v>
      </c>
      <c r="G69">
        <v>104.33032104454715</v>
      </c>
      <c r="H69">
        <v>1.8759999999999977</v>
      </c>
      <c r="J69">
        <v>1970</v>
      </c>
      <c r="K69">
        <v>1551.25</v>
      </c>
      <c r="L69">
        <v>837.5</v>
      </c>
      <c r="M69">
        <v>2.9312960000000001</v>
      </c>
      <c r="N69">
        <v>3.0300000000000001E-3</v>
      </c>
      <c r="P69">
        <v>25.187158</v>
      </c>
      <c r="Q69">
        <v>0.153837</v>
      </c>
      <c r="T69">
        <v>4.8629870000000004</v>
      </c>
      <c r="U69">
        <v>3.0699999999999998E-4</v>
      </c>
      <c r="AG69">
        <v>4.8334840000000003</v>
      </c>
      <c r="AH69">
        <v>2.3149999999999998E-3</v>
      </c>
      <c r="AI69">
        <v>2.9459050000000002</v>
      </c>
      <c r="AJ69">
        <v>5.6099999999999998E-4</v>
      </c>
      <c r="AK69">
        <v>5.0473720000000002</v>
      </c>
      <c r="AL69">
        <v>1.289E-3</v>
      </c>
      <c r="AM69">
        <v>71.869452597504036</v>
      </c>
      <c r="AS69">
        <v>0</v>
      </c>
    </row>
    <row r="70" spans="1:45" x14ac:dyDescent="0.3">
      <c r="A70">
        <v>46</v>
      </c>
      <c r="E70">
        <v>107.93799488665216</v>
      </c>
      <c r="F70">
        <v>109.55639488665217</v>
      </c>
      <c r="G70">
        <v>106.31959488665217</v>
      </c>
      <c r="H70">
        <v>1.6184000000000012</v>
      </c>
      <c r="J70">
        <v>1740</v>
      </c>
      <c r="K70">
        <v>1378.75</v>
      </c>
      <c r="L70">
        <v>722.5</v>
      </c>
      <c r="M70">
        <v>2.9259270000000002</v>
      </c>
      <c r="N70">
        <v>1.6299999999999999E-3</v>
      </c>
      <c r="P70">
        <v>25.048999999999999</v>
      </c>
      <c r="Q70">
        <v>8.2595000000000002E-2</v>
      </c>
      <c r="T70">
        <v>4.8604279999999997</v>
      </c>
      <c r="U70">
        <v>3.8699999999999997E-4</v>
      </c>
      <c r="AG70">
        <v>4.8265760000000002</v>
      </c>
      <c r="AH70">
        <v>2.2690000000000002E-3</v>
      </c>
      <c r="AI70">
        <v>2.950863</v>
      </c>
      <c r="AJ70">
        <v>7.4899999999999999E-4</v>
      </c>
      <c r="AK70">
        <v>5.0349880000000002</v>
      </c>
      <c r="AL70">
        <v>1.4599999999999999E-3</v>
      </c>
      <c r="AM70">
        <v>71.711141523393664</v>
      </c>
      <c r="AS70">
        <v>0</v>
      </c>
    </row>
    <row r="71" spans="1:45" x14ac:dyDescent="0.3">
      <c r="A71">
        <v>47</v>
      </c>
      <c r="E71">
        <v>107.1962788598495</v>
      </c>
      <c r="F71">
        <v>108.6914788598495</v>
      </c>
      <c r="G71">
        <v>105.7010788598495</v>
      </c>
      <c r="H71">
        <v>1.495199999999997</v>
      </c>
      <c r="J71">
        <v>1630</v>
      </c>
      <c r="K71">
        <v>1296.25</v>
      </c>
      <c r="L71">
        <v>667.5</v>
      </c>
      <c r="M71">
        <v>2.9273289999999998</v>
      </c>
      <c r="N71">
        <v>2.0730000000000002E-3</v>
      </c>
      <c r="P71">
        <v>25.085034</v>
      </c>
      <c r="Q71">
        <v>0.105116</v>
      </c>
      <c r="T71">
        <v>4.8595969999999999</v>
      </c>
      <c r="U71">
        <v>2.5000000000000001E-4</v>
      </c>
      <c r="AG71">
        <v>4.8227270000000004</v>
      </c>
      <c r="AH71">
        <v>1.804E-3</v>
      </c>
      <c r="AI71">
        <v>2.9531890000000001</v>
      </c>
      <c r="AJ71">
        <v>5.9800000000000001E-4</v>
      </c>
      <c r="AK71">
        <v>5.0307769999999996</v>
      </c>
      <c r="AL71">
        <v>1.1609999999999999E-3</v>
      </c>
      <c r="AM71">
        <v>71.650460725508708</v>
      </c>
      <c r="AS71">
        <v>0</v>
      </c>
    </row>
    <row r="72" spans="1:45" x14ac:dyDescent="0.3">
      <c r="A72">
        <v>48</v>
      </c>
      <c r="E72">
        <v>107.35219845822768</v>
      </c>
      <c r="F72">
        <v>108.74659845822768</v>
      </c>
      <c r="G72">
        <v>105.95779845822767</v>
      </c>
      <c r="H72">
        <v>1.3944000000000045</v>
      </c>
      <c r="J72">
        <v>1540</v>
      </c>
      <c r="K72">
        <v>1228.75</v>
      </c>
      <c r="L72">
        <v>622.5</v>
      </c>
      <c r="M72">
        <v>2.926555</v>
      </c>
      <c r="N72">
        <v>1.155E-3</v>
      </c>
      <c r="P72">
        <v>25.065145000000001</v>
      </c>
      <c r="Q72">
        <v>5.8526000000000002E-2</v>
      </c>
      <c r="T72">
        <v>4.8585409999999998</v>
      </c>
      <c r="U72">
        <v>1.6200000000000001E-4</v>
      </c>
      <c r="AG72">
        <v>4.8180249999999996</v>
      </c>
      <c r="AH72">
        <v>1.444E-3</v>
      </c>
      <c r="AI72">
        <v>2.9557540000000002</v>
      </c>
      <c r="AJ72">
        <v>4.8099999999999998E-4</v>
      </c>
      <c r="AK72">
        <v>5.0255660000000004</v>
      </c>
      <c r="AL72">
        <v>9.3000000000000005E-4</v>
      </c>
      <c r="AM72">
        <v>71.568566093409132</v>
      </c>
      <c r="AS72">
        <v>0</v>
      </c>
    </row>
    <row r="73" spans="1:45" x14ac:dyDescent="0.3">
      <c r="A73">
        <v>49</v>
      </c>
      <c r="E73">
        <v>107.37308650438732</v>
      </c>
      <c r="F73">
        <v>108.65548650438731</v>
      </c>
      <c r="G73">
        <v>106.09068650438731</v>
      </c>
      <c r="H73">
        <v>1.2824000000000026</v>
      </c>
      <c r="J73">
        <v>1440</v>
      </c>
      <c r="K73">
        <v>1153.75</v>
      </c>
      <c r="L73">
        <v>572.5</v>
      </c>
      <c r="M73">
        <v>2.9260799999999998</v>
      </c>
      <c r="N73">
        <v>1.031E-3</v>
      </c>
      <c r="P73">
        <v>25.052923</v>
      </c>
      <c r="Q73">
        <v>5.2240000000000002E-2</v>
      </c>
      <c r="T73">
        <v>4.8581490000000001</v>
      </c>
      <c r="U73">
        <v>1.9100000000000001E-4</v>
      </c>
      <c r="AG73">
        <v>4.8149660000000001</v>
      </c>
      <c r="AH73">
        <v>1.1360000000000001E-3</v>
      </c>
      <c r="AI73">
        <v>2.957322</v>
      </c>
      <c r="AJ73">
        <v>4.1800000000000002E-4</v>
      </c>
      <c r="AK73">
        <v>5.0223579999999997</v>
      </c>
      <c r="AL73">
        <v>8.2100000000000001E-4</v>
      </c>
      <c r="AM73">
        <v>71.515389019590557</v>
      </c>
      <c r="AS73">
        <v>0</v>
      </c>
    </row>
    <row r="74" spans="1:45" x14ac:dyDescent="0.3">
      <c r="A74">
        <v>50</v>
      </c>
      <c r="E74">
        <v>107.46407163664585</v>
      </c>
      <c r="F74">
        <v>108.63447163664586</v>
      </c>
      <c r="G74">
        <v>106.29367163664585</v>
      </c>
      <c r="H74">
        <v>1.1704000000000008</v>
      </c>
      <c r="J74">
        <v>1340</v>
      </c>
      <c r="K74">
        <v>1078.75</v>
      </c>
      <c r="L74">
        <v>522.5</v>
      </c>
      <c r="M74">
        <v>2.92543</v>
      </c>
      <c r="N74">
        <v>7.9199999999999995E-4</v>
      </c>
      <c r="P74">
        <v>25.036251</v>
      </c>
      <c r="Q74">
        <v>4.0138E-2</v>
      </c>
      <c r="T74">
        <v>4.857634</v>
      </c>
      <c r="U74">
        <v>1.93E-4</v>
      </c>
      <c r="AG74">
        <v>4.8124399999999996</v>
      </c>
      <c r="AH74">
        <v>1.178E-3</v>
      </c>
      <c r="AI74">
        <v>2.958253</v>
      </c>
      <c r="AJ74">
        <v>4.35E-4</v>
      </c>
      <c r="AK74">
        <v>5.0191699999999999</v>
      </c>
      <c r="AL74">
        <v>8.5099999999999998E-4</v>
      </c>
      <c r="AM74">
        <v>71.45498741344052</v>
      </c>
      <c r="AS74">
        <v>0</v>
      </c>
    </row>
    <row r="75" spans="1:45" x14ac:dyDescent="0.3">
      <c r="A75">
        <v>51</v>
      </c>
      <c r="E75">
        <v>107.48441681678139</v>
      </c>
      <c r="F75">
        <v>108.65481681678139</v>
      </c>
      <c r="G75">
        <v>106.31401681678139</v>
      </c>
      <c r="H75">
        <v>1.1704000000000008</v>
      </c>
      <c r="J75">
        <v>1340</v>
      </c>
      <c r="K75">
        <v>1078.75</v>
      </c>
      <c r="L75">
        <v>522.5</v>
      </c>
      <c r="M75">
        <v>2.925379</v>
      </c>
      <c r="N75">
        <v>9.2000000000000003E-4</v>
      </c>
      <c r="P75">
        <v>25.034932999999999</v>
      </c>
      <c r="Q75">
        <v>4.6607000000000003E-2</v>
      </c>
      <c r="T75">
        <v>4.8576129999999997</v>
      </c>
      <c r="U75">
        <v>2.2599999999999999E-4</v>
      </c>
      <c r="AG75">
        <v>4.812589</v>
      </c>
      <c r="AH75">
        <v>1.1559999999999999E-3</v>
      </c>
      <c r="AI75">
        <v>2.9583159999999999</v>
      </c>
      <c r="AJ75">
        <v>4.2700000000000002E-4</v>
      </c>
      <c r="AK75">
        <v>5.0181589999999998</v>
      </c>
      <c r="AL75">
        <v>8.3500000000000002E-4</v>
      </c>
      <c r="AM75">
        <v>71.444327771629617</v>
      </c>
      <c r="AS75">
        <v>0</v>
      </c>
    </row>
    <row r="76" spans="1:45" x14ac:dyDescent="0.3">
      <c r="A76">
        <v>52</v>
      </c>
      <c r="E76">
        <v>108.10597438372487</v>
      </c>
      <c r="F76">
        <v>109.67957438372487</v>
      </c>
      <c r="G76">
        <v>106.53237438372487</v>
      </c>
      <c r="H76">
        <v>1.573599999999999</v>
      </c>
      <c r="J76">
        <v>1700</v>
      </c>
      <c r="K76">
        <v>1348.75</v>
      </c>
      <c r="L76">
        <v>702.5</v>
      </c>
      <c r="M76">
        <v>2.9253369999999999</v>
      </c>
      <c r="N76">
        <v>9.2699999999999998E-4</v>
      </c>
      <c r="P76">
        <v>25.033856</v>
      </c>
      <c r="Q76">
        <v>4.6984999999999999E-2</v>
      </c>
      <c r="T76">
        <v>4.8593320000000002</v>
      </c>
      <c r="U76">
        <v>1.1E-4</v>
      </c>
      <c r="AG76">
        <v>4.8222690000000004</v>
      </c>
      <c r="AH76">
        <v>1.719E-3</v>
      </c>
      <c r="AI76">
        <v>2.953049</v>
      </c>
      <c r="AJ76">
        <v>5.6999999999999998E-4</v>
      </c>
      <c r="AK76">
        <v>5.0300739999999999</v>
      </c>
      <c r="AL76">
        <v>1.1069999999999999E-3</v>
      </c>
      <c r="AM76">
        <v>71.630248929702404</v>
      </c>
      <c r="AS76">
        <v>0</v>
      </c>
    </row>
    <row r="77" spans="1:45" x14ac:dyDescent="0.3">
      <c r="A77">
        <v>53</v>
      </c>
      <c r="E77">
        <v>108.20975034866407</v>
      </c>
      <c r="F77">
        <v>109.89535034866407</v>
      </c>
      <c r="G77">
        <v>106.52415034866407</v>
      </c>
      <c r="H77">
        <v>1.6856000000000009</v>
      </c>
      <c r="J77">
        <v>1800</v>
      </c>
      <c r="K77">
        <v>1423.75</v>
      </c>
      <c r="L77">
        <v>752.5</v>
      </c>
      <c r="M77">
        <v>2.9254980000000002</v>
      </c>
      <c r="N77">
        <v>1.7080000000000001E-3</v>
      </c>
      <c r="P77">
        <v>25.037998000000002</v>
      </c>
      <c r="Q77">
        <v>8.6565000000000003E-2</v>
      </c>
      <c r="T77">
        <v>4.8598869999999996</v>
      </c>
      <c r="U77">
        <v>3.2000000000000003E-4</v>
      </c>
      <c r="AG77">
        <v>4.8291690000000003</v>
      </c>
      <c r="AH77">
        <v>2.0799999999999998E-3</v>
      </c>
      <c r="AI77">
        <v>2.9492769999999999</v>
      </c>
      <c r="AJ77">
        <v>6.8499999999999995E-4</v>
      </c>
      <c r="AK77">
        <v>5.0337420000000002</v>
      </c>
      <c r="AL77">
        <v>1.335E-3</v>
      </c>
      <c r="AM77">
        <v>71.693357664410954</v>
      </c>
      <c r="AS77">
        <v>0</v>
      </c>
    </row>
    <row r="78" spans="1:45" x14ac:dyDescent="0.3">
      <c r="A78">
        <v>54</v>
      </c>
      <c r="E78">
        <v>108.33363681764186</v>
      </c>
      <c r="F78">
        <v>110.07523681764185</v>
      </c>
      <c r="G78">
        <v>106.59203681764185</v>
      </c>
      <c r="H78">
        <v>1.7415999999999983</v>
      </c>
      <c r="J78">
        <v>1850</v>
      </c>
      <c r="K78">
        <v>1461.25</v>
      </c>
      <c r="L78">
        <v>777.5</v>
      </c>
      <c r="M78">
        <v>2.9253979999999999</v>
      </c>
      <c r="N78">
        <v>1.8600000000000001E-3</v>
      </c>
      <c r="P78">
        <v>25.035420999999999</v>
      </c>
      <c r="Q78">
        <v>9.4223000000000001E-2</v>
      </c>
      <c r="T78">
        <v>4.8600560000000002</v>
      </c>
      <c r="U78">
        <v>3.19E-4</v>
      </c>
      <c r="AG78">
        <v>4.8316359999999996</v>
      </c>
      <c r="AH78">
        <v>2.147E-3</v>
      </c>
      <c r="AI78">
        <v>2.9475069999999999</v>
      </c>
      <c r="AJ78">
        <v>7.0500000000000001E-4</v>
      </c>
      <c r="AK78">
        <v>5.0354640000000002</v>
      </c>
      <c r="AL78">
        <v>1.3780000000000001E-3</v>
      </c>
      <c r="AM78">
        <v>71.711457444213011</v>
      </c>
      <c r="AS78">
        <v>0</v>
      </c>
    </row>
    <row r="79" spans="1:45" x14ac:dyDescent="0.3">
      <c r="A79">
        <v>55</v>
      </c>
      <c r="E79">
        <v>108.23461946740204</v>
      </c>
      <c r="F79">
        <v>110.13301946740205</v>
      </c>
      <c r="G79">
        <v>106.33621946740205</v>
      </c>
      <c r="H79">
        <v>1.8984000000000023</v>
      </c>
      <c r="J79">
        <v>1990</v>
      </c>
      <c r="K79">
        <v>1566.25</v>
      </c>
      <c r="L79">
        <v>847.5</v>
      </c>
      <c r="M79">
        <v>2.926237</v>
      </c>
      <c r="N79">
        <v>3.0609999999999999E-3</v>
      </c>
      <c r="P79">
        <v>25.056975000000001</v>
      </c>
      <c r="Q79">
        <v>0.15515999999999999</v>
      </c>
      <c r="T79">
        <v>4.8610170000000004</v>
      </c>
      <c r="U79">
        <v>2.0000000000000001E-4</v>
      </c>
      <c r="AG79">
        <v>4.8380179999999999</v>
      </c>
      <c r="AH79">
        <v>1.008E-3</v>
      </c>
      <c r="AI79">
        <v>2.940731</v>
      </c>
      <c r="AJ79">
        <v>5.5800000000000001E-4</v>
      </c>
      <c r="AK79">
        <v>5.0534239999999997</v>
      </c>
      <c r="AL79">
        <v>6.2E-4</v>
      </c>
      <c r="AM79">
        <v>71.896627339114104</v>
      </c>
      <c r="AS79">
        <v>0</v>
      </c>
    </row>
    <row r="80" spans="1:45" x14ac:dyDescent="0.3">
      <c r="A80">
        <v>56</v>
      </c>
      <c r="E80">
        <v>108.18976576416247</v>
      </c>
      <c r="F80">
        <v>110.17776576416247</v>
      </c>
      <c r="G80">
        <v>106.20176576416247</v>
      </c>
      <c r="H80">
        <v>1.9879999999999995</v>
      </c>
      <c r="J80">
        <v>2070</v>
      </c>
      <c r="K80">
        <v>1626.25</v>
      </c>
      <c r="L80">
        <v>887.5</v>
      </c>
      <c r="M80">
        <v>2.926688</v>
      </c>
      <c r="N80">
        <v>3.1449999999999998E-3</v>
      </c>
      <c r="P80">
        <v>25.068563000000001</v>
      </c>
      <c r="Q80">
        <v>0.159412</v>
      </c>
      <c r="T80">
        <v>4.8624419999999997</v>
      </c>
      <c r="U80">
        <v>2.24E-4</v>
      </c>
      <c r="AG80">
        <v>4.8453869999999997</v>
      </c>
      <c r="AH80">
        <v>4.0330000000000001E-3</v>
      </c>
      <c r="AI80">
        <v>2.9391340000000001</v>
      </c>
      <c r="AJ80">
        <v>2.2179999999999999E-3</v>
      </c>
      <c r="AK80">
        <v>5.0491809999999999</v>
      </c>
      <c r="AL80">
        <v>2.464E-3</v>
      </c>
      <c r="AM80">
        <v>71.906606881101183</v>
      </c>
      <c r="AS80">
        <v>0</v>
      </c>
    </row>
    <row r="81" spans="1:45" x14ac:dyDescent="0.3">
      <c r="A81">
        <v>57</v>
      </c>
      <c r="E81">
        <v>110.15107269267875</v>
      </c>
      <c r="F81">
        <v>112.23987269267876</v>
      </c>
      <c r="G81">
        <v>108.06227269267875</v>
      </c>
      <c r="H81">
        <v>2.0888000000000062</v>
      </c>
      <c r="J81">
        <v>2160</v>
      </c>
      <c r="K81">
        <v>1693.75</v>
      </c>
      <c r="L81">
        <v>932.5</v>
      </c>
      <c r="M81">
        <v>2.9221659999999998</v>
      </c>
      <c r="N81">
        <v>2.92E-4</v>
      </c>
      <c r="P81">
        <v>24.952525000000001</v>
      </c>
      <c r="Q81">
        <v>1.4772E-2</v>
      </c>
      <c r="T81">
        <v>4.8637699999999997</v>
      </c>
      <c r="U81">
        <v>1.9900000000000001E-4</v>
      </c>
      <c r="AG81">
        <v>4.8576579999999998</v>
      </c>
      <c r="AH81">
        <v>8.6899999999999998E-4</v>
      </c>
      <c r="AI81">
        <v>2.9310990000000001</v>
      </c>
      <c r="AJ81">
        <v>7.5900000000000002E-4</v>
      </c>
      <c r="AK81">
        <v>5.0657189999999996</v>
      </c>
      <c r="AL81">
        <v>1.013E-3</v>
      </c>
      <c r="AM81">
        <v>72.127107824417138</v>
      </c>
      <c r="AS81">
        <v>0</v>
      </c>
    </row>
    <row r="82" spans="1:45" x14ac:dyDescent="0.3">
      <c r="A82">
        <v>58</v>
      </c>
      <c r="E82">
        <v>109.47894966341408</v>
      </c>
      <c r="F82">
        <v>111.66854966341408</v>
      </c>
      <c r="G82">
        <v>107.28934966341409</v>
      </c>
      <c r="H82">
        <v>2.1895999999999987</v>
      </c>
      <c r="J82">
        <v>2250</v>
      </c>
      <c r="K82">
        <v>1761.25</v>
      </c>
      <c r="L82">
        <v>977.5</v>
      </c>
      <c r="M82">
        <v>2.9242140000000001</v>
      </c>
      <c r="N82">
        <v>1.312E-3</v>
      </c>
      <c r="P82">
        <v>25.005040999999999</v>
      </c>
      <c r="Q82">
        <v>6.6445000000000004E-2</v>
      </c>
      <c r="R82" t="s">
        <v>44</v>
      </c>
      <c r="T82">
        <v>4.8655080000000002</v>
      </c>
      <c r="U82">
        <v>2.8600000000000001E-4</v>
      </c>
      <c r="AG82">
        <v>4.8661070000000004</v>
      </c>
      <c r="AH82">
        <v>1.6000000000000001E-3</v>
      </c>
      <c r="AI82">
        <v>2.9250400000000001</v>
      </c>
      <c r="AJ82">
        <v>2.3210000000000001E-3</v>
      </c>
      <c r="AK82">
        <v>5.0734839999999997</v>
      </c>
      <c r="AL82">
        <v>1.377E-3</v>
      </c>
      <c r="AM82">
        <v>72.21372684449517</v>
      </c>
      <c r="AS82">
        <v>0</v>
      </c>
    </row>
    <row r="84" spans="1:45" x14ac:dyDescent="0.3">
      <c r="A84" t="s">
        <v>85</v>
      </c>
    </row>
    <row r="85" spans="1:45" x14ac:dyDescent="0.3">
      <c r="A85">
        <v>6</v>
      </c>
      <c r="C85" t="s">
        <v>72</v>
      </c>
      <c r="D85">
        <v>64</v>
      </c>
      <c r="E85">
        <v>117.85918080015134</v>
      </c>
      <c r="F85">
        <v>119.24238080015134</v>
      </c>
      <c r="G85">
        <v>116.47598080015135</v>
      </c>
      <c r="H85">
        <v>1.3831999999999951</v>
      </c>
      <c r="J85">
        <v>1530</v>
      </c>
      <c r="K85">
        <v>1221.25</v>
      </c>
      <c r="L85">
        <v>617.5</v>
      </c>
      <c r="M85">
        <v>2.9012190000000002</v>
      </c>
      <c r="N85">
        <v>4.9979999999999998E-3</v>
      </c>
      <c r="P85">
        <v>24.419775999999999</v>
      </c>
      <c r="Q85">
        <v>0.25113000000000002</v>
      </c>
    </row>
    <row r="86" spans="1:45" x14ac:dyDescent="0.3">
      <c r="A86">
        <v>7</v>
      </c>
      <c r="E86">
        <v>119.0399849806174</v>
      </c>
      <c r="F86">
        <v>120.7479849806174</v>
      </c>
      <c r="G86">
        <v>117.33198498061741</v>
      </c>
      <c r="H86">
        <v>1.7079999999999984</v>
      </c>
      <c r="J86">
        <v>1820</v>
      </c>
      <c r="K86">
        <v>1438.75</v>
      </c>
      <c r="L86">
        <v>762.5</v>
      </c>
      <c r="M86">
        <v>2.8996249999999999</v>
      </c>
      <c r="N86">
        <v>5.2820000000000002E-3</v>
      </c>
      <c r="P86">
        <v>24.379529000000002</v>
      </c>
      <c r="Q86">
        <v>0.26529399999999997</v>
      </c>
      <c r="T86">
        <v>4.8394890000000004</v>
      </c>
      <c r="U86">
        <v>1.299E-3</v>
      </c>
      <c r="AG86">
        <v>4.7823079999999996</v>
      </c>
      <c r="AH86">
        <v>7.2659999999999999E-3</v>
      </c>
      <c r="AI86">
        <v>2.9415550000000001</v>
      </c>
      <c r="AJ86">
        <v>1.6739999999999999E-3</v>
      </c>
      <c r="AK86">
        <v>5.0116139999999998</v>
      </c>
      <c r="AL86">
        <v>3.4450000000000001E-3</v>
      </c>
      <c r="AM86">
        <v>70.500488000000004</v>
      </c>
      <c r="AN86">
        <v>0.31818800000000003</v>
      </c>
    </row>
    <row r="87" spans="1:45" x14ac:dyDescent="0.3">
      <c r="A87">
        <v>8</v>
      </c>
      <c r="E87">
        <v>118.89369971388678</v>
      </c>
      <c r="F87">
        <v>120.61289971388678</v>
      </c>
      <c r="G87">
        <v>117.17449971388677</v>
      </c>
      <c r="H87">
        <v>1.7192000000000007</v>
      </c>
      <c r="J87">
        <v>1830</v>
      </c>
      <c r="K87">
        <v>1446.25</v>
      </c>
      <c r="L87">
        <v>767.5</v>
      </c>
      <c r="M87">
        <v>2.8999990000000002</v>
      </c>
      <c r="N87">
        <v>4.5019999999999999E-3</v>
      </c>
      <c r="P87">
        <v>24.388984000000001</v>
      </c>
      <c r="Q87">
        <v>0.22615299999999999</v>
      </c>
      <c r="T87">
        <v>4.8356570000000003</v>
      </c>
      <c r="U87">
        <v>2.3000000000000001E-4</v>
      </c>
      <c r="AG87">
        <v>4.7803789999999999</v>
      </c>
      <c r="AH87">
        <v>6.0400000000000002E-3</v>
      </c>
      <c r="AI87">
        <v>2.9456250000000002</v>
      </c>
      <c r="AJ87">
        <v>3.3140000000000001E-3</v>
      </c>
      <c r="AK87">
        <v>4.9975630000000004</v>
      </c>
      <c r="AL87">
        <v>3.1440000000000001E-3</v>
      </c>
      <c r="AM87">
        <v>70.371690999999998</v>
      </c>
      <c r="AN87">
        <v>0.30634099999999997</v>
      </c>
    </row>
    <row r="88" spans="1:45" x14ac:dyDescent="0.3">
      <c r="A88">
        <v>9</v>
      </c>
      <c r="E88">
        <v>119.14226441933623</v>
      </c>
      <c r="F88">
        <v>121.05186441933623</v>
      </c>
      <c r="G88">
        <v>117.23266441933623</v>
      </c>
      <c r="H88">
        <v>1.9095999999999975</v>
      </c>
      <c r="J88">
        <v>2000</v>
      </c>
      <c r="K88">
        <v>1573.75</v>
      </c>
      <c r="L88">
        <v>852.5</v>
      </c>
      <c r="M88">
        <v>2.9000840000000001</v>
      </c>
      <c r="N88">
        <v>4.2649999999999997E-3</v>
      </c>
      <c r="P88">
        <v>24.391127999999998</v>
      </c>
      <c r="Q88">
        <v>0.21423200000000001</v>
      </c>
      <c r="T88">
        <v>4.836322</v>
      </c>
      <c r="U88">
        <v>5.8100000000000003E-4</v>
      </c>
      <c r="AG88">
        <v>4.7818120000000004</v>
      </c>
      <c r="AH88">
        <v>6.3680000000000004E-3</v>
      </c>
      <c r="AI88">
        <v>2.9440249999999999</v>
      </c>
      <c r="AJ88">
        <v>3.4870000000000001E-3</v>
      </c>
      <c r="AK88">
        <v>4.9974480000000003</v>
      </c>
      <c r="AL88">
        <v>3.31E-3</v>
      </c>
      <c r="AM88">
        <v>70.352935000000002</v>
      </c>
      <c r="AN88">
        <v>0.32271499999999997</v>
      </c>
    </row>
    <row r="89" spans="1:45" x14ac:dyDescent="0.3">
      <c r="A89">
        <v>10</v>
      </c>
      <c r="E89">
        <v>120.10993054291919</v>
      </c>
      <c r="F89">
        <v>122.0867305429192</v>
      </c>
      <c r="G89">
        <v>118.13313054291919</v>
      </c>
      <c r="H89">
        <v>1.9768000000000043</v>
      </c>
      <c r="J89">
        <v>2060</v>
      </c>
      <c r="K89">
        <v>1618.75</v>
      </c>
      <c r="L89">
        <v>882.5</v>
      </c>
      <c r="M89">
        <v>2.898101</v>
      </c>
      <c r="N89">
        <v>4.4720000000000003E-3</v>
      </c>
      <c r="P89">
        <v>24.341132000000002</v>
      </c>
      <c r="Q89">
        <v>0.224469</v>
      </c>
      <c r="T89">
        <v>4.8362150000000002</v>
      </c>
      <c r="U89">
        <v>1.74E-4</v>
      </c>
      <c r="AG89">
        <v>4.8009500000000003</v>
      </c>
      <c r="AH89">
        <v>2.366E-3</v>
      </c>
      <c r="AI89">
        <v>2.9305539999999999</v>
      </c>
      <c r="AJ89">
        <v>9.77E-4</v>
      </c>
      <c r="AK89">
        <v>5.0200810000000002</v>
      </c>
      <c r="AL89">
        <v>1.078E-3</v>
      </c>
      <c r="AM89">
        <v>70.629749000000004</v>
      </c>
      <c r="AN89">
        <v>0.11031299999999999</v>
      </c>
    </row>
    <row r="90" spans="1:45" x14ac:dyDescent="0.3">
      <c r="A90">
        <v>11</v>
      </c>
      <c r="E90">
        <v>120.48865253774865</v>
      </c>
      <c r="F90">
        <v>122.62225253774865</v>
      </c>
      <c r="G90">
        <v>118.35505253774865</v>
      </c>
      <c r="H90">
        <v>2.1336000000000013</v>
      </c>
      <c r="J90">
        <v>2200</v>
      </c>
      <c r="K90">
        <v>1723.75</v>
      </c>
      <c r="L90">
        <v>952.5</v>
      </c>
      <c r="M90">
        <v>2.8977740000000001</v>
      </c>
      <c r="N90">
        <v>4.1159999999999999E-3</v>
      </c>
      <c r="P90">
        <v>24.332886999999999</v>
      </c>
      <c r="Q90">
        <v>0.206599</v>
      </c>
      <c r="T90">
        <v>4.8379719999999997</v>
      </c>
      <c r="U90">
        <v>3.3300000000000002E-4</v>
      </c>
      <c r="AG90">
        <v>4.8085690000000003</v>
      </c>
      <c r="AH90">
        <v>1.186E-3</v>
      </c>
      <c r="AI90">
        <v>2.9271240000000001</v>
      </c>
      <c r="AJ90">
        <v>4.86E-4</v>
      </c>
      <c r="AK90">
        <v>5.0227360000000001</v>
      </c>
      <c r="AL90">
        <v>5.3799999999999996E-4</v>
      </c>
      <c r="AM90">
        <v>70.696400999999994</v>
      </c>
      <c r="AN90">
        <v>5.5209000000000001E-2</v>
      </c>
    </row>
    <row r="91" spans="1:45" x14ac:dyDescent="0.3">
      <c r="A91">
        <v>12</v>
      </c>
      <c r="E91">
        <v>120.38587522786368</v>
      </c>
      <c r="F91">
        <v>122.68747522786369</v>
      </c>
      <c r="G91">
        <v>118.08427522786369</v>
      </c>
      <c r="H91">
        <v>2.3016000000000005</v>
      </c>
      <c r="J91">
        <v>2350</v>
      </c>
      <c r="K91">
        <v>1836.25</v>
      </c>
      <c r="L91">
        <v>1027.5</v>
      </c>
      <c r="M91">
        <v>2.8985829999999999</v>
      </c>
      <c r="N91">
        <v>2.7139999999999998E-3</v>
      </c>
      <c r="P91">
        <v>24.353259999999999</v>
      </c>
      <c r="Q91">
        <v>0.13626199999999999</v>
      </c>
      <c r="T91">
        <v>4.8419639999999999</v>
      </c>
      <c r="U91">
        <v>8.1899999999999996E-4</v>
      </c>
      <c r="AG91">
        <v>4.838838</v>
      </c>
      <c r="AH91">
        <v>3.7320000000000001E-3</v>
      </c>
      <c r="AI91">
        <v>2.9131369999999999</v>
      </c>
      <c r="AJ91">
        <v>3.8530000000000001E-3</v>
      </c>
      <c r="AK91">
        <v>5.0483919999999998</v>
      </c>
      <c r="AL91">
        <v>3.3050000000000002E-3</v>
      </c>
      <c r="AM91">
        <v>71.163133000000002</v>
      </c>
      <c r="AN91">
        <v>0.26862200000000003</v>
      </c>
    </row>
    <row r="92" spans="1:45" x14ac:dyDescent="0.3">
      <c r="A92">
        <v>13</v>
      </c>
      <c r="E92">
        <v>120.67890279076209</v>
      </c>
      <c r="F92">
        <v>123.07010279076209</v>
      </c>
      <c r="G92">
        <v>118.2877027907621</v>
      </c>
      <c r="H92">
        <v>2.3911999999999978</v>
      </c>
      <c r="J92">
        <v>2430</v>
      </c>
      <c r="K92">
        <v>1896.25</v>
      </c>
      <c r="L92">
        <v>1067.5</v>
      </c>
      <c r="M92">
        <v>2.8982209999999999</v>
      </c>
      <c r="N92">
        <v>2.4889999999999999E-3</v>
      </c>
      <c r="P92">
        <v>24.344149999999999</v>
      </c>
      <c r="Q92">
        <v>0.124961</v>
      </c>
      <c r="T92">
        <v>4.8411679999999997</v>
      </c>
      <c r="U92">
        <v>4.8799999999999999E-4</v>
      </c>
      <c r="AG92">
        <v>4.8304109999999998</v>
      </c>
      <c r="AH92">
        <v>2.918E-3</v>
      </c>
      <c r="AI92">
        <v>2.9165040000000002</v>
      </c>
      <c r="AJ92">
        <v>1.07E-3</v>
      </c>
      <c r="AK92">
        <v>5.0422209999999996</v>
      </c>
      <c r="AL92">
        <v>2.8149999999999998E-3</v>
      </c>
      <c r="AM92">
        <v>71.034373000000002</v>
      </c>
      <c r="AN92">
        <v>0.162712</v>
      </c>
    </row>
    <row r="93" spans="1:45" x14ac:dyDescent="0.3">
      <c r="A93">
        <v>14</v>
      </c>
      <c r="E93">
        <v>120.27831311033876</v>
      </c>
      <c r="F93">
        <v>122.18791311033876</v>
      </c>
      <c r="G93">
        <v>118.36871311033876</v>
      </c>
      <c r="H93">
        <v>1.9095999999999975</v>
      </c>
      <c r="J93">
        <v>2000</v>
      </c>
      <c r="K93">
        <v>1573.75</v>
      </c>
      <c r="L93">
        <v>852.5</v>
      </c>
      <c r="M93">
        <v>2.8974880000000001</v>
      </c>
      <c r="N93">
        <v>2.1280000000000001E-3</v>
      </c>
      <c r="P93">
        <v>24.325676999999999</v>
      </c>
      <c r="Q93">
        <v>0.106809</v>
      </c>
      <c r="T93">
        <v>4.838705</v>
      </c>
      <c r="U93">
        <v>5.1400000000000003E-4</v>
      </c>
      <c r="AG93">
        <v>4.8058230000000002</v>
      </c>
      <c r="AH93">
        <v>5.5529999999999998E-3</v>
      </c>
      <c r="AI93">
        <v>2.929983</v>
      </c>
      <c r="AJ93">
        <v>3.0019999999999999E-3</v>
      </c>
      <c r="AK93">
        <v>5.0233889999999999</v>
      </c>
      <c r="AL93">
        <v>3.2000000000000002E-3</v>
      </c>
      <c r="AM93">
        <v>70.734233000000003</v>
      </c>
      <c r="AN93">
        <v>0.28558699999999998</v>
      </c>
    </row>
    <row r="94" spans="1:45" x14ac:dyDescent="0.3">
      <c r="A94">
        <v>15</v>
      </c>
      <c r="E94">
        <v>120.22729830952069</v>
      </c>
      <c r="F94">
        <v>122.02489830952069</v>
      </c>
      <c r="G94">
        <v>118.4296983095207</v>
      </c>
      <c r="H94">
        <v>1.7975999999999956</v>
      </c>
      <c r="J94">
        <v>1900</v>
      </c>
      <c r="K94">
        <v>1498.75</v>
      </c>
      <c r="L94">
        <v>802.5</v>
      </c>
      <c r="M94">
        <v>2.8972220000000002</v>
      </c>
      <c r="N94">
        <v>2.1020000000000001E-3</v>
      </c>
      <c r="P94">
        <v>24.318978000000001</v>
      </c>
      <c r="Q94">
        <v>0.105474</v>
      </c>
      <c r="T94">
        <v>4.837148</v>
      </c>
      <c r="U94">
        <v>9.2199999999999997E-4</v>
      </c>
      <c r="AG94">
        <v>4.8025909999999996</v>
      </c>
      <c r="AH94">
        <v>5.9680000000000002E-3</v>
      </c>
      <c r="AI94">
        <v>2.9316490000000002</v>
      </c>
      <c r="AJ94">
        <v>1.9E-3</v>
      </c>
      <c r="AK94">
        <v>5.0096949999999998</v>
      </c>
      <c r="AL94">
        <v>3.6879999999999999E-3</v>
      </c>
      <c r="AM94">
        <v>70.534049999999993</v>
      </c>
      <c r="AN94">
        <v>0.28309400000000001</v>
      </c>
    </row>
    <row r="95" spans="1:45" x14ac:dyDescent="0.3">
      <c r="A95">
        <v>16</v>
      </c>
      <c r="E95">
        <v>120.17286844551229</v>
      </c>
      <c r="F95">
        <v>121.85846844551229</v>
      </c>
      <c r="G95">
        <v>118.48726844551229</v>
      </c>
      <c r="H95">
        <v>1.6856000000000009</v>
      </c>
      <c r="J95">
        <v>1800</v>
      </c>
      <c r="K95">
        <v>1423.75</v>
      </c>
      <c r="L95">
        <v>752.5</v>
      </c>
      <c r="M95">
        <v>2.8969640000000001</v>
      </c>
      <c r="N95">
        <v>2.0409999999999998E-3</v>
      </c>
      <c r="P95">
        <v>24.312491999999999</v>
      </c>
      <c r="Q95">
        <v>0.10241400000000001</v>
      </c>
      <c r="T95">
        <v>4.837834</v>
      </c>
      <c r="U95">
        <v>1.371E-3</v>
      </c>
      <c r="AG95">
        <v>4.79366</v>
      </c>
      <c r="AH95">
        <v>6.2700000000000004E-3</v>
      </c>
      <c r="AI95">
        <v>2.937446</v>
      </c>
      <c r="AJ95">
        <v>3.3860000000000001E-3</v>
      </c>
      <c r="AK95">
        <v>5.0073040000000004</v>
      </c>
      <c r="AL95">
        <v>3.2490000000000002E-3</v>
      </c>
      <c r="AM95">
        <v>70.508439999999993</v>
      </c>
      <c r="AN95">
        <v>0.31657099999999999</v>
      </c>
    </row>
    <row r="96" spans="1:45" x14ac:dyDescent="0.3">
      <c r="A96">
        <v>17</v>
      </c>
      <c r="E96">
        <v>120.33426800323842</v>
      </c>
      <c r="F96">
        <v>121.90786800323842</v>
      </c>
      <c r="G96">
        <v>118.76066800323842</v>
      </c>
      <c r="H96">
        <v>1.573599999999999</v>
      </c>
      <c r="J96">
        <v>1700</v>
      </c>
      <c r="K96">
        <v>1348.75</v>
      </c>
      <c r="L96">
        <v>702.5</v>
      </c>
      <c r="M96">
        <v>2.896217</v>
      </c>
      <c r="N96">
        <v>2.313E-3</v>
      </c>
      <c r="P96">
        <v>24.293672000000001</v>
      </c>
      <c r="Q96">
        <v>0.11602800000000001</v>
      </c>
      <c r="T96">
        <v>4.836989</v>
      </c>
      <c r="U96">
        <v>1.92E-3</v>
      </c>
      <c r="AG96">
        <v>4.7903070000000003</v>
      </c>
      <c r="AH96">
        <v>5.3480000000000003E-3</v>
      </c>
      <c r="AI96">
        <v>2.9391699999999998</v>
      </c>
      <c r="AJ96">
        <v>2.8990000000000001E-3</v>
      </c>
      <c r="AK96">
        <v>5.0047269999999999</v>
      </c>
      <c r="AL96">
        <v>2.7750000000000001E-3</v>
      </c>
      <c r="AM96">
        <v>70.464202</v>
      </c>
      <c r="AN96">
        <v>0.270314</v>
      </c>
    </row>
    <row r="97" spans="1:40" x14ac:dyDescent="0.3">
      <c r="A97">
        <v>18</v>
      </c>
      <c r="E97">
        <v>120.32134143333759</v>
      </c>
      <c r="F97">
        <v>121.78294143333758</v>
      </c>
      <c r="G97">
        <v>118.85974143333759</v>
      </c>
      <c r="H97">
        <v>1.4615999999999971</v>
      </c>
      <c r="J97">
        <v>1600</v>
      </c>
      <c r="K97">
        <v>1273.75</v>
      </c>
      <c r="L97">
        <v>652.5</v>
      </c>
      <c r="M97">
        <v>2.8958659999999998</v>
      </c>
      <c r="N97">
        <v>2.248E-3</v>
      </c>
      <c r="P97">
        <v>24.284846999999999</v>
      </c>
      <c r="Q97">
        <v>0.112738</v>
      </c>
      <c r="T97">
        <v>4.8367449999999996</v>
      </c>
      <c r="U97">
        <v>2.372E-3</v>
      </c>
      <c r="AG97">
        <v>4.7884349999999998</v>
      </c>
      <c r="AH97">
        <v>4.8260000000000004E-3</v>
      </c>
      <c r="AI97">
        <v>2.9406690000000002</v>
      </c>
      <c r="AJ97">
        <v>2.6229999999999999E-3</v>
      </c>
      <c r="AK97">
        <v>5.0016449999999999</v>
      </c>
      <c r="AL97">
        <v>2.503E-3</v>
      </c>
      <c r="AM97">
        <v>70.429159999999996</v>
      </c>
      <c r="AN97">
        <v>0.24404200000000001</v>
      </c>
    </row>
    <row r="98" spans="1:40" x14ac:dyDescent="0.3">
      <c r="A98">
        <v>19</v>
      </c>
      <c r="E98">
        <v>120.25839345429847</v>
      </c>
      <c r="F98">
        <v>121.49599345429847</v>
      </c>
      <c r="G98">
        <v>119.02079345429847</v>
      </c>
      <c r="H98">
        <v>1.2376000000000005</v>
      </c>
      <c r="J98">
        <v>1400</v>
      </c>
      <c r="K98">
        <v>1123.75</v>
      </c>
      <c r="L98">
        <v>552.5</v>
      </c>
      <c r="M98">
        <v>2.8952490000000002</v>
      </c>
      <c r="N98">
        <v>2.3389999999999999E-3</v>
      </c>
      <c r="P98">
        <v>24.269328000000002</v>
      </c>
      <c r="Q98">
        <v>0.117271</v>
      </c>
      <c r="T98">
        <v>4.8345690000000001</v>
      </c>
      <c r="U98">
        <v>3.97E-4</v>
      </c>
      <c r="AG98">
        <v>4.7838430000000001</v>
      </c>
      <c r="AH98">
        <v>4.8679999999999999E-3</v>
      </c>
      <c r="AI98">
        <v>2.9443069999999998</v>
      </c>
      <c r="AJ98">
        <v>2.663E-3</v>
      </c>
      <c r="AK98">
        <v>4.9929240000000004</v>
      </c>
      <c r="AL98">
        <v>2.5219999999999999E-3</v>
      </c>
      <c r="AM98">
        <v>70.325844000000004</v>
      </c>
      <c r="AN98">
        <v>0.24646999999999999</v>
      </c>
    </row>
    <row r="100" spans="1:40" x14ac:dyDescent="0.3">
      <c r="A100">
        <v>27</v>
      </c>
      <c r="E100">
        <v>129.55549791833664</v>
      </c>
      <c r="F100">
        <v>130.71469791833664</v>
      </c>
      <c r="G100">
        <v>128.39629791833664</v>
      </c>
      <c r="H100">
        <v>1.1591999999999985</v>
      </c>
      <c r="J100">
        <v>1330</v>
      </c>
      <c r="K100">
        <v>1071.25</v>
      </c>
      <c r="L100">
        <v>517.5</v>
      </c>
      <c r="M100">
        <v>2.8747449999999999</v>
      </c>
      <c r="N100">
        <v>1.109E-3</v>
      </c>
      <c r="P100">
        <v>23.757356999999999</v>
      </c>
      <c r="Q100">
        <v>5.5233999999999998E-2</v>
      </c>
      <c r="T100">
        <v>4.8092689999999996</v>
      </c>
      <c r="U100">
        <v>1.1559999999999999E-3</v>
      </c>
      <c r="AG100">
        <v>4.7536199999999997</v>
      </c>
      <c r="AH100">
        <v>3.5569999999999998E-3</v>
      </c>
      <c r="AI100">
        <v>2.9370980000000002</v>
      </c>
      <c r="AJ100">
        <v>1.059E-3</v>
      </c>
      <c r="AK100">
        <v>4.9463340000000002</v>
      </c>
      <c r="AL100">
        <v>2.1900000000000001E-3</v>
      </c>
      <c r="AM100">
        <v>69.059950000000001</v>
      </c>
      <c r="AN100">
        <v>0.16647500000000001</v>
      </c>
    </row>
    <row r="101" spans="1:40" x14ac:dyDescent="0.3">
      <c r="A101">
        <v>28</v>
      </c>
      <c r="E101">
        <v>129.94920839284993</v>
      </c>
      <c r="F101">
        <v>131.28648839284995</v>
      </c>
      <c r="G101">
        <v>128.61192839284993</v>
      </c>
      <c r="H101">
        <v>1.3372800000000069</v>
      </c>
      <c r="J101">
        <v>1489</v>
      </c>
      <c r="K101">
        <v>1190.5</v>
      </c>
      <c r="L101">
        <v>597</v>
      </c>
      <c r="M101">
        <v>2.874479</v>
      </c>
      <c r="N101">
        <v>1.3730000000000001E-3</v>
      </c>
      <c r="P101">
        <v>23.750754000000001</v>
      </c>
      <c r="Q101">
        <v>6.8381999999999998E-2</v>
      </c>
      <c r="T101">
        <v>4.8110819999999999</v>
      </c>
      <c r="U101">
        <v>1.635E-3</v>
      </c>
      <c r="AG101">
        <v>4.7520360000000004</v>
      </c>
      <c r="AH101">
        <v>2.6809999999999998E-3</v>
      </c>
      <c r="AI101">
        <v>2.9380109999999999</v>
      </c>
      <c r="AJ101">
        <v>8.0000000000000004E-4</v>
      </c>
      <c r="AK101">
        <v>4.9531470000000004</v>
      </c>
      <c r="AL101">
        <v>1.6590000000000001E-3</v>
      </c>
      <c r="AM101">
        <v>69.153541000000004</v>
      </c>
      <c r="AN101">
        <v>0.12573500000000001</v>
      </c>
    </row>
    <row r="102" spans="1:40" x14ac:dyDescent="0.3">
      <c r="A102">
        <v>29</v>
      </c>
      <c r="E102">
        <v>130.21125616613978</v>
      </c>
      <c r="F102">
        <v>131.74005616613977</v>
      </c>
      <c r="G102">
        <v>128.68245616613976</v>
      </c>
      <c r="H102">
        <v>1.5288000000000039</v>
      </c>
      <c r="J102">
        <v>1660</v>
      </c>
      <c r="K102">
        <v>1318.75</v>
      </c>
      <c r="L102">
        <v>682.5</v>
      </c>
      <c r="M102">
        <v>2.8745319999999999</v>
      </c>
      <c r="N102">
        <v>1.2669999999999999E-3</v>
      </c>
      <c r="P102">
        <v>23.752065999999999</v>
      </c>
      <c r="Q102">
        <v>6.3061000000000006E-2</v>
      </c>
      <c r="T102">
        <v>4.8097890000000003</v>
      </c>
      <c r="U102">
        <v>6.7299999999999999E-4</v>
      </c>
      <c r="AG102">
        <v>4.7511869999999998</v>
      </c>
      <c r="AH102">
        <v>3.0230000000000001E-3</v>
      </c>
      <c r="AI102">
        <v>2.9323839999999999</v>
      </c>
      <c r="AJ102">
        <v>1.6069999999999999E-3</v>
      </c>
      <c r="AK102">
        <v>4.9627119999999998</v>
      </c>
      <c r="AL102">
        <v>1.815E-3</v>
      </c>
      <c r="AM102">
        <v>69.142017999999993</v>
      </c>
      <c r="AN102">
        <v>0.154866</v>
      </c>
    </row>
    <row r="103" spans="1:40" x14ac:dyDescent="0.3">
      <c r="A103">
        <v>30</v>
      </c>
      <c r="E103">
        <v>130.87117374299564</v>
      </c>
      <c r="F103">
        <v>132.54557374299563</v>
      </c>
      <c r="G103">
        <v>129.19677374299562</v>
      </c>
      <c r="H103">
        <v>1.6744000000000057</v>
      </c>
      <c r="J103">
        <v>1790</v>
      </c>
      <c r="K103">
        <v>1416.25</v>
      </c>
      <c r="L103">
        <v>747.5</v>
      </c>
      <c r="M103">
        <v>2.8736060000000001</v>
      </c>
      <c r="N103">
        <v>1.462E-3</v>
      </c>
      <c r="P103">
        <v>23.729130000000001</v>
      </c>
      <c r="Q103">
        <v>7.2787000000000004E-2</v>
      </c>
      <c r="T103">
        <v>4.807264</v>
      </c>
      <c r="U103">
        <v>7.5699999999999997E-4</v>
      </c>
      <c r="AG103">
        <v>4.7514519999999996</v>
      </c>
      <c r="AH103">
        <v>5.0070000000000002E-3</v>
      </c>
      <c r="AI103">
        <v>2.9287109999999998</v>
      </c>
      <c r="AJ103">
        <v>1.307E-3</v>
      </c>
      <c r="AK103">
        <v>4.9676840000000002</v>
      </c>
      <c r="AL103">
        <v>2.1440000000000001E-3</v>
      </c>
      <c r="AM103">
        <v>69.128459000000007</v>
      </c>
      <c r="AN103">
        <v>0.216584</v>
      </c>
    </row>
    <row r="104" spans="1:40" x14ac:dyDescent="0.3">
      <c r="A104">
        <v>31</v>
      </c>
      <c r="E104">
        <v>131.66336740236883</v>
      </c>
      <c r="F104">
        <v>133.48336740236886</v>
      </c>
      <c r="G104">
        <v>129.84336740236884</v>
      </c>
      <c r="H104">
        <v>1.8200000000000074</v>
      </c>
      <c r="J104">
        <v>1920</v>
      </c>
      <c r="K104">
        <v>1513.75</v>
      </c>
      <c r="L104">
        <v>812.5</v>
      </c>
      <c r="M104">
        <v>2.8724069999999999</v>
      </c>
      <c r="N104">
        <v>1.9059999999999999E-3</v>
      </c>
      <c r="P104">
        <v>23.699418999999999</v>
      </c>
      <c r="Q104">
        <v>9.4837000000000005E-2</v>
      </c>
      <c r="T104">
        <v>4.8060169999999998</v>
      </c>
      <c r="U104">
        <v>3.7399999999999998E-4</v>
      </c>
      <c r="AG104">
        <v>4.7562730000000002</v>
      </c>
      <c r="AH104">
        <v>5.3E-3</v>
      </c>
      <c r="AI104">
        <v>2.92055</v>
      </c>
      <c r="AJ104">
        <v>1.371E-3</v>
      </c>
      <c r="AK104">
        <v>4.9724950000000003</v>
      </c>
      <c r="AL104">
        <v>2.2680000000000001E-3</v>
      </c>
      <c r="AM104">
        <v>69.072591000000003</v>
      </c>
      <c r="AN104">
        <v>0.22886300000000001</v>
      </c>
    </row>
    <row r="105" spans="1:40" x14ac:dyDescent="0.3">
      <c r="A105">
        <v>32</v>
      </c>
      <c r="E105">
        <v>132.72795397932666</v>
      </c>
      <c r="F105">
        <v>134.74955397932666</v>
      </c>
      <c r="G105">
        <v>130.70635397932665</v>
      </c>
      <c r="H105">
        <v>2.0216000000000065</v>
      </c>
      <c r="J105">
        <v>2100</v>
      </c>
      <c r="K105">
        <v>1648.75</v>
      </c>
      <c r="L105">
        <v>902.5</v>
      </c>
      <c r="M105">
        <v>2.870822</v>
      </c>
      <c r="N105">
        <v>1.9889999999999999E-3</v>
      </c>
      <c r="P105">
        <v>23.660225000000001</v>
      </c>
      <c r="Q105">
        <v>9.8880999999999997E-2</v>
      </c>
      <c r="T105">
        <v>4.8057509999999999</v>
      </c>
      <c r="U105">
        <v>3.6900000000000002E-4</v>
      </c>
      <c r="AG105">
        <v>4.7642389999999999</v>
      </c>
      <c r="AH105">
        <v>3.6670000000000001E-3</v>
      </c>
      <c r="AI105">
        <v>2.911527</v>
      </c>
      <c r="AJ105">
        <v>1.519E-3</v>
      </c>
      <c r="AK105">
        <v>4.9868680000000003</v>
      </c>
      <c r="AL105">
        <v>1.6750000000000001E-3</v>
      </c>
      <c r="AM105">
        <v>69.173902999999996</v>
      </c>
      <c r="AN105">
        <v>0.169986</v>
      </c>
    </row>
    <row r="106" spans="1:40" x14ac:dyDescent="0.3">
      <c r="A106">
        <v>33</v>
      </c>
      <c r="E106">
        <v>133.62678759926465</v>
      </c>
      <c r="F106">
        <v>135.80518759926463</v>
      </c>
      <c r="G106">
        <v>131.44838759926463</v>
      </c>
      <c r="H106">
        <v>2.1783999999999963</v>
      </c>
      <c r="J106">
        <v>2240</v>
      </c>
      <c r="K106">
        <v>1753.75</v>
      </c>
      <c r="L106">
        <v>972.5</v>
      </c>
      <c r="M106">
        <v>2.8694489999999999</v>
      </c>
      <c r="N106">
        <v>2.1549999999999998E-3</v>
      </c>
      <c r="P106">
        <v>23.626290999999998</v>
      </c>
      <c r="Q106">
        <v>0.107104</v>
      </c>
      <c r="T106">
        <v>4.8053850000000002</v>
      </c>
      <c r="U106">
        <v>4.26E-4</v>
      </c>
      <c r="AG106">
        <v>4.7704500000000003</v>
      </c>
      <c r="AH106">
        <v>7.6499999999999995E-4</v>
      </c>
      <c r="AI106">
        <v>2.904887</v>
      </c>
      <c r="AJ106">
        <v>4.5100000000000001E-4</v>
      </c>
      <c r="AK106">
        <v>4.9917480000000003</v>
      </c>
      <c r="AL106">
        <v>1.049E-3</v>
      </c>
      <c r="AM106">
        <v>69.173743999999999</v>
      </c>
      <c r="AN106">
        <v>5.3453000000000001E-2</v>
      </c>
    </row>
    <row r="107" spans="1:40" x14ac:dyDescent="0.3">
      <c r="A107">
        <v>34</v>
      </c>
      <c r="E107">
        <v>134.66610128027534</v>
      </c>
      <c r="F107">
        <v>137.06850128027534</v>
      </c>
      <c r="G107">
        <v>132.26370128027534</v>
      </c>
      <c r="H107">
        <v>2.4024000000000001</v>
      </c>
      <c r="J107">
        <v>2440</v>
      </c>
      <c r="K107">
        <v>1903.75</v>
      </c>
      <c r="L107">
        <v>1072.5</v>
      </c>
      <c r="M107">
        <v>2.868001</v>
      </c>
      <c r="N107">
        <v>2.2309999999999999E-3</v>
      </c>
      <c r="P107">
        <v>23.590530000000001</v>
      </c>
      <c r="Q107">
        <v>0.110801</v>
      </c>
      <c r="T107">
        <v>4.8080870000000004</v>
      </c>
      <c r="U107">
        <v>5.7899999999999998E-4</v>
      </c>
      <c r="AG107">
        <v>4.7923879999999999</v>
      </c>
      <c r="AH107">
        <v>2.8899999999999998E-4</v>
      </c>
      <c r="AI107">
        <v>2.8941569999999999</v>
      </c>
      <c r="AJ107">
        <v>1.6699999999999999E-4</v>
      </c>
      <c r="AK107">
        <v>5.0025120000000003</v>
      </c>
      <c r="AL107">
        <v>3.9399999999999998E-4</v>
      </c>
      <c r="AM107">
        <v>69.384444000000002</v>
      </c>
      <c r="AN107">
        <v>2.0067999999999999E-2</v>
      </c>
    </row>
    <row r="108" spans="1:40" x14ac:dyDescent="0.3">
      <c r="A108">
        <v>35</v>
      </c>
      <c r="B108" t="s">
        <v>76</v>
      </c>
      <c r="E108">
        <v>134.08688965895976</v>
      </c>
      <c r="F108">
        <v>136.62368965895976</v>
      </c>
      <c r="G108">
        <v>131.55008965895976</v>
      </c>
      <c r="H108">
        <v>2.5367999999999995</v>
      </c>
      <c r="J108">
        <v>2560</v>
      </c>
      <c r="K108">
        <v>1993.75</v>
      </c>
      <c r="L108">
        <v>1132.5</v>
      </c>
      <c r="M108">
        <v>2.8696090000000001</v>
      </c>
      <c r="N108">
        <v>1.2819999999999999E-3</v>
      </c>
      <c r="P108">
        <v>23.630243</v>
      </c>
      <c r="Q108">
        <v>6.3713000000000006E-2</v>
      </c>
      <c r="T108">
        <v>4.8101039999999999</v>
      </c>
      <c r="U108">
        <v>6.8000000000000005E-4</v>
      </c>
      <c r="AG108">
        <v>4.7939769999999999</v>
      </c>
      <c r="AH108">
        <v>2.1670000000000001E-3</v>
      </c>
      <c r="AI108">
        <v>2.8943460000000001</v>
      </c>
      <c r="AJ108">
        <v>1.248E-3</v>
      </c>
      <c r="AK108">
        <v>5.0014630000000002</v>
      </c>
      <c r="AL108">
        <v>2.9480000000000001E-3</v>
      </c>
      <c r="AM108">
        <v>69.397420999999994</v>
      </c>
      <c r="AN108">
        <v>0.150314</v>
      </c>
    </row>
    <row r="110" spans="1:40" x14ac:dyDescent="0.3">
      <c r="A110">
        <v>50</v>
      </c>
      <c r="E110">
        <v>150.82949007591395</v>
      </c>
      <c r="F110">
        <v>152.03349007591393</v>
      </c>
      <c r="G110">
        <v>149.62549007591394</v>
      </c>
      <c r="H110">
        <v>1.2039999999999935</v>
      </c>
      <c r="J110">
        <v>1370</v>
      </c>
      <c r="K110">
        <v>1101.25</v>
      </c>
      <c r="L110">
        <v>537.5</v>
      </c>
      <c r="M110">
        <v>2.8332869999999999</v>
      </c>
      <c r="N110">
        <v>2.5200000000000001E-3</v>
      </c>
      <c r="P110">
        <v>22.744250000000001</v>
      </c>
      <c r="Q110">
        <v>0.123664</v>
      </c>
      <c r="T110">
        <v>4.7615049999999997</v>
      </c>
      <c r="U110">
        <v>1.776E-3</v>
      </c>
      <c r="AG110">
        <v>4.6861610000000002</v>
      </c>
      <c r="AH110">
        <v>2.8500000000000001E-3</v>
      </c>
      <c r="AI110">
        <v>2.9149949999999998</v>
      </c>
      <c r="AJ110">
        <v>9.0399999999999996E-4</v>
      </c>
      <c r="AK110">
        <v>4.8966440000000002</v>
      </c>
      <c r="AL110">
        <v>1.5839999999999999E-3</v>
      </c>
      <c r="AM110">
        <v>66.888840000000002</v>
      </c>
      <c r="AN110">
        <v>0.12997300000000001</v>
      </c>
    </row>
    <row r="111" spans="1:40" x14ac:dyDescent="0.3">
      <c r="A111">
        <v>51</v>
      </c>
      <c r="E111">
        <v>151.19843848475946</v>
      </c>
      <c r="F111">
        <v>152.62643848475946</v>
      </c>
      <c r="G111">
        <v>149.77043848475947</v>
      </c>
      <c r="H111">
        <v>1.4279999999999973</v>
      </c>
      <c r="J111">
        <v>1570</v>
      </c>
      <c r="K111">
        <v>1251.25</v>
      </c>
      <c r="L111">
        <v>637.5</v>
      </c>
      <c r="M111">
        <v>2.8332269999999999</v>
      </c>
      <c r="N111">
        <v>2.578E-3</v>
      </c>
      <c r="P111">
        <v>22.742809999999999</v>
      </c>
      <c r="Q111">
        <v>0.126496</v>
      </c>
      <c r="T111">
        <v>4.7618559999999999</v>
      </c>
      <c r="U111">
        <v>1.6440000000000001E-3</v>
      </c>
      <c r="AG111">
        <v>4.6878640000000003</v>
      </c>
      <c r="AH111">
        <v>2.209E-3</v>
      </c>
      <c r="AI111">
        <v>2.9133819999999999</v>
      </c>
      <c r="AJ111">
        <v>6.9899999999999997E-4</v>
      </c>
      <c r="AK111">
        <v>4.9011639999999996</v>
      </c>
      <c r="AL111">
        <v>1.23E-3</v>
      </c>
      <c r="AM111">
        <v>66.937837000000002</v>
      </c>
      <c r="AN111">
        <v>0.100786</v>
      </c>
    </row>
    <row r="112" spans="1:40" x14ac:dyDescent="0.3">
      <c r="A112">
        <v>52</v>
      </c>
      <c r="E112">
        <v>151.63538169102281</v>
      </c>
      <c r="F112">
        <v>153.24258169102282</v>
      </c>
      <c r="G112">
        <v>150.02818169102281</v>
      </c>
      <c r="H112">
        <v>1.607200000000006</v>
      </c>
      <c r="J112">
        <v>1730</v>
      </c>
      <c r="K112">
        <v>1371.25</v>
      </c>
      <c r="L112">
        <v>717.5</v>
      </c>
      <c r="M112">
        <v>2.8329209999999998</v>
      </c>
      <c r="N112">
        <v>2.5500000000000002E-3</v>
      </c>
      <c r="P112">
        <v>22.735448000000002</v>
      </c>
      <c r="Q112">
        <v>0.12511700000000001</v>
      </c>
      <c r="T112">
        <v>4.7613070000000004</v>
      </c>
      <c r="U112">
        <v>1.147E-3</v>
      </c>
      <c r="AG112">
        <v>4.6898989999999996</v>
      </c>
      <c r="AH112">
        <v>1.384E-3</v>
      </c>
      <c r="AI112">
        <v>2.9115739999999999</v>
      </c>
      <c r="AJ112">
        <v>5.3799999999999996E-4</v>
      </c>
      <c r="AK112">
        <v>4.9037290000000002</v>
      </c>
      <c r="AL112">
        <v>8.9999999999999998E-4</v>
      </c>
      <c r="AM112">
        <v>66.960372000000007</v>
      </c>
      <c r="AN112">
        <v>6.7113999999999993E-2</v>
      </c>
    </row>
    <row r="113" spans="1:40" x14ac:dyDescent="0.3">
      <c r="A113">
        <v>53</v>
      </c>
      <c r="E113">
        <v>152.02052267934596</v>
      </c>
      <c r="F113">
        <v>153.81812267934595</v>
      </c>
      <c r="G113">
        <v>150.22292267934594</v>
      </c>
      <c r="H113">
        <v>1.7976000000000028</v>
      </c>
      <c r="J113">
        <v>1900</v>
      </c>
      <c r="K113">
        <v>1498.75</v>
      </c>
      <c r="L113">
        <v>802.5</v>
      </c>
      <c r="M113">
        <v>2.8327399999999998</v>
      </c>
      <c r="N113">
        <v>2.3549999999999999E-3</v>
      </c>
      <c r="P113">
        <v>22.731081</v>
      </c>
      <c r="Q113">
        <v>0.115565</v>
      </c>
      <c r="T113">
        <v>4.7614159999999996</v>
      </c>
      <c r="U113">
        <v>8.6600000000000002E-4</v>
      </c>
      <c r="AG113">
        <v>4.6911740000000002</v>
      </c>
      <c r="AH113">
        <v>2.3570000000000002E-3</v>
      </c>
      <c r="AI113">
        <v>2.908436</v>
      </c>
      <c r="AJ113">
        <v>9.1299999999999997E-4</v>
      </c>
      <c r="AK113">
        <v>4.9061320000000004</v>
      </c>
      <c r="AL113">
        <v>1.5319999999999999E-3</v>
      </c>
      <c r="AM113">
        <v>66.939162999999994</v>
      </c>
      <c r="AN113">
        <v>0.114219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41"/>
  <sheetViews>
    <sheetView topLeftCell="S1" workbookViewId="0">
      <selection activeCell="B19" sqref="B19"/>
    </sheetView>
  </sheetViews>
  <sheetFormatPr baseColWidth="10" defaultRowHeight="14" x14ac:dyDescent="0.3"/>
  <sheetData>
    <row r="1" spans="1:46" x14ac:dyDescent="0.3">
      <c r="A1" t="s">
        <v>81</v>
      </c>
    </row>
    <row r="2" spans="1:46" x14ac:dyDescent="0.3">
      <c r="A2">
        <v>52</v>
      </c>
      <c r="E2">
        <v>44.305956423731345</v>
      </c>
      <c r="F2">
        <v>46.428356423731344</v>
      </c>
      <c r="G2">
        <v>42.183556423731339</v>
      </c>
      <c r="H2">
        <v>2.1224000000000025</v>
      </c>
      <c r="J2">
        <v>2190</v>
      </c>
      <c r="K2">
        <v>1716.25</v>
      </c>
      <c r="L2">
        <v>947.5</v>
      </c>
      <c r="M2">
        <v>3.1648070000000001</v>
      </c>
      <c r="N2">
        <v>8.7699999999999996E-4</v>
      </c>
      <c r="P2">
        <v>31.698706000000001</v>
      </c>
      <c r="Q2">
        <v>4.8057000000000002E-2</v>
      </c>
      <c r="R2" t="s">
        <v>82</v>
      </c>
      <c r="T2">
        <v>5.1184969999999996</v>
      </c>
      <c r="U2">
        <v>1.2819999999999999E-3</v>
      </c>
      <c r="AF2">
        <v>0</v>
      </c>
      <c r="AM2">
        <v>0</v>
      </c>
      <c r="AN2">
        <v>5.1919750000000002</v>
      </c>
      <c r="AO2">
        <v>8.7790000000000003E-3</v>
      </c>
      <c r="AP2">
        <v>3.110541</v>
      </c>
      <c r="AQ2">
        <v>2.614E-3</v>
      </c>
      <c r="AR2">
        <v>5.3957660000000001</v>
      </c>
      <c r="AS2">
        <v>3.9899999999999996E-3</v>
      </c>
      <c r="AT2">
        <v>87.140816000000001</v>
      </c>
    </row>
    <row r="3" spans="1:46" x14ac:dyDescent="0.3">
      <c r="A3">
        <v>53</v>
      </c>
      <c r="E3">
        <v>44.441264590736814</v>
      </c>
      <c r="F3">
        <v>46.675664590736815</v>
      </c>
      <c r="G3">
        <v>42.206864590736814</v>
      </c>
      <c r="H3">
        <v>2.2344000000000008</v>
      </c>
      <c r="J3">
        <v>2290</v>
      </c>
      <c r="K3">
        <v>1791.25</v>
      </c>
      <c r="L3">
        <v>997.5</v>
      </c>
      <c r="M3">
        <v>3.1649980000000002</v>
      </c>
      <c r="N3">
        <v>9.5699999999999995E-4</v>
      </c>
      <c r="P3">
        <v>31.704470000000001</v>
      </c>
      <c r="Q3">
        <v>5.2477000000000003E-2</v>
      </c>
      <c r="R3" t="s">
        <v>82</v>
      </c>
      <c r="T3">
        <v>5.1189470000000004</v>
      </c>
      <c r="U3">
        <v>1.09E-3</v>
      </c>
      <c r="AF3">
        <v>0</v>
      </c>
      <c r="AM3">
        <v>0</v>
      </c>
      <c r="AN3">
        <v>5.1936999999999998</v>
      </c>
      <c r="AO3">
        <v>5.8729999999999997E-3</v>
      </c>
      <c r="AP3">
        <v>3.1184059999999998</v>
      </c>
      <c r="AQ3">
        <v>1.2689999999999999E-3</v>
      </c>
      <c r="AR3">
        <v>5.4001039999999998</v>
      </c>
      <c r="AS3">
        <v>2.0230000000000001E-3</v>
      </c>
      <c r="AT3">
        <v>87.460424000000003</v>
      </c>
    </row>
    <row r="5" spans="1:46" x14ac:dyDescent="0.3">
      <c r="A5">
        <v>74</v>
      </c>
      <c r="E5">
        <v>54.353144907792796</v>
      </c>
      <c r="F5">
        <v>56.285144907792798</v>
      </c>
      <c r="G5">
        <v>52.421144907792794</v>
      </c>
      <c r="H5">
        <v>1.9320000000000022</v>
      </c>
      <c r="J5">
        <v>2020</v>
      </c>
      <c r="K5">
        <v>1588.75</v>
      </c>
      <c r="L5">
        <v>862.5</v>
      </c>
      <c r="M5">
        <v>3.1101779999999999</v>
      </c>
      <c r="N5">
        <v>5.2400000000000005E-4</v>
      </c>
      <c r="P5">
        <v>30.0854</v>
      </c>
      <c r="Q5">
        <v>2.8212000000000001E-2</v>
      </c>
      <c r="R5" t="s">
        <v>81</v>
      </c>
      <c r="T5">
        <v>5.066427</v>
      </c>
      <c r="U5">
        <v>3.21E-4</v>
      </c>
      <c r="AF5">
        <v>0</v>
      </c>
      <c r="AM5">
        <v>0</v>
      </c>
      <c r="AN5">
        <v>5.1052200000000001</v>
      </c>
      <c r="AO5">
        <v>1.3468000000000001E-2</v>
      </c>
      <c r="AP5">
        <v>3.0547930000000001</v>
      </c>
      <c r="AQ5">
        <v>4.3709999999999999E-3</v>
      </c>
      <c r="AR5">
        <v>5.311941</v>
      </c>
      <c r="AS5">
        <v>6.5700000000000003E-3</v>
      </c>
      <c r="AT5">
        <v>82.841808999999998</v>
      </c>
    </row>
    <row r="6" spans="1:46" x14ac:dyDescent="0.3">
      <c r="A6">
        <v>75</v>
      </c>
      <c r="E6">
        <v>54.035534439655102</v>
      </c>
      <c r="F6">
        <v>56.079534439655099</v>
      </c>
      <c r="G6">
        <v>51.991534439655105</v>
      </c>
      <c r="H6">
        <v>2.0439999999999969</v>
      </c>
      <c r="J6">
        <v>2120</v>
      </c>
      <c r="K6">
        <v>1663.75</v>
      </c>
      <c r="L6">
        <v>912.5</v>
      </c>
      <c r="M6">
        <v>3.11252</v>
      </c>
      <c r="N6">
        <v>8.7000000000000001E-5</v>
      </c>
      <c r="P6">
        <v>30.153424000000001</v>
      </c>
      <c r="Q6">
        <v>4.7140000000000003E-3</v>
      </c>
      <c r="R6" t="s">
        <v>81</v>
      </c>
      <c r="T6">
        <v>5.0677529999999997</v>
      </c>
      <c r="U6">
        <v>5.31E-4</v>
      </c>
      <c r="AF6">
        <v>0</v>
      </c>
      <c r="AM6">
        <v>0</v>
      </c>
      <c r="AN6">
        <v>5.1166960000000001</v>
      </c>
      <c r="AO6">
        <v>1.1949E-2</v>
      </c>
      <c r="AP6">
        <v>3.058961</v>
      </c>
      <c r="AQ6">
        <v>3.869E-3</v>
      </c>
      <c r="AR6">
        <v>5.3177000000000003</v>
      </c>
      <c r="AS6">
        <v>5.8120000000000003E-3</v>
      </c>
      <c r="AT6">
        <v>83.231425000000002</v>
      </c>
    </row>
    <row r="7" spans="1:46" x14ac:dyDescent="0.3">
      <c r="A7">
        <v>76</v>
      </c>
      <c r="E7">
        <v>53.971842692843872</v>
      </c>
      <c r="F7">
        <v>56.105442692843873</v>
      </c>
      <c r="G7">
        <v>51.83824269284387</v>
      </c>
      <c r="H7">
        <v>2.1336000000000013</v>
      </c>
      <c r="J7">
        <v>2200</v>
      </c>
      <c r="K7">
        <v>1723.75</v>
      </c>
      <c r="L7">
        <v>952.5</v>
      </c>
      <c r="M7">
        <v>3.1134810000000002</v>
      </c>
      <c r="N7">
        <v>1.12E-4</v>
      </c>
      <c r="P7">
        <v>30.181363000000001</v>
      </c>
      <c r="Q7">
        <v>6.0299999999999998E-3</v>
      </c>
      <c r="R7" t="s">
        <v>81</v>
      </c>
      <c r="T7">
        <v>5.0688110000000002</v>
      </c>
      <c r="U7">
        <v>5.0500000000000002E-4</v>
      </c>
      <c r="AF7">
        <v>0</v>
      </c>
      <c r="AM7">
        <v>0</v>
      </c>
      <c r="AN7">
        <v>5.1084969999999998</v>
      </c>
      <c r="AO7">
        <v>5.4580000000000002E-3</v>
      </c>
      <c r="AP7">
        <v>3.0705650000000002</v>
      </c>
      <c r="AQ7">
        <v>3.1679999999999998E-3</v>
      </c>
      <c r="AR7">
        <v>5.3324509999999998</v>
      </c>
      <c r="AS7">
        <v>3.5820000000000001E-3</v>
      </c>
      <c r="AT7">
        <v>83.644667999999996</v>
      </c>
    </row>
    <row r="9" spans="1:46" x14ac:dyDescent="0.3">
      <c r="A9">
        <v>90</v>
      </c>
      <c r="E9">
        <v>58.671742492053042</v>
      </c>
      <c r="F9">
        <v>60.659742492053041</v>
      </c>
      <c r="G9">
        <v>56.683742492053042</v>
      </c>
      <c r="H9">
        <v>1.9879999999999995</v>
      </c>
      <c r="J9">
        <v>2070</v>
      </c>
      <c r="K9">
        <v>1626.25</v>
      </c>
      <c r="L9">
        <v>887.5</v>
      </c>
      <c r="M9">
        <v>3.0905429999999998</v>
      </c>
      <c r="N9">
        <v>4.7899999999999999E-4</v>
      </c>
      <c r="P9">
        <v>29.519186000000001</v>
      </c>
      <c r="Q9">
        <v>2.5666999999999999E-2</v>
      </c>
      <c r="R9" t="s">
        <v>81</v>
      </c>
      <c r="T9">
        <v>5.0422409999999998</v>
      </c>
      <c r="U9">
        <v>3.7300000000000001E-4</v>
      </c>
      <c r="AF9">
        <v>0</v>
      </c>
      <c r="AM9">
        <v>0</v>
      </c>
      <c r="AN9">
        <v>5.058897</v>
      </c>
      <c r="AO9">
        <v>5.6519999999999999E-3</v>
      </c>
      <c r="AP9">
        <v>3.0503840000000002</v>
      </c>
      <c r="AQ9">
        <v>4.849E-3</v>
      </c>
      <c r="AR9">
        <v>5.2878100000000003</v>
      </c>
      <c r="AS9">
        <v>2.7260000000000001E-3</v>
      </c>
      <c r="AT9">
        <v>81.599238</v>
      </c>
    </row>
    <row r="10" spans="1:46" x14ac:dyDescent="0.3">
      <c r="A10">
        <v>91</v>
      </c>
      <c r="E10">
        <v>58.843593363414435</v>
      </c>
      <c r="F10">
        <v>60.954793363414439</v>
      </c>
      <c r="G10">
        <v>56.732393363414438</v>
      </c>
      <c r="H10">
        <v>2.1112000000000002</v>
      </c>
      <c r="J10">
        <v>2180</v>
      </c>
      <c r="K10">
        <v>1708.75</v>
      </c>
      <c r="L10">
        <v>942.5</v>
      </c>
      <c r="M10">
        <v>3.0906009999999999</v>
      </c>
      <c r="N10">
        <v>4.7399999999999997E-4</v>
      </c>
      <c r="P10">
        <v>29.52084</v>
      </c>
      <c r="Q10">
        <v>2.5350999999999999E-2</v>
      </c>
      <c r="R10" t="s">
        <v>81</v>
      </c>
      <c r="T10">
        <v>5.0433539999999999</v>
      </c>
      <c r="U10">
        <v>3.8200000000000002E-4</v>
      </c>
      <c r="AF10">
        <v>0</v>
      </c>
      <c r="AM10">
        <v>0</v>
      </c>
      <c r="AN10">
        <v>5.0392169999999998</v>
      </c>
      <c r="AO10">
        <v>2.9690999999999999E-2</v>
      </c>
      <c r="AP10">
        <v>3.0634100000000002</v>
      </c>
      <c r="AQ10">
        <v>2.6072000000000001E-2</v>
      </c>
      <c r="AR10">
        <v>5.292878</v>
      </c>
      <c r="AS10">
        <v>1.4504E-2</v>
      </c>
      <c r="AT10">
        <v>81.707139999999995</v>
      </c>
    </row>
    <row r="11" spans="1:46" x14ac:dyDescent="0.3">
      <c r="A11">
        <v>92</v>
      </c>
      <c r="E11">
        <v>58.75525984307437</v>
      </c>
      <c r="F11">
        <v>60.944859843074369</v>
      </c>
      <c r="G11">
        <v>56.565659843074364</v>
      </c>
      <c r="H11">
        <v>2.1896000000000022</v>
      </c>
      <c r="J11">
        <v>2250</v>
      </c>
      <c r="K11">
        <v>1761.25</v>
      </c>
      <c r="L11">
        <v>977.5</v>
      </c>
      <c r="M11">
        <v>3.0915249999999999</v>
      </c>
      <c r="N11">
        <v>2.81E-4</v>
      </c>
      <c r="P11">
        <v>29.547331</v>
      </c>
      <c r="Q11">
        <v>1.5058999999999999E-2</v>
      </c>
      <c r="R11" t="s">
        <v>81</v>
      </c>
      <c r="T11">
        <v>5.04528</v>
      </c>
      <c r="U11">
        <v>1.92E-4</v>
      </c>
      <c r="AF11">
        <v>0</v>
      </c>
      <c r="AM11">
        <v>0</v>
      </c>
      <c r="AN11">
        <v>5.0602340000000003</v>
      </c>
      <c r="AO11">
        <v>1.5571E-2</v>
      </c>
      <c r="AP11">
        <v>3.0489130000000002</v>
      </c>
      <c r="AQ11">
        <v>1.3327E-2</v>
      </c>
      <c r="AR11">
        <v>5.2997259999999997</v>
      </c>
      <c r="AS11">
        <v>7.5519999999999997E-3</v>
      </c>
      <c r="AT11">
        <v>81.765315000000001</v>
      </c>
    </row>
    <row r="12" spans="1:46" x14ac:dyDescent="0.3">
      <c r="A12">
        <v>93</v>
      </c>
      <c r="E12">
        <v>58.956892753682858</v>
      </c>
      <c r="F12">
        <v>61.236092753682854</v>
      </c>
      <c r="G12">
        <v>56.677692753682855</v>
      </c>
      <c r="H12">
        <v>2.2791999999999994</v>
      </c>
      <c r="J12">
        <v>2330</v>
      </c>
      <c r="K12">
        <v>1821.25</v>
      </c>
      <c r="L12">
        <v>1017.5</v>
      </c>
      <c r="M12">
        <v>3.0912229999999998</v>
      </c>
      <c r="N12">
        <v>2.6499999999999999E-4</v>
      </c>
      <c r="P12">
        <v>29.538672999999999</v>
      </c>
      <c r="Q12">
        <v>1.4193000000000001E-2</v>
      </c>
      <c r="R12" t="s">
        <v>81</v>
      </c>
      <c r="T12">
        <v>5.0456510000000003</v>
      </c>
      <c r="U12">
        <v>9.2900000000000003E-4</v>
      </c>
      <c r="AF12">
        <v>0</v>
      </c>
      <c r="AM12">
        <v>0</v>
      </c>
      <c r="AN12">
        <v>5.1003210000000001</v>
      </c>
      <c r="AO12">
        <v>2.6048999999999999E-2</v>
      </c>
      <c r="AP12">
        <v>3.0456210000000001</v>
      </c>
      <c r="AQ12">
        <v>2.5240000000000002E-3</v>
      </c>
      <c r="AR12">
        <v>5.2967199999999997</v>
      </c>
      <c r="AS12">
        <v>4.5770000000000003E-3</v>
      </c>
      <c r="AT12">
        <v>82.277366790245864</v>
      </c>
    </row>
    <row r="14" spans="1:46" x14ac:dyDescent="0.3">
      <c r="A14">
        <v>110</v>
      </c>
      <c r="E14">
        <v>63.606991249604157</v>
      </c>
      <c r="F14">
        <v>65.930991249604148</v>
      </c>
      <c r="G14">
        <v>61.282991249604152</v>
      </c>
      <c r="H14">
        <v>2.3239999999999981</v>
      </c>
      <c r="J14">
        <v>2370</v>
      </c>
      <c r="K14">
        <v>1851.25</v>
      </c>
      <c r="L14">
        <v>1037.5</v>
      </c>
      <c r="M14">
        <v>3.0713650000000001</v>
      </c>
      <c r="N14">
        <v>1.6000000000000001E-4</v>
      </c>
      <c r="P14">
        <v>28.973051999999999</v>
      </c>
      <c r="Q14">
        <v>8.4899999999999993E-3</v>
      </c>
      <c r="R14" t="s">
        <v>81</v>
      </c>
      <c r="T14">
        <v>5.0278910000000003</v>
      </c>
      <c r="U14">
        <v>1.403E-3</v>
      </c>
      <c r="AF14">
        <v>0</v>
      </c>
      <c r="AM14">
        <v>0</v>
      </c>
      <c r="AN14">
        <v>5.0590960000000003</v>
      </c>
      <c r="AO14">
        <v>9.783E-3</v>
      </c>
      <c r="AP14">
        <v>3.0291250000000001</v>
      </c>
      <c r="AQ14">
        <v>8.2909999999999998E-3</v>
      </c>
      <c r="AR14">
        <v>5.2644890000000002</v>
      </c>
      <c r="AS14">
        <v>4.7369999999999999E-3</v>
      </c>
      <c r="AT14">
        <v>80.676368999999994</v>
      </c>
    </row>
    <row r="15" spans="1:46" x14ac:dyDescent="0.3">
      <c r="A15">
        <v>111</v>
      </c>
      <c r="E15">
        <v>63.430978445453057</v>
      </c>
      <c r="F15">
        <v>65.81097844545306</v>
      </c>
      <c r="G15">
        <v>61.050978445453062</v>
      </c>
      <c r="H15">
        <v>2.379999999999999</v>
      </c>
      <c r="J15">
        <v>2420</v>
      </c>
      <c r="K15">
        <v>1888.75</v>
      </c>
      <c r="L15">
        <v>1062.5</v>
      </c>
      <c r="M15">
        <v>3.0724550000000002</v>
      </c>
      <c r="N15">
        <v>5.0600000000000005E-4</v>
      </c>
      <c r="P15">
        <v>29.003914000000002</v>
      </c>
      <c r="Q15">
        <v>2.691E-2</v>
      </c>
      <c r="R15" t="s">
        <v>81</v>
      </c>
      <c r="T15">
        <v>5.0286809999999997</v>
      </c>
      <c r="U15">
        <v>1.356E-3</v>
      </c>
      <c r="AF15">
        <v>0</v>
      </c>
      <c r="AM15">
        <v>0</v>
      </c>
      <c r="AN15">
        <v>5.0712330000000003</v>
      </c>
      <c r="AO15">
        <v>8.3210000000000003E-3</v>
      </c>
      <c r="AP15">
        <v>3.0369380000000001</v>
      </c>
      <c r="AQ15">
        <v>7.0559999999999998E-3</v>
      </c>
      <c r="AR15">
        <v>5.2693370000000002</v>
      </c>
      <c r="AS15">
        <v>4.0099999999999997E-3</v>
      </c>
      <c r="AT15">
        <v>81.153161999999995</v>
      </c>
    </row>
    <row r="16" spans="1:46" x14ac:dyDescent="0.3">
      <c r="A16">
        <v>112</v>
      </c>
      <c r="E16">
        <v>63.863466026383918</v>
      </c>
      <c r="F16">
        <v>66.34426602638392</v>
      </c>
      <c r="G16">
        <v>61.382666026383916</v>
      </c>
      <c r="H16">
        <v>2.4808000000000021</v>
      </c>
      <c r="J16">
        <v>2510</v>
      </c>
      <c r="K16">
        <v>1956.25</v>
      </c>
      <c r="L16">
        <v>1107.5</v>
      </c>
      <c r="M16">
        <v>3.0712760000000001</v>
      </c>
      <c r="N16">
        <v>1.4799999999999999E-4</v>
      </c>
      <c r="P16">
        <v>28.970528000000002</v>
      </c>
      <c r="Q16">
        <v>7.8980000000000005E-3</v>
      </c>
      <c r="R16" t="s">
        <v>81</v>
      </c>
      <c r="T16">
        <v>5.0308479999999998</v>
      </c>
      <c r="U16">
        <v>1.361E-3</v>
      </c>
      <c r="AA16">
        <v>0</v>
      </c>
      <c r="AF16">
        <v>0</v>
      </c>
      <c r="AM16">
        <v>0</v>
      </c>
      <c r="AN16">
        <v>5.0807289999999998</v>
      </c>
      <c r="AO16">
        <v>3.9960000000000004E-3</v>
      </c>
      <c r="AP16">
        <v>3.0326879999999998</v>
      </c>
      <c r="AQ16">
        <v>1.279E-3</v>
      </c>
      <c r="AR16">
        <v>5.2865799999999998</v>
      </c>
      <c r="AS16">
        <v>2.2769999999999999E-3</v>
      </c>
      <c r="AT16">
        <v>81.457030180656204</v>
      </c>
    </row>
    <row r="17" spans="1:46" x14ac:dyDescent="0.3">
      <c r="A17">
        <v>113</v>
      </c>
      <c r="E17">
        <v>63.241833612979384</v>
      </c>
      <c r="F17">
        <v>65.756233612979386</v>
      </c>
      <c r="G17">
        <v>60.727433612979389</v>
      </c>
      <c r="H17">
        <v>2.5143999999999984</v>
      </c>
      <c r="J17">
        <v>2540</v>
      </c>
      <c r="K17">
        <v>1978.75</v>
      </c>
      <c r="L17">
        <v>1122.5</v>
      </c>
      <c r="M17">
        <v>3.0741010000000002</v>
      </c>
      <c r="N17">
        <v>1.5169999999999999E-3</v>
      </c>
      <c r="P17">
        <v>29.050550999999999</v>
      </c>
      <c r="Q17">
        <v>8.0783999999999995E-2</v>
      </c>
      <c r="R17" t="s">
        <v>81</v>
      </c>
      <c r="T17">
        <v>5.0313559999999997</v>
      </c>
      <c r="U17">
        <v>5.3799999999999996E-4</v>
      </c>
      <c r="AA17">
        <v>0</v>
      </c>
      <c r="AF17">
        <v>0</v>
      </c>
      <c r="AM17">
        <v>0</v>
      </c>
      <c r="AN17">
        <v>5.0874969999999999</v>
      </c>
      <c r="AO17">
        <v>1.4499999999999999E-3</v>
      </c>
      <c r="AP17">
        <v>3.0346000000000002</v>
      </c>
      <c r="AQ17">
        <v>4.8099999999999998E-4</v>
      </c>
      <c r="AR17">
        <v>5.2807589999999998</v>
      </c>
      <c r="AS17">
        <v>1.139E-3</v>
      </c>
      <c r="AT17">
        <v>81.52709496739871</v>
      </c>
    </row>
    <row r="19" spans="1:46" x14ac:dyDescent="0.3">
      <c r="A19">
        <v>129</v>
      </c>
      <c r="E19">
        <v>69.147844478814619</v>
      </c>
      <c r="F19">
        <v>71.270244478814618</v>
      </c>
      <c r="G19">
        <v>67.02544447881462</v>
      </c>
      <c r="H19">
        <v>2.122399999999999</v>
      </c>
      <c r="J19">
        <v>2190</v>
      </c>
      <c r="K19">
        <v>1716.25</v>
      </c>
      <c r="L19">
        <v>947.5</v>
      </c>
      <c r="M19">
        <v>3.047917</v>
      </c>
      <c r="N19">
        <v>5.0100000000000003E-4</v>
      </c>
      <c r="P19">
        <v>28.314520000000002</v>
      </c>
      <c r="Q19">
        <v>2.6443000000000001E-2</v>
      </c>
      <c r="R19" t="s">
        <v>81</v>
      </c>
      <c r="T19">
        <v>4.9997420000000004</v>
      </c>
      <c r="U19">
        <v>6.4499999999999996E-4</v>
      </c>
      <c r="AF19">
        <v>0</v>
      </c>
      <c r="AM19">
        <v>0</v>
      </c>
      <c r="AN19">
        <v>5.0173880000000004</v>
      </c>
      <c r="AO19">
        <v>4.4590000000000003E-3</v>
      </c>
      <c r="AP19">
        <v>3.0190160000000001</v>
      </c>
      <c r="AQ19">
        <v>3.8019999999999998E-3</v>
      </c>
      <c r="AR19">
        <v>5.228777</v>
      </c>
      <c r="AS19">
        <v>2.134E-3</v>
      </c>
      <c r="AT19">
        <v>79.203288999999998</v>
      </c>
    </row>
    <row r="20" spans="1:46" x14ac:dyDescent="0.3">
      <c r="A20">
        <v>130</v>
      </c>
      <c r="E20">
        <v>69.145784634248272</v>
      </c>
      <c r="F20">
        <v>71.357784634248276</v>
      </c>
      <c r="G20">
        <v>66.933784634248283</v>
      </c>
      <c r="H20">
        <v>2.2119999999999962</v>
      </c>
      <c r="J20">
        <v>2270</v>
      </c>
      <c r="K20">
        <v>1776.25</v>
      </c>
      <c r="L20">
        <v>987.5</v>
      </c>
      <c r="M20">
        <v>3.0484429999999998</v>
      </c>
      <c r="N20">
        <v>7.7399999999999995E-4</v>
      </c>
      <c r="P20">
        <v>28.329187999999998</v>
      </c>
      <c r="Q20">
        <v>4.0856999999999997E-2</v>
      </c>
      <c r="R20" t="s">
        <v>81</v>
      </c>
      <c r="T20">
        <v>4.9995310000000002</v>
      </c>
      <c r="U20">
        <v>9.7799999999999992E-4</v>
      </c>
      <c r="AA20">
        <v>0</v>
      </c>
      <c r="AF20">
        <v>0</v>
      </c>
      <c r="AM20">
        <v>0</v>
      </c>
      <c r="AN20">
        <v>5.0333940000000004</v>
      </c>
      <c r="AO20">
        <v>1.908E-3</v>
      </c>
      <c r="AP20">
        <v>3.0130949999999999</v>
      </c>
      <c r="AQ20">
        <v>4.28E-4</v>
      </c>
      <c r="AR20">
        <v>5.2369649999999996</v>
      </c>
      <c r="AS20">
        <v>7.7200000000000001E-4</v>
      </c>
      <c r="AT20">
        <v>79.424305006629595</v>
      </c>
    </row>
    <row r="21" spans="1:46" x14ac:dyDescent="0.3">
      <c r="A21">
        <v>131</v>
      </c>
      <c r="E21">
        <v>69.268479434521154</v>
      </c>
      <c r="F21">
        <v>71.58127943452115</v>
      </c>
      <c r="G21">
        <v>66.955679434521159</v>
      </c>
      <c r="H21">
        <v>2.3127999999999957</v>
      </c>
      <c r="J21">
        <v>2360</v>
      </c>
      <c r="K21">
        <v>1843.75</v>
      </c>
      <c r="L21">
        <v>1032.5</v>
      </c>
      <c r="M21">
        <v>3.0485530000000001</v>
      </c>
      <c r="N21">
        <v>5.7700000000000004E-4</v>
      </c>
      <c r="P21">
        <v>28.332248</v>
      </c>
      <c r="Q21">
        <v>3.0487E-2</v>
      </c>
      <c r="R21" t="s">
        <v>35</v>
      </c>
      <c r="T21">
        <v>5.0014799999999999</v>
      </c>
      <c r="U21">
        <v>1.658E-3</v>
      </c>
      <c r="AA21">
        <v>0</v>
      </c>
      <c r="AF21">
        <v>0</v>
      </c>
      <c r="AM21">
        <v>0</v>
      </c>
      <c r="AN21">
        <v>5.0354260000000002</v>
      </c>
      <c r="AO21">
        <v>7.6109999999999997E-3</v>
      </c>
      <c r="AP21">
        <v>3.020248</v>
      </c>
      <c r="AQ21">
        <v>2.3709999999999998E-3</v>
      </c>
      <c r="AR21">
        <v>5.2379110000000004</v>
      </c>
      <c r="AS21">
        <v>4.1440000000000001E-3</v>
      </c>
      <c r="AT21">
        <v>79.659382998042034</v>
      </c>
    </row>
    <row r="22" spans="1:46" x14ac:dyDescent="0.3">
      <c r="A22">
        <v>132</v>
      </c>
      <c r="E22">
        <v>69.035380019935374</v>
      </c>
      <c r="F22">
        <v>71.437780019935374</v>
      </c>
      <c r="G22">
        <v>66.632980019935374</v>
      </c>
      <c r="H22">
        <v>2.4024000000000001</v>
      </c>
      <c r="J22">
        <v>2440</v>
      </c>
      <c r="K22">
        <v>1903.75</v>
      </c>
      <c r="L22">
        <v>1072.5</v>
      </c>
      <c r="M22">
        <v>3.0499749999999999</v>
      </c>
      <c r="N22">
        <v>9.7400000000000004E-4</v>
      </c>
      <c r="P22">
        <v>28.371928</v>
      </c>
      <c r="Q22">
        <v>5.1470000000000002E-2</v>
      </c>
      <c r="T22">
        <v>4.9979089999999999</v>
      </c>
      <c r="U22">
        <v>2.176E-3</v>
      </c>
      <c r="AA22">
        <v>0</v>
      </c>
      <c r="AF22">
        <v>0</v>
      </c>
      <c r="AM22">
        <v>0</v>
      </c>
      <c r="AN22">
        <v>5.0427980000000003</v>
      </c>
      <c r="AO22">
        <v>1.529E-3</v>
      </c>
      <c r="AP22">
        <v>3.009614</v>
      </c>
      <c r="AQ22">
        <v>4.6999999999999999E-4</v>
      </c>
      <c r="AR22">
        <v>5.2546220000000003</v>
      </c>
      <c r="AS22">
        <v>8.34E-4</v>
      </c>
      <c r="AT22">
        <v>79.748743683228994</v>
      </c>
    </row>
    <row r="23" spans="1:46" x14ac:dyDescent="0.3">
      <c r="A23">
        <v>133</v>
      </c>
      <c r="E23">
        <v>69.187498262976902</v>
      </c>
      <c r="F23">
        <v>71.657098262976902</v>
      </c>
      <c r="G23">
        <v>66.717898262976902</v>
      </c>
      <c r="H23">
        <v>2.4695999999999998</v>
      </c>
      <c r="J23">
        <v>2500</v>
      </c>
      <c r="K23">
        <v>1948.75</v>
      </c>
      <c r="L23">
        <v>1102.5</v>
      </c>
      <c r="M23">
        <v>3.0494669999999999</v>
      </c>
      <c r="N23">
        <v>8.9999999999999998E-4</v>
      </c>
      <c r="P23">
        <v>28.357766000000002</v>
      </c>
      <c r="Q23">
        <v>4.7537000000000003E-2</v>
      </c>
      <c r="T23">
        <v>4.9974610000000004</v>
      </c>
      <c r="U23">
        <v>2.9919999999999999E-3</v>
      </c>
      <c r="AA23">
        <v>0</v>
      </c>
      <c r="AF23">
        <v>0</v>
      </c>
      <c r="AM23">
        <v>0</v>
      </c>
      <c r="AN23">
        <v>5.0527949999999997</v>
      </c>
      <c r="AO23">
        <v>3.9529999999999999E-3</v>
      </c>
      <c r="AP23">
        <v>3.009433</v>
      </c>
      <c r="AQ23">
        <v>9.4799999999999995E-4</v>
      </c>
      <c r="AR23">
        <v>5.2513199999999998</v>
      </c>
      <c r="AS23">
        <v>1.745E-3</v>
      </c>
      <c r="AT23">
        <v>79.85182406336385</v>
      </c>
    </row>
    <row r="24" spans="1:46" x14ac:dyDescent="0.3">
      <c r="A24">
        <v>134</v>
      </c>
      <c r="E24">
        <v>69.453346168222197</v>
      </c>
      <c r="F24">
        <v>72.046146168222194</v>
      </c>
      <c r="G24">
        <v>66.8605461682222</v>
      </c>
      <c r="H24">
        <v>2.5927999999999969</v>
      </c>
      <c r="J24">
        <v>2610</v>
      </c>
      <c r="K24">
        <v>2031.25</v>
      </c>
      <c r="L24">
        <v>1157.5</v>
      </c>
      <c r="M24">
        <v>3.049776</v>
      </c>
      <c r="N24">
        <v>1.06E-3</v>
      </c>
      <c r="P24">
        <v>28.366381000000001</v>
      </c>
      <c r="Q24">
        <v>5.6003999999999998E-2</v>
      </c>
      <c r="T24">
        <v>4.9988890000000001</v>
      </c>
      <c r="U24">
        <v>2.7999999999999998E-4</v>
      </c>
      <c r="AA24">
        <v>0</v>
      </c>
      <c r="AF24">
        <v>0</v>
      </c>
      <c r="AM24">
        <v>0</v>
      </c>
      <c r="AN24">
        <v>5.0590599999999997</v>
      </c>
      <c r="AO24">
        <v>3.568E-3</v>
      </c>
      <c r="AP24">
        <v>3.008575</v>
      </c>
      <c r="AQ24">
        <v>8.61E-4</v>
      </c>
      <c r="AR24">
        <v>5.2574560000000004</v>
      </c>
      <c r="AS24">
        <v>1.3619999999999999E-3</v>
      </c>
      <c r="AT24">
        <v>80.021432063467913</v>
      </c>
    </row>
    <row r="25" spans="1:46" x14ac:dyDescent="0.3">
      <c r="A25">
        <v>135</v>
      </c>
      <c r="E25">
        <v>69.442663997393566</v>
      </c>
      <c r="F25">
        <v>72.102663997393563</v>
      </c>
      <c r="G25">
        <v>66.782663997393556</v>
      </c>
      <c r="H25">
        <v>2.6600000000000037</v>
      </c>
      <c r="J25">
        <v>2670</v>
      </c>
      <c r="K25">
        <v>2076.25</v>
      </c>
      <c r="L25">
        <v>1187.5</v>
      </c>
      <c r="M25">
        <v>3.0494620000000001</v>
      </c>
      <c r="N25">
        <v>1.1410000000000001E-3</v>
      </c>
      <c r="P25">
        <v>28.357614000000002</v>
      </c>
      <c r="Q25">
        <v>6.0257999999999999E-2</v>
      </c>
      <c r="R25" t="s">
        <v>50</v>
      </c>
      <c r="AA25">
        <v>0</v>
      </c>
      <c r="AF25">
        <v>0</v>
      </c>
      <c r="AM25">
        <v>0</v>
      </c>
    </row>
    <row r="27" spans="1:46" x14ac:dyDescent="0.3">
      <c r="A27" t="s">
        <v>83</v>
      </c>
    </row>
    <row r="28" spans="1:46" x14ac:dyDescent="0.3">
      <c r="A28">
        <v>17</v>
      </c>
      <c r="E28">
        <v>83.727069930842475</v>
      </c>
      <c r="F28">
        <v>85.82706993084247</v>
      </c>
      <c r="G28">
        <v>81.627069930842467</v>
      </c>
      <c r="H28">
        <v>2.1000000000000014</v>
      </c>
      <c r="J28">
        <v>2170</v>
      </c>
      <c r="K28">
        <v>1701.25</v>
      </c>
      <c r="L28">
        <v>937.5</v>
      </c>
      <c r="M28">
        <v>2.996578</v>
      </c>
      <c r="N28">
        <v>1.124E-3</v>
      </c>
      <c r="P28">
        <v>26.907703999999999</v>
      </c>
      <c r="Q28">
        <v>5.8354999999999997E-2</v>
      </c>
      <c r="R28" t="s">
        <v>82</v>
      </c>
      <c r="T28">
        <v>4.9531980000000004</v>
      </c>
      <c r="U28">
        <v>1.8900000000000001E-4</v>
      </c>
      <c r="AL28">
        <v>0</v>
      </c>
      <c r="AN28">
        <v>4.9673439999999998</v>
      </c>
      <c r="AO28">
        <v>6.4450000000000002E-3</v>
      </c>
      <c r="AP28">
        <v>2.9819629999999999</v>
      </c>
      <c r="AQ28">
        <v>2.1489999999999999E-3</v>
      </c>
      <c r="AR28">
        <v>5.1705769999999998</v>
      </c>
      <c r="AS28">
        <v>3.0709999999999999E-3</v>
      </c>
      <c r="AT28">
        <v>76.588832999999994</v>
      </c>
    </row>
    <row r="29" spans="1:46" x14ac:dyDescent="0.3">
      <c r="A29">
        <v>18</v>
      </c>
      <c r="E29">
        <v>83.228067611629882</v>
      </c>
      <c r="F29">
        <v>85.406467611629878</v>
      </c>
      <c r="G29">
        <v>81.049667611629886</v>
      </c>
      <c r="H29">
        <v>2.1783999999999963</v>
      </c>
      <c r="J29">
        <v>2240</v>
      </c>
      <c r="K29">
        <v>1753.75</v>
      </c>
      <c r="L29">
        <v>972.5</v>
      </c>
      <c r="M29">
        <v>2.998567</v>
      </c>
      <c r="N29">
        <v>2.72E-4</v>
      </c>
      <c r="P29">
        <v>26.961326</v>
      </c>
      <c r="Q29">
        <v>1.4116999999999999E-2</v>
      </c>
      <c r="T29">
        <v>4.957052</v>
      </c>
      <c r="U29">
        <v>4.4900000000000002E-4</v>
      </c>
      <c r="AA29">
        <v>0</v>
      </c>
      <c r="AL29">
        <v>0</v>
      </c>
      <c r="AN29">
        <v>4.9623369999999998</v>
      </c>
      <c r="AO29">
        <v>5.0559999999999997E-3</v>
      </c>
      <c r="AP29">
        <v>2.9797959999999999</v>
      </c>
      <c r="AQ29">
        <v>2.5850000000000001E-3</v>
      </c>
      <c r="AR29">
        <v>5.1795989999999996</v>
      </c>
      <c r="AS29">
        <v>3.3579999999999999E-3</v>
      </c>
      <c r="AT29">
        <v>76.589445578516106</v>
      </c>
    </row>
    <row r="30" spans="1:46" x14ac:dyDescent="0.3">
      <c r="A30">
        <v>19</v>
      </c>
      <c r="E30">
        <v>83.432109774872842</v>
      </c>
      <c r="F30">
        <v>85.711309774872845</v>
      </c>
      <c r="G30">
        <v>81.152909774872839</v>
      </c>
      <c r="H30">
        <v>2.279200000000003</v>
      </c>
      <c r="J30">
        <v>2330</v>
      </c>
      <c r="K30">
        <v>1821.25</v>
      </c>
      <c r="L30">
        <v>1017.5</v>
      </c>
      <c r="M30">
        <v>2.9983960000000001</v>
      </c>
      <c r="N30">
        <v>9.7999999999999997E-4</v>
      </c>
      <c r="P30">
        <v>26.956702</v>
      </c>
      <c r="Q30">
        <v>5.0916000000000003E-2</v>
      </c>
      <c r="T30">
        <v>4.9608150000000002</v>
      </c>
      <c r="U30">
        <v>1.2400000000000001E-4</v>
      </c>
      <c r="AA30">
        <v>0</v>
      </c>
      <c r="AL30">
        <v>0</v>
      </c>
      <c r="AN30">
        <v>4.9877289999999999</v>
      </c>
      <c r="AO30">
        <v>7.5110000000000003E-3</v>
      </c>
      <c r="AP30">
        <v>2.9757030000000002</v>
      </c>
      <c r="AQ30">
        <v>3.7729999999999999E-3</v>
      </c>
      <c r="AR30">
        <v>5.1877259999999996</v>
      </c>
      <c r="AS30">
        <v>4.9410000000000001E-3</v>
      </c>
      <c r="AT30">
        <v>76.996230062309877</v>
      </c>
    </row>
    <row r="31" spans="1:46" x14ac:dyDescent="0.3">
      <c r="A31">
        <v>20</v>
      </c>
      <c r="E31">
        <v>83.347776731882902</v>
      </c>
      <c r="F31">
        <v>85.750176731882902</v>
      </c>
      <c r="G31">
        <v>80.945376731882902</v>
      </c>
      <c r="H31">
        <v>2.4024000000000001</v>
      </c>
      <c r="J31">
        <v>2440</v>
      </c>
      <c r="K31">
        <v>1903.75</v>
      </c>
      <c r="L31">
        <v>1072.5</v>
      </c>
      <c r="M31">
        <v>2.9992679999999998</v>
      </c>
      <c r="N31">
        <v>5.71E-4</v>
      </c>
      <c r="P31">
        <v>26.980252</v>
      </c>
      <c r="Q31">
        <v>2.9651E-2</v>
      </c>
      <c r="T31">
        <v>4.9616860000000003</v>
      </c>
      <c r="U31">
        <v>2.3000000000000001E-4</v>
      </c>
      <c r="AA31">
        <v>0</v>
      </c>
      <c r="AL31">
        <v>0</v>
      </c>
      <c r="AN31">
        <v>5.0010630000000003</v>
      </c>
      <c r="AO31">
        <v>2.4399999999999999E-3</v>
      </c>
      <c r="AP31">
        <v>2.9716670000000001</v>
      </c>
      <c r="AQ31">
        <v>1.212E-3</v>
      </c>
      <c r="AR31">
        <v>5.1951349999999996</v>
      </c>
      <c r="AS31">
        <v>1.6000000000000001E-3</v>
      </c>
      <c r="AT31">
        <v>77.207467018773173</v>
      </c>
    </row>
    <row r="32" spans="1:46" x14ac:dyDescent="0.3">
      <c r="A32">
        <v>21</v>
      </c>
      <c r="E32">
        <v>84.151867983977425</v>
      </c>
      <c r="F32">
        <v>86.632667983977427</v>
      </c>
      <c r="G32">
        <v>81.671067983977437</v>
      </c>
      <c r="H32">
        <v>2.480799999999995</v>
      </c>
      <c r="J32">
        <v>2510</v>
      </c>
      <c r="K32">
        <v>1956.25</v>
      </c>
      <c r="L32">
        <v>1107.5</v>
      </c>
      <c r="M32">
        <v>2.9970490000000001</v>
      </c>
      <c r="N32">
        <v>1.952E-3</v>
      </c>
      <c r="P32">
        <v>26.920390000000001</v>
      </c>
      <c r="Q32">
        <v>0.10133499999999999</v>
      </c>
      <c r="T32">
        <v>4.9627670000000004</v>
      </c>
      <c r="U32">
        <v>3.0800000000000001E-4</v>
      </c>
      <c r="AA32">
        <v>0</v>
      </c>
      <c r="AL32">
        <v>0</v>
      </c>
      <c r="AN32">
        <v>5.0077619999999996</v>
      </c>
      <c r="AO32">
        <v>3.9060000000000002E-3</v>
      </c>
      <c r="AP32">
        <v>2.971759</v>
      </c>
      <c r="AQ32">
        <v>1.933E-3</v>
      </c>
      <c r="AR32">
        <v>5.1946969999999997</v>
      </c>
      <c r="AS32">
        <v>2.552E-3</v>
      </c>
      <c r="AT32">
        <v>77.306762812371417</v>
      </c>
    </row>
    <row r="34" spans="1:46" x14ac:dyDescent="0.3">
      <c r="A34">
        <v>37</v>
      </c>
      <c r="E34">
        <v>93.36196591228429</v>
      </c>
      <c r="F34">
        <v>95.529165912284299</v>
      </c>
      <c r="G34">
        <v>91.194765912284296</v>
      </c>
      <c r="H34">
        <v>2.1672000000000011</v>
      </c>
      <c r="J34">
        <v>2230</v>
      </c>
      <c r="K34">
        <v>1746.25</v>
      </c>
      <c r="L34">
        <v>967.5</v>
      </c>
      <c r="M34">
        <v>2.9674670000000001</v>
      </c>
      <c r="N34">
        <v>5.0000000000000002E-5</v>
      </c>
      <c r="P34">
        <v>26.1311</v>
      </c>
      <c r="Q34">
        <v>2.5600000000000002E-3</v>
      </c>
      <c r="R34" t="s">
        <v>82</v>
      </c>
      <c r="T34">
        <v>4.919772</v>
      </c>
      <c r="U34">
        <v>4.37E-4</v>
      </c>
      <c r="AA34">
        <v>0</v>
      </c>
      <c r="AL34">
        <v>0</v>
      </c>
      <c r="AN34">
        <v>4.9320649999999997</v>
      </c>
      <c r="AO34">
        <v>1.537E-3</v>
      </c>
      <c r="AP34">
        <v>2.9524729999999999</v>
      </c>
      <c r="AQ34">
        <v>8.2200000000000003E-4</v>
      </c>
      <c r="AR34">
        <v>5.1464080000000001</v>
      </c>
      <c r="AS34">
        <v>2.0530000000000001E-3</v>
      </c>
      <c r="AT34">
        <v>74.940906100558436</v>
      </c>
    </row>
    <row r="35" spans="1:46" x14ac:dyDescent="0.3">
      <c r="A35">
        <v>38</v>
      </c>
      <c r="E35">
        <v>93.587371414847823</v>
      </c>
      <c r="F35">
        <v>95.933771414847826</v>
      </c>
      <c r="G35">
        <v>91.240971414847834</v>
      </c>
      <c r="H35">
        <v>2.3463999999999956</v>
      </c>
      <c r="J35">
        <v>2390</v>
      </c>
      <c r="K35">
        <v>1866.25</v>
      </c>
      <c r="L35">
        <v>1047.5</v>
      </c>
      <c r="M35">
        <v>2.9675929999999999</v>
      </c>
      <c r="N35">
        <v>4.9100000000000001E-4</v>
      </c>
      <c r="P35">
        <v>26.134437999999999</v>
      </c>
      <c r="Q35">
        <v>2.5259E-2</v>
      </c>
      <c r="T35">
        <v>4.9261600000000003</v>
      </c>
      <c r="U35">
        <v>2.14E-4</v>
      </c>
      <c r="AA35">
        <v>0</v>
      </c>
      <c r="AL35">
        <v>0</v>
      </c>
      <c r="AN35">
        <v>4.9478119999999999</v>
      </c>
      <c r="AO35">
        <v>2.797E-3</v>
      </c>
      <c r="AP35">
        <v>2.9471470000000002</v>
      </c>
      <c r="AQ35">
        <v>9.2400000000000002E-4</v>
      </c>
      <c r="AR35">
        <v>5.1534789999999999</v>
      </c>
      <c r="AS35">
        <v>2.2160000000000001E-3</v>
      </c>
      <c r="AT35">
        <v>75.147666387682733</v>
      </c>
    </row>
    <row r="36" spans="1:46" x14ac:dyDescent="0.3">
      <c r="A36">
        <v>39</v>
      </c>
      <c r="E36">
        <v>93.618819213577453</v>
      </c>
      <c r="F36">
        <v>96.066019213577448</v>
      </c>
      <c r="G36">
        <v>91.171619213577458</v>
      </c>
      <c r="H36">
        <v>2.4471999999999952</v>
      </c>
      <c r="J36">
        <v>2480</v>
      </c>
      <c r="K36">
        <v>1933.75</v>
      </c>
      <c r="L36">
        <v>1092.5</v>
      </c>
      <c r="M36">
        <v>2.9679410000000002</v>
      </c>
      <c r="N36">
        <v>1.4899999999999999E-4</v>
      </c>
      <c r="P36">
        <v>26.143621</v>
      </c>
      <c r="Q36">
        <v>7.6759999999999997E-3</v>
      </c>
      <c r="T36">
        <v>4.9259000000000004</v>
      </c>
      <c r="U36">
        <v>4.1E-5</v>
      </c>
      <c r="AA36">
        <v>0</v>
      </c>
      <c r="AL36">
        <v>0</v>
      </c>
      <c r="AN36">
        <v>4.9586269999999999</v>
      </c>
      <c r="AO36">
        <v>4.2940000000000001E-3</v>
      </c>
      <c r="AP36">
        <v>2.9443450000000002</v>
      </c>
      <c r="AQ36">
        <v>1.5330000000000001E-3</v>
      </c>
      <c r="AR36">
        <v>5.1595599999999999</v>
      </c>
      <c r="AS36">
        <v>2.4069999999999999E-3</v>
      </c>
      <c r="AT36">
        <v>75.329104490075096</v>
      </c>
    </row>
    <row r="37" spans="1:46" x14ac:dyDescent="0.3">
      <c r="A37">
        <v>40</v>
      </c>
      <c r="E37">
        <v>93.391057354655644</v>
      </c>
      <c r="F37">
        <v>95.916657354655655</v>
      </c>
      <c r="G37">
        <v>90.865457354655646</v>
      </c>
      <c r="H37">
        <v>2.5256000000000043</v>
      </c>
      <c r="J37">
        <v>2550</v>
      </c>
      <c r="K37">
        <v>1986.25</v>
      </c>
      <c r="L37">
        <v>1127.5</v>
      </c>
      <c r="M37">
        <v>2.968947</v>
      </c>
      <c r="N37">
        <v>2.1699999999999999E-4</v>
      </c>
      <c r="P37">
        <v>26.170227000000001</v>
      </c>
      <c r="Q37">
        <v>1.1152E-2</v>
      </c>
      <c r="T37">
        <v>4.9260089999999996</v>
      </c>
      <c r="U37">
        <v>1.34E-4</v>
      </c>
      <c r="AA37">
        <v>0</v>
      </c>
      <c r="AL37">
        <v>0</v>
      </c>
      <c r="AN37">
        <v>4.9563540000000001</v>
      </c>
      <c r="AO37">
        <v>1.039E-3</v>
      </c>
      <c r="AP37">
        <v>2.9441609999999998</v>
      </c>
      <c r="AQ37">
        <v>3.2899999999999997E-4</v>
      </c>
      <c r="AR37">
        <v>5.1586369999999997</v>
      </c>
      <c r="AS37">
        <v>5.0500000000000002E-4</v>
      </c>
      <c r="AT37">
        <v>75.276400098253959</v>
      </c>
    </row>
    <row r="39" spans="1:46" x14ac:dyDescent="0.3">
      <c r="A39">
        <v>60</v>
      </c>
      <c r="E39">
        <v>110.60617796554436</v>
      </c>
      <c r="F39">
        <v>112.97497796554435</v>
      </c>
      <c r="G39">
        <v>108.23737796554435</v>
      </c>
      <c r="H39">
        <v>2.3688000000000002</v>
      </c>
      <c r="J39">
        <v>2410</v>
      </c>
      <c r="K39">
        <v>1881.25</v>
      </c>
      <c r="L39">
        <v>1057.5</v>
      </c>
      <c r="M39">
        <v>2.9220790000000001</v>
      </c>
      <c r="N39">
        <v>3.5300000000000002E-4</v>
      </c>
      <c r="P39">
        <v>24.950303000000002</v>
      </c>
      <c r="Q39">
        <v>1.7888000000000001E-2</v>
      </c>
      <c r="R39" t="s">
        <v>82</v>
      </c>
      <c r="T39">
        <v>4.8704850000000004</v>
      </c>
      <c r="U39">
        <v>1.4799999999999999E-4</v>
      </c>
      <c r="AA39">
        <v>0</v>
      </c>
      <c r="AL39">
        <v>0</v>
      </c>
      <c r="AN39">
        <v>4.8856260000000002</v>
      </c>
      <c r="AO39">
        <v>2.1029999999999998E-3</v>
      </c>
      <c r="AP39">
        <v>2.9204159999999999</v>
      </c>
      <c r="AQ39">
        <v>1.333E-3</v>
      </c>
      <c r="AR39">
        <v>5.0840389999999998</v>
      </c>
      <c r="AS39">
        <v>3.0240000000000002E-3</v>
      </c>
      <c r="AT39">
        <v>72.539375225028209</v>
      </c>
    </row>
    <row r="40" spans="1:46" x14ac:dyDescent="0.3">
      <c r="A40">
        <v>61</v>
      </c>
      <c r="E40">
        <v>110.83982021697925</v>
      </c>
      <c r="F40">
        <v>113.33182021697925</v>
      </c>
      <c r="G40">
        <v>108.34782021697924</v>
      </c>
      <c r="H40">
        <v>2.4920000000000044</v>
      </c>
      <c r="J40">
        <v>2520</v>
      </c>
      <c r="K40">
        <v>1963.75</v>
      </c>
      <c r="L40">
        <v>1112.5</v>
      </c>
      <c r="M40">
        <v>2.9219580000000001</v>
      </c>
      <c r="N40">
        <v>6.5499999999999998E-4</v>
      </c>
      <c r="P40">
        <v>24.947201</v>
      </c>
      <c r="Q40">
        <v>3.3125000000000002E-2</v>
      </c>
      <c r="T40">
        <v>4.8745820000000002</v>
      </c>
      <c r="U40">
        <v>6.5499999999999998E-4</v>
      </c>
      <c r="AA40">
        <v>0</v>
      </c>
      <c r="AL40">
        <v>0</v>
      </c>
      <c r="AN40">
        <v>4.8987319999999999</v>
      </c>
      <c r="AO40">
        <v>1.4660000000000001E-3</v>
      </c>
      <c r="AP40">
        <v>2.914666</v>
      </c>
      <c r="AQ40">
        <v>9.1699999999999995E-4</v>
      </c>
      <c r="AR40">
        <v>5.0893540000000002</v>
      </c>
      <c r="AS40">
        <v>2.0969999999999999E-3</v>
      </c>
      <c r="AT40">
        <v>72.666649405604204</v>
      </c>
    </row>
    <row r="41" spans="1:46" x14ac:dyDescent="0.3">
      <c r="A41">
        <v>62</v>
      </c>
      <c r="E41">
        <v>110.81982655376923</v>
      </c>
      <c r="F41">
        <v>113.39022655376924</v>
      </c>
      <c r="G41">
        <v>108.24942655376924</v>
      </c>
      <c r="H41">
        <v>2.5703999999999994</v>
      </c>
      <c r="J41">
        <v>2590</v>
      </c>
      <c r="K41">
        <v>2016.25</v>
      </c>
      <c r="L41">
        <v>1147.5</v>
      </c>
      <c r="M41">
        <v>2.9222990000000002</v>
      </c>
      <c r="N41">
        <v>2.7700000000000001E-4</v>
      </c>
      <c r="P41">
        <v>24.955946000000001</v>
      </c>
      <c r="Q41">
        <v>1.4003E-2</v>
      </c>
      <c r="T41">
        <v>4.8755329999999999</v>
      </c>
      <c r="U41">
        <v>2.0100000000000001E-4</v>
      </c>
      <c r="AA41">
        <v>0</v>
      </c>
      <c r="AL41">
        <v>0</v>
      </c>
      <c r="AN41">
        <v>4.9059540000000004</v>
      </c>
      <c r="AO41">
        <v>7.5299999999999998E-4</v>
      </c>
      <c r="AP41">
        <v>2.9097569999999999</v>
      </c>
      <c r="AQ41">
        <v>4.3600000000000003E-4</v>
      </c>
      <c r="AR41">
        <v>5.1001260000000004</v>
      </c>
      <c r="AS41">
        <v>1.3179999999999999E-3</v>
      </c>
      <c r="AT41">
        <v>72.804982032090948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A22" sqref="A22"/>
    </sheetView>
  </sheetViews>
  <sheetFormatPr baseColWidth="10" defaultRowHeight="14" x14ac:dyDescent="0.3"/>
  <sheetData>
    <row r="1" spans="1:8" x14ac:dyDescent="0.3">
      <c r="A1" s="2">
        <v>104.75903960198185</v>
      </c>
      <c r="B1">
        <v>1730</v>
      </c>
      <c r="C1">
        <v>4.8123180000000003</v>
      </c>
      <c r="D1">
        <v>2.4520000000000002E-3</v>
      </c>
      <c r="E1">
        <v>2.959308</v>
      </c>
      <c r="F1">
        <v>8.4400000000000002E-4</v>
      </c>
      <c r="G1">
        <v>5.0312359999999998</v>
      </c>
      <c r="H1">
        <v>1.3339999999999999E-3</v>
      </c>
    </row>
    <row r="2" spans="1:8" x14ac:dyDescent="0.3">
      <c r="A2" s="2">
        <v>105.1223868681255</v>
      </c>
      <c r="B2">
        <v>1800</v>
      </c>
      <c r="C2">
        <v>4.8204989999999999</v>
      </c>
      <c r="D2">
        <v>1.7440000000000001E-3</v>
      </c>
      <c r="E2">
        <v>2.955066</v>
      </c>
      <c r="F2">
        <v>5.9599999999999996E-4</v>
      </c>
      <c r="G2">
        <v>5.033487</v>
      </c>
      <c r="H2">
        <v>9.4499999999999998E-4</v>
      </c>
    </row>
    <row r="3" spans="1:8" x14ac:dyDescent="0.3">
      <c r="A3" s="2">
        <v>106.20632104454715</v>
      </c>
      <c r="B3">
        <v>1970</v>
      </c>
      <c r="C3">
        <v>4.8334840000000003</v>
      </c>
      <c r="D3">
        <v>2.3149999999999998E-3</v>
      </c>
      <c r="E3">
        <v>2.9459050000000002</v>
      </c>
      <c r="F3">
        <v>5.6099999999999998E-4</v>
      </c>
      <c r="G3">
        <v>5.0473720000000002</v>
      </c>
      <c r="H3">
        <v>1.289E-3</v>
      </c>
    </row>
    <row r="4" spans="1:8" x14ac:dyDescent="0.3">
      <c r="A4" s="2">
        <v>107.93799488665216</v>
      </c>
      <c r="B4">
        <v>1740</v>
      </c>
      <c r="C4">
        <v>4.8265760000000002</v>
      </c>
      <c r="D4">
        <v>2.2690000000000002E-3</v>
      </c>
      <c r="E4">
        <v>2.950863</v>
      </c>
      <c r="F4">
        <v>7.4899999999999999E-4</v>
      </c>
      <c r="G4">
        <v>5.0349880000000002</v>
      </c>
      <c r="H4">
        <v>1.4599999999999999E-3</v>
      </c>
    </row>
    <row r="5" spans="1:8" x14ac:dyDescent="0.3">
      <c r="A5" s="2">
        <v>107.1962788598495</v>
      </c>
      <c r="B5">
        <v>1630</v>
      </c>
      <c r="C5">
        <v>4.8227270000000004</v>
      </c>
      <c r="D5">
        <v>1.804E-3</v>
      </c>
      <c r="E5">
        <v>2.9531890000000001</v>
      </c>
      <c r="F5">
        <v>5.9800000000000001E-4</v>
      </c>
      <c r="G5">
        <v>5.0307769999999996</v>
      </c>
      <c r="H5">
        <v>1.1609999999999999E-3</v>
      </c>
    </row>
    <row r="6" spans="1:8" x14ac:dyDescent="0.3">
      <c r="A6" s="2">
        <v>107.35219845822768</v>
      </c>
      <c r="B6">
        <v>1540</v>
      </c>
      <c r="C6">
        <v>4.8180249999999996</v>
      </c>
      <c r="D6">
        <v>1.444E-3</v>
      </c>
      <c r="E6">
        <v>2.9557540000000002</v>
      </c>
      <c r="F6">
        <v>4.8099999999999998E-4</v>
      </c>
      <c r="G6">
        <v>5.0255660000000004</v>
      </c>
      <c r="H6">
        <v>9.3000000000000005E-4</v>
      </c>
    </row>
    <row r="7" spans="1:8" x14ac:dyDescent="0.3">
      <c r="A7" s="2">
        <v>107.37308650438732</v>
      </c>
      <c r="B7">
        <v>1440</v>
      </c>
      <c r="C7">
        <v>4.8149660000000001</v>
      </c>
      <c r="D7">
        <v>1.1360000000000001E-3</v>
      </c>
      <c r="E7">
        <v>2.957322</v>
      </c>
      <c r="F7">
        <v>4.1800000000000002E-4</v>
      </c>
      <c r="G7">
        <v>5.0223579999999997</v>
      </c>
      <c r="H7">
        <v>8.2100000000000001E-4</v>
      </c>
    </row>
    <row r="8" spans="1:8" x14ac:dyDescent="0.3">
      <c r="A8" s="2">
        <v>107.46407163664585</v>
      </c>
      <c r="B8">
        <v>1340</v>
      </c>
      <c r="C8">
        <v>4.8124399999999996</v>
      </c>
      <c r="D8">
        <v>1.178E-3</v>
      </c>
      <c r="E8">
        <v>2.958253</v>
      </c>
      <c r="F8">
        <v>4.35E-4</v>
      </c>
      <c r="G8">
        <v>5.0191699999999999</v>
      </c>
      <c r="H8">
        <v>8.5099999999999998E-4</v>
      </c>
    </row>
    <row r="9" spans="1:8" x14ac:dyDescent="0.3">
      <c r="A9" s="2">
        <v>107.48441681678139</v>
      </c>
      <c r="B9">
        <v>1340</v>
      </c>
      <c r="C9">
        <v>4.812589</v>
      </c>
      <c r="D9">
        <v>1.1559999999999999E-3</v>
      </c>
      <c r="E9">
        <v>2.9583159999999999</v>
      </c>
      <c r="F9">
        <v>4.2700000000000002E-4</v>
      </c>
      <c r="G9">
        <v>5.0181589999999998</v>
      </c>
      <c r="H9">
        <v>8.3500000000000002E-4</v>
      </c>
    </row>
    <row r="10" spans="1:8" x14ac:dyDescent="0.3">
      <c r="A10" s="2">
        <v>108.10597438372487</v>
      </c>
      <c r="B10">
        <v>1700</v>
      </c>
      <c r="C10">
        <v>4.8222690000000004</v>
      </c>
      <c r="D10">
        <v>1.719E-3</v>
      </c>
      <c r="E10">
        <v>2.953049</v>
      </c>
      <c r="F10">
        <v>5.6999999999999998E-4</v>
      </c>
      <c r="G10">
        <v>5.0300739999999999</v>
      </c>
      <c r="H10">
        <v>1.1069999999999999E-3</v>
      </c>
    </row>
    <row r="11" spans="1:8" x14ac:dyDescent="0.3">
      <c r="A11" s="2">
        <v>108.20975034866407</v>
      </c>
      <c r="B11">
        <v>1800</v>
      </c>
      <c r="C11">
        <v>4.8291690000000003</v>
      </c>
      <c r="D11">
        <v>2.0799999999999998E-3</v>
      </c>
      <c r="E11">
        <v>2.9492769999999999</v>
      </c>
      <c r="F11">
        <v>6.8499999999999995E-4</v>
      </c>
      <c r="G11">
        <v>5.0337420000000002</v>
      </c>
      <c r="H11">
        <v>1.335E-3</v>
      </c>
    </row>
    <row r="12" spans="1:8" x14ac:dyDescent="0.3">
      <c r="A12" s="2">
        <v>108.33363681764186</v>
      </c>
      <c r="B12">
        <v>1850</v>
      </c>
      <c r="C12">
        <v>4.8316359999999996</v>
      </c>
      <c r="D12">
        <v>2.147E-3</v>
      </c>
      <c r="E12">
        <v>2.9475069999999999</v>
      </c>
      <c r="F12">
        <v>7.0500000000000001E-4</v>
      </c>
      <c r="G12">
        <v>5.0354640000000002</v>
      </c>
      <c r="H12">
        <v>1.3780000000000001E-3</v>
      </c>
    </row>
    <row r="13" spans="1:8" x14ac:dyDescent="0.3">
      <c r="A13" s="2">
        <v>108.23461946740204</v>
      </c>
      <c r="B13">
        <v>1990</v>
      </c>
      <c r="C13">
        <v>4.8380179999999999</v>
      </c>
      <c r="D13">
        <v>1.008E-3</v>
      </c>
      <c r="E13">
        <v>2.940731</v>
      </c>
      <c r="F13">
        <v>5.5800000000000001E-4</v>
      </c>
      <c r="G13">
        <v>5.0534239999999997</v>
      </c>
      <c r="H13">
        <v>6.2E-4</v>
      </c>
    </row>
    <row r="14" spans="1:8" x14ac:dyDescent="0.3">
      <c r="A14" s="2">
        <v>108.18976576416247</v>
      </c>
      <c r="B14">
        <v>2070</v>
      </c>
      <c r="C14">
        <v>4.8453869999999997</v>
      </c>
      <c r="D14">
        <v>4.0330000000000001E-3</v>
      </c>
      <c r="E14">
        <v>2.9391340000000001</v>
      </c>
      <c r="F14">
        <v>2.2179999999999999E-3</v>
      </c>
      <c r="G14">
        <v>5.0491809999999999</v>
      </c>
      <c r="H14">
        <v>2.464E-3</v>
      </c>
    </row>
    <row r="15" spans="1:8" x14ac:dyDescent="0.3">
      <c r="A15" s="2">
        <v>110.15107269267875</v>
      </c>
      <c r="B15">
        <v>2160</v>
      </c>
      <c r="C15">
        <v>4.8576579999999998</v>
      </c>
      <c r="D15">
        <v>8.6899999999999998E-4</v>
      </c>
      <c r="E15">
        <v>2.9310990000000001</v>
      </c>
      <c r="F15">
        <v>7.5900000000000002E-4</v>
      </c>
      <c r="G15">
        <v>5.0657189999999996</v>
      </c>
      <c r="H15">
        <v>1.013E-3</v>
      </c>
    </row>
    <row r="16" spans="1:8" x14ac:dyDescent="0.3">
      <c r="A16" s="2">
        <v>109.47894966341408</v>
      </c>
      <c r="B16">
        <v>2250</v>
      </c>
      <c r="C16">
        <v>4.8661070000000004</v>
      </c>
      <c r="D16">
        <v>1.6000000000000001E-3</v>
      </c>
      <c r="E16">
        <v>2.9250400000000001</v>
      </c>
      <c r="F16">
        <v>2.3210000000000001E-3</v>
      </c>
      <c r="G16">
        <v>5.0734839999999997</v>
      </c>
      <c r="H16">
        <v>1.377E-3</v>
      </c>
    </row>
    <row r="17" spans="1:8" x14ac:dyDescent="0.3">
      <c r="A17">
        <v>110.60617796554436</v>
      </c>
      <c r="B17">
        <v>2410</v>
      </c>
      <c r="C17">
        <v>4.8856260000000002</v>
      </c>
      <c r="D17">
        <v>2.1029999999999998E-3</v>
      </c>
      <c r="E17">
        <v>2.9204159999999999</v>
      </c>
      <c r="F17">
        <v>1.333E-3</v>
      </c>
      <c r="G17">
        <v>5.0840389999999998</v>
      </c>
      <c r="H17">
        <v>3.0240000000000002E-3</v>
      </c>
    </row>
    <row r="18" spans="1:8" x14ac:dyDescent="0.3">
      <c r="A18">
        <v>110.83982021697925</v>
      </c>
      <c r="B18">
        <v>2520</v>
      </c>
      <c r="C18">
        <v>4.8987319999999999</v>
      </c>
      <c r="D18">
        <v>1.4660000000000001E-3</v>
      </c>
      <c r="E18">
        <v>2.914666</v>
      </c>
      <c r="F18">
        <v>9.1699999999999995E-4</v>
      </c>
      <c r="G18">
        <v>5.0893540000000002</v>
      </c>
      <c r="H18">
        <v>2.0969999999999999E-3</v>
      </c>
    </row>
    <row r="19" spans="1:8" x14ac:dyDescent="0.3">
      <c r="A19">
        <v>110.81982655376923</v>
      </c>
      <c r="B19">
        <v>2590</v>
      </c>
      <c r="C19">
        <v>4.9059540000000004</v>
      </c>
      <c r="D19">
        <v>7.5299999999999998E-4</v>
      </c>
      <c r="E19">
        <v>2.9097569999999999</v>
      </c>
      <c r="F19">
        <v>4.3600000000000003E-4</v>
      </c>
      <c r="G19">
        <v>5.1001260000000004</v>
      </c>
      <c r="H19">
        <v>1.3179999999999999E-3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opLeftCell="L1" workbookViewId="0">
      <selection activeCell="N15" sqref="N15"/>
    </sheetView>
  </sheetViews>
  <sheetFormatPr baseColWidth="10" defaultRowHeight="14" x14ac:dyDescent="0.3"/>
  <sheetData>
    <row r="1" spans="1:19" x14ac:dyDescent="0.3">
      <c r="A1">
        <v>63.554559125904262</v>
      </c>
      <c r="B1">
        <v>1300</v>
      </c>
      <c r="M1">
        <v>4.921087</v>
      </c>
      <c r="N1">
        <v>4.0130000000000001E-3</v>
      </c>
      <c r="O1">
        <v>3.0968520000000002</v>
      </c>
      <c r="P1">
        <v>2.323E-3</v>
      </c>
      <c r="Q1">
        <v>5.2033139999999998</v>
      </c>
      <c r="R1">
        <v>1.916E-3</v>
      </c>
      <c r="S1">
        <f>M1*O1*Q1</f>
        <v>79.297871170328264</v>
      </c>
    </row>
    <row r="2" spans="1:19" x14ac:dyDescent="0.3">
      <c r="A2">
        <v>63.473826094241318</v>
      </c>
      <c r="B2">
        <v>1340</v>
      </c>
      <c r="M2">
        <v>4.9408139999999996</v>
      </c>
      <c r="N2">
        <v>4.1609999999999998E-3</v>
      </c>
      <c r="O2">
        <v>3.0818449999999999</v>
      </c>
      <c r="P2">
        <v>1.333E-3</v>
      </c>
      <c r="Q2">
        <v>5.2107890000000001</v>
      </c>
      <c r="R2">
        <v>1.9910000000000001E-3</v>
      </c>
      <c r="S2">
        <f t="shared" ref="S2:S10" si="0">M2*O2*Q2</f>
        <v>79.343761386019622</v>
      </c>
    </row>
    <row r="3" spans="1:19" x14ac:dyDescent="0.3">
      <c r="A3">
        <v>63.35229680129563</v>
      </c>
      <c r="B3">
        <v>1420</v>
      </c>
      <c r="M3">
        <v>4.9582819999999996</v>
      </c>
      <c r="N3">
        <v>3.3509999999999998E-3</v>
      </c>
      <c r="O3">
        <v>3.0719959999999999</v>
      </c>
      <c r="P3">
        <v>1.0549999999999999E-3</v>
      </c>
      <c r="Q3">
        <v>5.2123910000000002</v>
      </c>
      <c r="R3">
        <v>1.5889999999999999E-3</v>
      </c>
      <c r="S3">
        <f t="shared" si="0"/>
        <v>79.394214360770974</v>
      </c>
    </row>
    <row r="4" spans="1:19" x14ac:dyDescent="0.3">
      <c r="A4">
        <v>63.683341509462913</v>
      </c>
      <c r="B4">
        <v>1480</v>
      </c>
      <c r="M4">
        <v>4.9668840000000003</v>
      </c>
      <c r="N4">
        <v>2.6129999999999999E-3</v>
      </c>
      <c r="O4">
        <v>3.0668489999999999</v>
      </c>
      <c r="P4">
        <v>8.1599999999999999E-4</v>
      </c>
      <c r="Q4">
        <v>5.2145820000000001</v>
      </c>
      <c r="R4">
        <v>1.235E-3</v>
      </c>
      <c r="S4">
        <f t="shared" si="0"/>
        <v>79.432075775121419</v>
      </c>
    </row>
    <row r="5" spans="1:19" x14ac:dyDescent="0.3">
      <c r="A5">
        <v>63.310858314855714</v>
      </c>
      <c r="B5">
        <v>1550</v>
      </c>
      <c r="M5">
        <v>4.9736159999999998</v>
      </c>
      <c r="N5">
        <v>2.6090000000000002E-3</v>
      </c>
      <c r="O5">
        <v>3.0633819999999998</v>
      </c>
      <c r="P5">
        <v>8.0999999999999996E-4</v>
      </c>
      <c r="Q5">
        <v>5.2173990000000003</v>
      </c>
      <c r="R5">
        <v>1.23E-3</v>
      </c>
      <c r="S5">
        <f t="shared" si="0"/>
        <v>79.492738448026699</v>
      </c>
    </row>
    <row r="6" spans="1:19" x14ac:dyDescent="0.3">
      <c r="A6">
        <v>63.503563436738332</v>
      </c>
      <c r="B6">
        <v>1630</v>
      </c>
      <c r="M6">
        <v>4.9788309999999996</v>
      </c>
      <c r="N6">
        <v>4.9950000000000003E-3</v>
      </c>
      <c r="O6">
        <v>3.0581680000000002</v>
      </c>
      <c r="P6">
        <v>1.212E-3</v>
      </c>
      <c r="Q6">
        <v>5.2220500000000003</v>
      </c>
      <c r="R6">
        <v>1.8010000000000001E-3</v>
      </c>
      <c r="S6">
        <f t="shared" si="0"/>
        <v>79.511464077559069</v>
      </c>
    </row>
    <row r="7" spans="1:19" x14ac:dyDescent="0.3">
      <c r="A7">
        <v>63.567151008611006</v>
      </c>
      <c r="B7">
        <v>1680</v>
      </c>
      <c r="M7">
        <v>4.9904310000000001</v>
      </c>
      <c r="N7">
        <v>2.882E-3</v>
      </c>
      <c r="O7">
        <v>3.0526909999999998</v>
      </c>
      <c r="P7">
        <v>7.3899999999999997E-4</v>
      </c>
      <c r="Q7">
        <v>5.2283179999999998</v>
      </c>
      <c r="R7">
        <v>1.3029999999999999E-3</v>
      </c>
      <c r="S7">
        <f t="shared" si="0"/>
        <v>79.649471074992533</v>
      </c>
    </row>
    <row r="8" spans="1:19" x14ac:dyDescent="0.3">
      <c r="A8">
        <v>63.219500882986019</v>
      </c>
      <c r="B8">
        <v>1760</v>
      </c>
      <c r="M8">
        <v>5.0020800000000003</v>
      </c>
      <c r="N8">
        <v>3.8070000000000001E-3</v>
      </c>
      <c r="O8">
        <v>3.0466500000000001</v>
      </c>
      <c r="P8">
        <v>9.6599999999999995E-4</v>
      </c>
      <c r="Q8">
        <v>5.2334690000000004</v>
      </c>
      <c r="R8">
        <v>1.7149999999999999E-3</v>
      </c>
      <c r="S8">
        <f t="shared" si="0"/>
        <v>79.755906304774015</v>
      </c>
    </row>
    <row r="9" spans="1:19" x14ac:dyDescent="0.3">
      <c r="A9">
        <v>63.255362101010661</v>
      </c>
      <c r="B9">
        <v>1830</v>
      </c>
      <c r="M9">
        <v>5.0063810000000002</v>
      </c>
      <c r="N9">
        <v>3.627E-3</v>
      </c>
      <c r="O9">
        <v>3.0443120000000001</v>
      </c>
      <c r="P9">
        <v>9.1699999999999995E-4</v>
      </c>
      <c r="Q9">
        <v>5.2381549999999999</v>
      </c>
      <c r="R9">
        <v>1.634E-3</v>
      </c>
      <c r="S9">
        <f t="shared" si="0"/>
        <v>79.834645736811552</v>
      </c>
    </row>
    <row r="10" spans="1:19" x14ac:dyDescent="0.3">
      <c r="A10">
        <v>63.200884626017235</v>
      </c>
      <c r="B10">
        <v>1900</v>
      </c>
      <c r="M10">
        <v>5.0160999999999998</v>
      </c>
      <c r="N10">
        <v>5.0270000000000002E-3</v>
      </c>
      <c r="O10">
        <v>3.0384899999999999</v>
      </c>
      <c r="P10">
        <v>1.2589999999999999E-3</v>
      </c>
      <c r="Q10">
        <v>5.2456139999999998</v>
      </c>
      <c r="R10">
        <v>2.2599999999999999E-3</v>
      </c>
      <c r="S10">
        <f t="shared" si="0"/>
        <v>79.950342219794038</v>
      </c>
    </row>
    <row r="11" spans="1:19" x14ac:dyDescent="0.3">
      <c r="A11">
        <v>63.091035513054791</v>
      </c>
      <c r="B11">
        <v>1980</v>
      </c>
      <c r="C11">
        <v>6.068594</v>
      </c>
      <c r="D11">
        <v>2.9780000000000002E-3</v>
      </c>
      <c r="E11">
        <v>5.022113</v>
      </c>
      <c r="F11">
        <v>8.0160000000000006E-3</v>
      </c>
      <c r="S11">
        <f>(((C11)*COS(RADIANS(30)))*C11*E11)/2</f>
        <v>80.087231888684059</v>
      </c>
    </row>
    <row r="12" spans="1:19" x14ac:dyDescent="0.3">
      <c r="A12">
        <v>63.034347149059208</v>
      </c>
      <c r="B12">
        <v>2060</v>
      </c>
      <c r="C12">
        <v>6.0700640000000003</v>
      </c>
      <c r="D12">
        <v>1.3489999999999999E-3</v>
      </c>
      <c r="E12">
        <v>5.0317809999999996</v>
      </c>
      <c r="F12">
        <v>3.6480000000000002E-3</v>
      </c>
      <c r="S12">
        <f t="shared" ref="S12:S16" si="1">(((C12)*COS(RADIANS(30)))*C12*E12)/2</f>
        <v>80.280285285180625</v>
      </c>
    </row>
    <row r="13" spans="1:19" x14ac:dyDescent="0.3">
      <c r="A13">
        <v>63.455062590586415</v>
      </c>
      <c r="B13">
        <v>2180</v>
      </c>
      <c r="C13">
        <v>6.0723830000000003</v>
      </c>
      <c r="D13">
        <v>1.0189999999999999E-3</v>
      </c>
      <c r="E13">
        <v>5.0389480000000004</v>
      </c>
      <c r="F13">
        <v>2.7620000000000001E-3</v>
      </c>
      <c r="S13">
        <f t="shared" si="1"/>
        <v>80.456071706460136</v>
      </c>
    </row>
    <row r="14" spans="1:19" x14ac:dyDescent="0.3">
      <c r="A14">
        <v>63.012229125797475</v>
      </c>
      <c r="B14">
        <v>2280</v>
      </c>
      <c r="C14">
        <v>6.0743020000000003</v>
      </c>
      <c r="D14">
        <v>8.5099999999999998E-4</v>
      </c>
      <c r="E14">
        <v>5.0486240000000002</v>
      </c>
      <c r="F14">
        <v>2.3180000000000002E-3</v>
      </c>
      <c r="S14">
        <f t="shared" si="1"/>
        <v>80.661524140976482</v>
      </c>
    </row>
    <row r="15" spans="1:19" x14ac:dyDescent="0.3">
      <c r="A15">
        <v>63.606991249604157</v>
      </c>
      <c r="B15">
        <v>2370</v>
      </c>
      <c r="C15">
        <v>6.0730019999999998</v>
      </c>
      <c r="D15">
        <v>1.3799999999999999E-3</v>
      </c>
      <c r="E15">
        <v>5.0595100000000004</v>
      </c>
      <c r="F15">
        <v>3.7820000000000002E-3</v>
      </c>
      <c r="S15">
        <f t="shared" si="1"/>
        <v>80.800852512090671</v>
      </c>
    </row>
    <row r="16" spans="1:19" x14ac:dyDescent="0.3">
      <c r="A16">
        <v>63.430978445453057</v>
      </c>
      <c r="B16">
        <v>2420</v>
      </c>
      <c r="C16">
        <v>6.0774309999999998</v>
      </c>
      <c r="D16">
        <v>4.7670000000000004E-3</v>
      </c>
      <c r="E16">
        <v>5.0759780000000001</v>
      </c>
      <c r="F16">
        <v>1.3152E-2</v>
      </c>
      <c r="S16">
        <f t="shared" si="1"/>
        <v>81.182129793934337</v>
      </c>
    </row>
    <row r="17" spans="1:19" x14ac:dyDescent="0.3">
      <c r="A17">
        <v>63.863466026383918</v>
      </c>
      <c r="B17">
        <v>2510</v>
      </c>
      <c r="M17">
        <v>5.0807289999999998</v>
      </c>
      <c r="N17">
        <v>3.9960000000000004E-3</v>
      </c>
      <c r="O17">
        <v>3.0326879999999998</v>
      </c>
      <c r="P17">
        <v>1.279E-3</v>
      </c>
      <c r="Q17">
        <v>5.2865799999999998</v>
      </c>
      <c r="R17">
        <v>2.2769999999999999E-3</v>
      </c>
      <c r="S17">
        <f>Q17*O17*M17</f>
        <v>81.45703018065619</v>
      </c>
    </row>
    <row r="18" spans="1:19" x14ac:dyDescent="0.3">
      <c r="A18">
        <v>63.241833612979384</v>
      </c>
      <c r="B18">
        <v>2540</v>
      </c>
      <c r="M18">
        <v>5.0874969999999999</v>
      </c>
      <c r="N18">
        <v>1.4499999999999999E-3</v>
      </c>
      <c r="O18">
        <v>3.0346000000000002</v>
      </c>
      <c r="P18">
        <v>4.8099999999999998E-4</v>
      </c>
      <c r="Q18">
        <v>5.2807589999999998</v>
      </c>
      <c r="R18">
        <v>1.139E-3</v>
      </c>
      <c r="S18">
        <f>Q18*O18*M18</f>
        <v>81.52709496739871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35"/>
  <sheetViews>
    <sheetView topLeftCell="U13" workbookViewId="0">
      <selection activeCell="AK31" sqref="AK31"/>
    </sheetView>
  </sheetViews>
  <sheetFormatPr baseColWidth="10" defaultRowHeight="14" x14ac:dyDescent="0.3"/>
  <sheetData>
    <row r="1" spans="1:32" x14ac:dyDescent="0.3">
      <c r="A1" t="s">
        <v>1</v>
      </c>
      <c r="B1" t="s">
        <v>21</v>
      </c>
      <c r="C1" t="s">
        <v>30</v>
      </c>
      <c r="D1" t="s">
        <v>31</v>
      </c>
      <c r="F1" t="s">
        <v>34</v>
      </c>
      <c r="G1" t="s">
        <v>32</v>
      </c>
      <c r="H1" t="s">
        <v>33</v>
      </c>
      <c r="I1" t="s">
        <v>28</v>
      </c>
      <c r="K1" t="s">
        <v>38</v>
      </c>
      <c r="L1" t="s">
        <v>32</v>
      </c>
      <c r="M1" t="s">
        <v>39</v>
      </c>
      <c r="N1" t="s">
        <v>28</v>
      </c>
      <c r="P1" t="s">
        <v>40</v>
      </c>
      <c r="Q1" t="s">
        <v>27</v>
      </c>
      <c r="R1" t="s">
        <v>41</v>
      </c>
      <c r="S1" t="s">
        <v>42</v>
      </c>
      <c r="T1" t="s">
        <v>43</v>
      </c>
      <c r="U1" t="s">
        <v>28</v>
      </c>
      <c r="W1" t="s">
        <v>47</v>
      </c>
      <c r="X1" t="s">
        <v>27</v>
      </c>
      <c r="Y1" t="s">
        <v>48</v>
      </c>
      <c r="Z1" t="s">
        <v>42</v>
      </c>
      <c r="AA1" t="s">
        <v>49</v>
      </c>
      <c r="AB1" t="s">
        <v>28</v>
      </c>
      <c r="AC1" t="s">
        <v>52</v>
      </c>
      <c r="AD1" t="s">
        <v>53</v>
      </c>
      <c r="AE1" t="s">
        <v>54</v>
      </c>
      <c r="AF1" t="s">
        <v>55</v>
      </c>
    </row>
    <row r="2" spans="1:32" x14ac:dyDescent="0.3">
      <c r="A2">
        <v>28.991326907416749</v>
      </c>
      <c r="B2">
        <v>1420</v>
      </c>
      <c r="C2">
        <v>5.1927459999999996</v>
      </c>
      <c r="D2">
        <v>1.8500000000000001E-3</v>
      </c>
      <c r="F2">
        <v>6.343458</v>
      </c>
      <c r="G2">
        <v>1.423E-3</v>
      </c>
      <c r="H2">
        <v>5.2144089999999998</v>
      </c>
      <c r="I2">
        <v>3.8769999999999998E-3</v>
      </c>
      <c r="T2">
        <v>0</v>
      </c>
      <c r="AC2">
        <f>(F2*COS(RADIANS(30))*F2*H2)/2</f>
        <v>90.856889844940895</v>
      </c>
      <c r="AD2">
        <f t="shared" ref="AD2:AD7" si="0">(K2*COS(RADIANS(30))*K2*M2)*2</f>
        <v>0</v>
      </c>
      <c r="AE2">
        <f>P2*R2*T2</f>
        <v>0</v>
      </c>
      <c r="AF2">
        <f>W2*Y2*AA2</f>
        <v>0</v>
      </c>
    </row>
    <row r="3" spans="1:32" x14ac:dyDescent="0.3">
      <c r="A3" t="e">
        <v>#DIV/0!</v>
      </c>
      <c r="B3">
        <v>300</v>
      </c>
      <c r="T3">
        <v>0</v>
      </c>
      <c r="AC3">
        <f t="shared" ref="AC3:AC66" si="1">(F3*COS(RADIANS(30))*F3*H3)/2</f>
        <v>0</v>
      </c>
      <c r="AD3">
        <f t="shared" si="0"/>
        <v>0</v>
      </c>
      <c r="AE3">
        <f t="shared" ref="AE3:AE66" si="2">P3*R3*T3</f>
        <v>0</v>
      </c>
      <c r="AF3">
        <f t="shared" ref="AF3:AF66" si="3">W3*Y3*AA3</f>
        <v>0</v>
      </c>
    </row>
    <row r="4" spans="1:32" x14ac:dyDescent="0.3">
      <c r="A4">
        <v>29.214913231545133</v>
      </c>
      <c r="B4">
        <v>1450</v>
      </c>
      <c r="C4">
        <v>5.1931649999999996</v>
      </c>
      <c r="D4">
        <v>1.5169999999999999E-3</v>
      </c>
      <c r="F4">
        <v>6.3443940000000003</v>
      </c>
      <c r="G4">
        <v>2.7799999999999999E-3</v>
      </c>
      <c r="H4">
        <v>5.2222249999999999</v>
      </c>
      <c r="I4">
        <v>5.3499999999999997E-3</v>
      </c>
      <c r="AC4">
        <f t="shared" si="1"/>
        <v>91.019932060520816</v>
      </c>
      <c r="AD4">
        <f t="shared" si="0"/>
        <v>0</v>
      </c>
      <c r="AE4">
        <f t="shared" si="2"/>
        <v>0</v>
      </c>
      <c r="AF4">
        <f t="shared" si="3"/>
        <v>0</v>
      </c>
    </row>
    <row r="5" spans="1:32" x14ac:dyDescent="0.3">
      <c r="A5">
        <v>29.191166035484319</v>
      </c>
      <c r="B5">
        <v>1530</v>
      </c>
      <c r="C5">
        <v>5.1977669999999998</v>
      </c>
      <c r="D5">
        <v>5.1500000000000005E-4</v>
      </c>
      <c r="F5">
        <v>6.3601210000000004</v>
      </c>
      <c r="G5">
        <v>1.3944E-2</v>
      </c>
      <c r="H5">
        <v>5.2188230000000004</v>
      </c>
      <c r="I5">
        <v>3.6586E-2</v>
      </c>
      <c r="AC5">
        <f t="shared" si="1"/>
        <v>91.412157644083564</v>
      </c>
      <c r="AD5">
        <f t="shared" si="0"/>
        <v>0</v>
      </c>
      <c r="AE5">
        <f t="shared" si="2"/>
        <v>0</v>
      </c>
      <c r="AF5">
        <f t="shared" si="3"/>
        <v>0</v>
      </c>
    </row>
    <row r="6" spans="1:32" x14ac:dyDescent="0.3">
      <c r="A6">
        <v>29.169616062421447</v>
      </c>
      <c r="B6">
        <v>1610</v>
      </c>
      <c r="C6">
        <v>5.2002050000000004</v>
      </c>
      <c r="D6">
        <v>6.2699999999999995E-4</v>
      </c>
      <c r="F6">
        <v>6.3638969999999997</v>
      </c>
      <c r="G6">
        <v>7.4960000000000001E-3</v>
      </c>
      <c r="H6">
        <v>5.2307990000000002</v>
      </c>
      <c r="I6">
        <v>2.0423E-2</v>
      </c>
      <c r="AC6">
        <f t="shared" si="1"/>
        <v>91.730751609134231</v>
      </c>
      <c r="AD6">
        <f t="shared" si="0"/>
        <v>0</v>
      </c>
      <c r="AE6">
        <f t="shared" si="2"/>
        <v>0</v>
      </c>
      <c r="AF6">
        <f t="shared" si="3"/>
        <v>0</v>
      </c>
    </row>
    <row r="7" spans="1:32" x14ac:dyDescent="0.3">
      <c r="A7">
        <v>29.134408193143877</v>
      </c>
      <c r="B7">
        <v>1710</v>
      </c>
      <c r="C7">
        <v>5.2053060000000002</v>
      </c>
      <c r="D7">
        <v>8.3199999999999995E-4</v>
      </c>
      <c r="F7">
        <v>6.3680339999999998</v>
      </c>
      <c r="G7">
        <v>1.8931E-2</v>
      </c>
      <c r="H7">
        <v>5.2602209999999996</v>
      </c>
      <c r="I7">
        <v>5.2290999999999997E-2</v>
      </c>
      <c r="AC7">
        <f t="shared" si="1"/>
        <v>92.366688514811571</v>
      </c>
      <c r="AD7">
        <f t="shared" si="0"/>
        <v>0</v>
      </c>
      <c r="AE7">
        <f t="shared" si="2"/>
        <v>0</v>
      </c>
      <c r="AF7">
        <f t="shared" si="3"/>
        <v>0</v>
      </c>
    </row>
    <row r="8" spans="1:32" x14ac:dyDescent="0.3">
      <c r="A8">
        <v>29.367570085928797</v>
      </c>
      <c r="B8">
        <v>1840</v>
      </c>
      <c r="C8">
        <v>5.2080390000000003</v>
      </c>
      <c r="D8">
        <v>8.4800000000000001E-4</v>
      </c>
      <c r="K8">
        <v>3.1930260000000001</v>
      </c>
      <c r="L8">
        <v>2.4600000000000002E-4</v>
      </c>
      <c r="M8">
        <v>5.2553669999999997</v>
      </c>
      <c r="N8">
        <v>1.2470000000000001E-3</v>
      </c>
      <c r="AC8">
        <f t="shared" si="1"/>
        <v>0</v>
      </c>
      <c r="AD8">
        <f>(K8*COS(RADIANS(30))*K8*M8)*2</f>
        <v>92.804404179558347</v>
      </c>
      <c r="AE8">
        <f t="shared" si="2"/>
        <v>0</v>
      </c>
      <c r="AF8">
        <f t="shared" si="3"/>
        <v>0</v>
      </c>
    </row>
    <row r="9" spans="1:32" x14ac:dyDescent="0.3">
      <c r="A9">
        <v>29.635179361156258</v>
      </c>
      <c r="B9">
        <v>2000</v>
      </c>
      <c r="C9">
        <v>5.2112689999999997</v>
      </c>
      <c r="D9">
        <v>1.8060000000000001E-3</v>
      </c>
      <c r="K9">
        <v>3.1966139999999998</v>
      </c>
      <c r="L9">
        <v>2.4899999999999998E-4</v>
      </c>
      <c r="M9">
        <v>5.2768769999999998</v>
      </c>
      <c r="N9">
        <v>1.276E-3</v>
      </c>
      <c r="AC9">
        <f t="shared" si="1"/>
        <v>0</v>
      </c>
      <c r="AD9">
        <f t="shared" ref="AD9:AD72" si="4">(K9*COS(RADIANS(30))*K9*M9)*2</f>
        <v>93.393788522376227</v>
      </c>
      <c r="AE9">
        <f t="shared" si="2"/>
        <v>0</v>
      </c>
      <c r="AF9">
        <f t="shared" si="3"/>
        <v>0</v>
      </c>
    </row>
    <row r="10" spans="1:32" x14ac:dyDescent="0.3">
      <c r="A10">
        <v>26.97300819460143</v>
      </c>
      <c r="B10">
        <v>300</v>
      </c>
      <c r="AC10">
        <f t="shared" si="1"/>
        <v>0</v>
      </c>
      <c r="AD10">
        <f t="shared" si="4"/>
        <v>0</v>
      </c>
      <c r="AE10">
        <f t="shared" si="2"/>
        <v>0</v>
      </c>
      <c r="AF10">
        <f t="shared" si="3"/>
        <v>0</v>
      </c>
    </row>
    <row r="11" spans="1:32" x14ac:dyDescent="0.3">
      <c r="A11">
        <v>33.021423622559148</v>
      </c>
      <c r="B11">
        <v>300</v>
      </c>
      <c r="AC11">
        <f t="shared" si="1"/>
        <v>0</v>
      </c>
      <c r="AD11">
        <f t="shared" si="4"/>
        <v>0</v>
      </c>
      <c r="AE11">
        <f t="shared" si="2"/>
        <v>0</v>
      </c>
      <c r="AF11">
        <f t="shared" si="3"/>
        <v>0</v>
      </c>
    </row>
    <row r="12" spans="1:32" x14ac:dyDescent="0.3">
      <c r="A12">
        <v>32.962839877898482</v>
      </c>
      <c r="B12">
        <v>1270</v>
      </c>
      <c r="C12">
        <v>5.1714589999999996</v>
      </c>
      <c r="D12">
        <v>4.8099999999999998E-4</v>
      </c>
      <c r="F12">
        <v>6.2983219999999998</v>
      </c>
      <c r="G12">
        <v>2.4399999999999999E-3</v>
      </c>
      <c r="H12">
        <v>5.1681499999999998</v>
      </c>
      <c r="I12">
        <v>6.5989999999999998E-3</v>
      </c>
      <c r="AC12">
        <f t="shared" si="1"/>
        <v>88.7739340529873</v>
      </c>
      <c r="AD12">
        <f t="shared" si="4"/>
        <v>0</v>
      </c>
      <c r="AE12">
        <f t="shared" si="2"/>
        <v>0</v>
      </c>
      <c r="AF12">
        <f t="shared" si="3"/>
        <v>0</v>
      </c>
    </row>
    <row r="13" spans="1:32" x14ac:dyDescent="0.3">
      <c r="A13">
        <v>33.097239877898481</v>
      </c>
      <c r="B13">
        <v>1350</v>
      </c>
      <c r="C13">
        <v>5.1717599999999999</v>
      </c>
      <c r="D13">
        <v>2.5399999999999999E-4</v>
      </c>
      <c r="F13">
        <v>6.29969</v>
      </c>
      <c r="G13">
        <v>1.2620000000000001E-3</v>
      </c>
      <c r="H13">
        <v>5.1766779999999999</v>
      </c>
      <c r="I13">
        <v>3.3340000000000002E-3</v>
      </c>
      <c r="AC13">
        <f t="shared" si="1"/>
        <v>88.959051886115532</v>
      </c>
      <c r="AD13">
        <f t="shared" si="4"/>
        <v>0</v>
      </c>
      <c r="AE13">
        <f t="shared" si="2"/>
        <v>0</v>
      </c>
      <c r="AF13">
        <f t="shared" si="3"/>
        <v>0</v>
      </c>
    </row>
    <row r="14" spans="1:32" x14ac:dyDescent="0.3">
      <c r="A14">
        <v>33.142520300701605</v>
      </c>
      <c r="B14">
        <v>1470</v>
      </c>
      <c r="C14">
        <v>5.1747909999999999</v>
      </c>
      <c r="D14">
        <v>3.4900000000000003E-4</v>
      </c>
      <c r="F14">
        <v>6.3060669999999996</v>
      </c>
      <c r="G14">
        <v>5.1500000000000005E-4</v>
      </c>
      <c r="H14">
        <v>5.1907059999999996</v>
      </c>
      <c r="I14">
        <v>1.4040000000000001E-3</v>
      </c>
      <c r="AC14">
        <f t="shared" si="1"/>
        <v>89.380798184859898</v>
      </c>
      <c r="AD14">
        <f t="shared" si="4"/>
        <v>0</v>
      </c>
      <c r="AE14">
        <f t="shared" si="2"/>
        <v>0</v>
      </c>
      <c r="AF14">
        <f t="shared" si="3"/>
        <v>0</v>
      </c>
    </row>
    <row r="15" spans="1:32" x14ac:dyDescent="0.3">
      <c r="A15">
        <v>33.23485137319966</v>
      </c>
      <c r="B15">
        <v>1540</v>
      </c>
      <c r="C15">
        <v>5.1764729999999997</v>
      </c>
      <c r="D15">
        <v>1.44E-4</v>
      </c>
      <c r="F15">
        <v>6.3119569999999996</v>
      </c>
      <c r="G15">
        <v>7.6599999999999997E-4</v>
      </c>
      <c r="H15">
        <v>5.1982920000000004</v>
      </c>
      <c r="I15">
        <v>2.0920000000000001E-3</v>
      </c>
      <c r="AC15">
        <f t="shared" si="1"/>
        <v>89.678713705940567</v>
      </c>
      <c r="AD15">
        <f t="shared" si="4"/>
        <v>0</v>
      </c>
      <c r="AE15">
        <f t="shared" si="2"/>
        <v>0</v>
      </c>
      <c r="AF15">
        <f t="shared" si="3"/>
        <v>0</v>
      </c>
    </row>
    <row r="16" spans="1:32" x14ac:dyDescent="0.3">
      <c r="A16">
        <v>33.141933795487347</v>
      </c>
      <c r="B16">
        <v>1620</v>
      </c>
      <c r="C16">
        <v>5.1780270000000002</v>
      </c>
      <c r="D16">
        <v>2.3599999999999999E-4</v>
      </c>
      <c r="F16">
        <v>6.3178850000000004</v>
      </c>
      <c r="G16">
        <v>1.436E-3</v>
      </c>
      <c r="H16">
        <v>5.2071129999999997</v>
      </c>
      <c r="I16">
        <v>3.9300000000000003E-3</v>
      </c>
      <c r="AC16">
        <f t="shared" si="1"/>
        <v>89.999702000410025</v>
      </c>
      <c r="AD16">
        <f t="shared" si="4"/>
        <v>0</v>
      </c>
      <c r="AE16">
        <f t="shared" si="2"/>
        <v>0</v>
      </c>
      <c r="AF16">
        <f t="shared" si="3"/>
        <v>0</v>
      </c>
    </row>
    <row r="17" spans="1:32" x14ac:dyDescent="0.3">
      <c r="A17">
        <v>33.197293321449948</v>
      </c>
      <c r="B17">
        <v>1690</v>
      </c>
      <c r="C17">
        <v>5.1795470000000003</v>
      </c>
      <c r="D17">
        <v>2.9300000000000002E-4</v>
      </c>
      <c r="F17">
        <v>6.3226319999999996</v>
      </c>
      <c r="G17">
        <v>1.379E-3</v>
      </c>
      <c r="H17">
        <v>5.2126599999999996</v>
      </c>
      <c r="I17">
        <v>3.777E-3</v>
      </c>
      <c r="AC17">
        <f t="shared" si="1"/>
        <v>90.231015420563651</v>
      </c>
      <c r="AD17">
        <f t="shared" si="4"/>
        <v>0</v>
      </c>
      <c r="AE17">
        <f t="shared" si="2"/>
        <v>0</v>
      </c>
      <c r="AF17">
        <f t="shared" si="3"/>
        <v>0</v>
      </c>
    </row>
    <row r="18" spans="1:32" x14ac:dyDescent="0.3">
      <c r="A18">
        <v>33.353768944016785</v>
      </c>
      <c r="B18">
        <v>1790</v>
      </c>
      <c r="C18">
        <v>5.1814830000000001</v>
      </c>
      <c r="D18">
        <v>1.1900000000000001E-4</v>
      </c>
      <c r="F18">
        <v>6.330959</v>
      </c>
      <c r="G18">
        <v>1.5200000000000001E-3</v>
      </c>
      <c r="H18">
        <v>5.2227600000000001</v>
      </c>
      <c r="I18">
        <v>4.1700000000000001E-3</v>
      </c>
      <c r="AC18">
        <f t="shared" si="1"/>
        <v>90.644134658883175</v>
      </c>
      <c r="AD18">
        <f t="shared" si="4"/>
        <v>0</v>
      </c>
      <c r="AE18">
        <f t="shared" si="2"/>
        <v>0</v>
      </c>
      <c r="AF18">
        <f t="shared" si="3"/>
        <v>0</v>
      </c>
    </row>
    <row r="19" spans="1:32" x14ac:dyDescent="0.3">
      <c r="A19">
        <v>33.615308381467294</v>
      </c>
      <c r="B19">
        <v>1910</v>
      </c>
      <c r="C19">
        <v>5.1834670000000003</v>
      </c>
      <c r="D19">
        <v>2.9300000000000002E-4</v>
      </c>
      <c r="F19">
        <v>6.3396990000000004</v>
      </c>
      <c r="G19">
        <v>9.810000000000001E-4</v>
      </c>
      <c r="H19">
        <v>5.2312390000000004</v>
      </c>
      <c r="I19">
        <v>2.6940000000000002E-3</v>
      </c>
      <c r="AC19">
        <f t="shared" si="1"/>
        <v>91.04214377183969</v>
      </c>
      <c r="AD19">
        <f t="shared" si="4"/>
        <v>0</v>
      </c>
      <c r="AE19">
        <f t="shared" si="2"/>
        <v>0</v>
      </c>
      <c r="AF19">
        <f t="shared" si="3"/>
        <v>0</v>
      </c>
    </row>
    <row r="20" spans="1:32" x14ac:dyDescent="0.3">
      <c r="A20">
        <v>33.792759935760415</v>
      </c>
      <c r="B20">
        <v>2030</v>
      </c>
      <c r="C20">
        <v>5.186547</v>
      </c>
      <c r="D20">
        <v>7.2400000000000003E-4</v>
      </c>
      <c r="K20">
        <v>3.1759979999999999</v>
      </c>
      <c r="L20">
        <v>4.95E-4</v>
      </c>
      <c r="M20">
        <v>5.2558069999999999</v>
      </c>
      <c r="N20">
        <v>9.810000000000001E-4</v>
      </c>
      <c r="AC20">
        <f t="shared" si="1"/>
        <v>0</v>
      </c>
      <c r="AD20">
        <f t="shared" si="4"/>
        <v>91.824902713379572</v>
      </c>
      <c r="AE20">
        <f t="shared" si="2"/>
        <v>0</v>
      </c>
      <c r="AF20">
        <f t="shared" si="3"/>
        <v>0</v>
      </c>
    </row>
    <row r="21" spans="1:32" x14ac:dyDescent="0.3">
      <c r="A21" t="e">
        <v>#DIV/0!</v>
      </c>
      <c r="B21">
        <v>300</v>
      </c>
      <c r="AC21">
        <f t="shared" si="1"/>
        <v>0</v>
      </c>
      <c r="AD21">
        <f t="shared" si="4"/>
        <v>0</v>
      </c>
      <c r="AE21">
        <f t="shared" si="2"/>
        <v>0</v>
      </c>
      <c r="AF21">
        <f t="shared" si="3"/>
        <v>0</v>
      </c>
    </row>
    <row r="22" spans="1:32" x14ac:dyDescent="0.3">
      <c r="A22">
        <v>30.372045556655021</v>
      </c>
      <c r="B22">
        <v>300</v>
      </c>
      <c r="AC22">
        <f t="shared" si="1"/>
        <v>0</v>
      </c>
      <c r="AD22">
        <f t="shared" si="4"/>
        <v>0</v>
      </c>
      <c r="AE22">
        <f t="shared" si="2"/>
        <v>0</v>
      </c>
      <c r="AF22">
        <f t="shared" si="3"/>
        <v>0</v>
      </c>
    </row>
    <row r="23" spans="1:32" x14ac:dyDescent="0.3">
      <c r="A23">
        <v>42.117485575764412</v>
      </c>
      <c r="B23">
        <v>300</v>
      </c>
      <c r="AC23">
        <f t="shared" si="1"/>
        <v>0</v>
      </c>
      <c r="AD23">
        <f t="shared" si="4"/>
        <v>0</v>
      </c>
      <c r="AE23">
        <f t="shared" si="2"/>
        <v>0</v>
      </c>
      <c r="AF23">
        <f t="shared" si="3"/>
        <v>0</v>
      </c>
    </row>
    <row r="24" spans="1:32" x14ac:dyDescent="0.3">
      <c r="A24">
        <v>41.417887420957648</v>
      </c>
      <c r="B24">
        <v>1220</v>
      </c>
      <c r="C24">
        <v>5.1176919999999999</v>
      </c>
      <c r="D24">
        <v>2.7700000000000001E-4</v>
      </c>
      <c r="P24">
        <v>5.0998289999999997</v>
      </c>
      <c r="Q24">
        <v>8.7209999999999996E-3</v>
      </c>
      <c r="R24">
        <v>3.1208670000000001</v>
      </c>
      <c r="S24">
        <v>2.728E-3</v>
      </c>
      <c r="T24">
        <v>5.3572040000000003</v>
      </c>
      <c r="U24">
        <v>4.7000000000000002E-3</v>
      </c>
      <c r="AC24">
        <f t="shared" si="1"/>
        <v>0</v>
      </c>
      <c r="AD24">
        <f t="shared" si="4"/>
        <v>0</v>
      </c>
      <c r="AE24">
        <f t="shared" si="2"/>
        <v>85.264659027205738</v>
      </c>
      <c r="AF24">
        <f t="shared" si="3"/>
        <v>0</v>
      </c>
    </row>
    <row r="25" spans="1:32" x14ac:dyDescent="0.3">
      <c r="A25">
        <v>41.105316467407079</v>
      </c>
      <c r="B25">
        <v>1330</v>
      </c>
      <c r="C25">
        <v>5.1179629999999996</v>
      </c>
      <c r="D25">
        <v>1.9799999999999999E-4</v>
      </c>
      <c r="P25">
        <v>5.1123969999999996</v>
      </c>
      <c r="Q25">
        <v>8.2830000000000004E-3</v>
      </c>
      <c r="R25">
        <v>3.1056590000000002</v>
      </c>
      <c r="S25">
        <v>2.5479999999999999E-3</v>
      </c>
      <c r="T25">
        <v>5.3702740000000002</v>
      </c>
      <c r="U25">
        <v>4.463E-3</v>
      </c>
      <c r="AC25">
        <f t="shared" si="1"/>
        <v>0</v>
      </c>
      <c r="AD25">
        <f t="shared" si="4"/>
        <v>0</v>
      </c>
      <c r="AE25">
        <f t="shared" si="2"/>
        <v>85.265783019446275</v>
      </c>
      <c r="AF25">
        <f t="shared" si="3"/>
        <v>0</v>
      </c>
    </row>
    <row r="26" spans="1:32" x14ac:dyDescent="0.3">
      <c r="A26">
        <v>41.440413777184496</v>
      </c>
      <c r="B26">
        <v>1420</v>
      </c>
      <c r="C26">
        <v>5.1196970000000004</v>
      </c>
      <c r="D26">
        <v>2.5700000000000001E-4</v>
      </c>
      <c r="F26">
        <v>6.2130460000000003</v>
      </c>
      <c r="G26">
        <v>4.2069999999999998E-3</v>
      </c>
      <c r="H26">
        <v>5.1163540000000003</v>
      </c>
      <c r="I26">
        <v>9.9539999999999993E-3</v>
      </c>
      <c r="AC26">
        <f t="shared" si="1"/>
        <v>85.520525288811129</v>
      </c>
      <c r="AD26">
        <f t="shared" si="4"/>
        <v>0</v>
      </c>
      <c r="AE26">
        <f t="shared" si="2"/>
        <v>0</v>
      </c>
      <c r="AF26">
        <f t="shared" si="3"/>
        <v>0</v>
      </c>
    </row>
    <row r="27" spans="1:32" x14ac:dyDescent="0.3">
      <c r="A27">
        <v>41.442027572893899</v>
      </c>
      <c r="B27">
        <v>1510</v>
      </c>
      <c r="C27">
        <v>5.1230719999999996</v>
      </c>
      <c r="D27">
        <v>1.35E-4</v>
      </c>
      <c r="F27">
        <v>6.2208800000000002</v>
      </c>
      <c r="G27">
        <v>1.317E-3</v>
      </c>
      <c r="H27">
        <v>5.1236179999999996</v>
      </c>
      <c r="I27">
        <v>3.5969999999999999E-3</v>
      </c>
      <c r="AC27">
        <f t="shared" si="1"/>
        <v>85.858051191440509</v>
      </c>
      <c r="AD27">
        <f t="shared" si="4"/>
        <v>0</v>
      </c>
      <c r="AE27">
        <f t="shared" si="2"/>
        <v>0</v>
      </c>
      <c r="AF27">
        <f t="shared" si="3"/>
        <v>0</v>
      </c>
    </row>
    <row r="28" spans="1:32" x14ac:dyDescent="0.3">
      <c r="A28">
        <v>40.587094833796826</v>
      </c>
      <c r="B28">
        <v>1580</v>
      </c>
      <c r="C28">
        <v>5.125381</v>
      </c>
      <c r="D28">
        <v>1.2999999999999999E-4</v>
      </c>
      <c r="F28">
        <v>6.2255630000000002</v>
      </c>
      <c r="G28">
        <v>6.3100000000000005E-4</v>
      </c>
      <c r="H28">
        <v>5.1307809999999998</v>
      </c>
      <c r="I28">
        <v>1.7279999999999999E-3</v>
      </c>
      <c r="AC28">
        <f t="shared" si="1"/>
        <v>86.107578954342287</v>
      </c>
      <c r="AD28">
        <f t="shared" si="4"/>
        <v>0</v>
      </c>
      <c r="AE28">
        <f t="shared" si="2"/>
        <v>0</v>
      </c>
      <c r="AF28">
        <f t="shared" si="3"/>
        <v>0</v>
      </c>
    </row>
    <row r="29" spans="1:32" x14ac:dyDescent="0.3">
      <c r="A29">
        <v>40.928056980117574</v>
      </c>
      <c r="B29">
        <v>1640</v>
      </c>
      <c r="C29">
        <v>5.127243</v>
      </c>
      <c r="D29">
        <v>1.95E-4</v>
      </c>
      <c r="F29">
        <v>6.2289289999999999</v>
      </c>
      <c r="G29">
        <v>1.1709999999999999E-3</v>
      </c>
      <c r="H29">
        <v>5.1409739999999999</v>
      </c>
      <c r="I29">
        <v>3.2169999999999998E-3</v>
      </c>
      <c r="AC29">
        <f t="shared" si="1"/>
        <v>86.371965926067546</v>
      </c>
      <c r="AD29">
        <f t="shared" si="4"/>
        <v>0</v>
      </c>
      <c r="AE29">
        <f t="shared" si="2"/>
        <v>0</v>
      </c>
      <c r="AF29">
        <f t="shared" si="3"/>
        <v>0</v>
      </c>
    </row>
    <row r="30" spans="1:32" x14ac:dyDescent="0.3">
      <c r="A30">
        <v>41.242457925995616</v>
      </c>
      <c r="B30">
        <v>1750</v>
      </c>
      <c r="C30">
        <v>5.1292669999999996</v>
      </c>
      <c r="D30">
        <v>2.24E-4</v>
      </c>
      <c r="F30">
        <v>6.2348439999999998</v>
      </c>
      <c r="G30">
        <v>2.065E-3</v>
      </c>
      <c r="H30">
        <v>5.1421570000000001</v>
      </c>
      <c r="I30">
        <v>6.051E-3</v>
      </c>
      <c r="AC30">
        <f t="shared" si="1"/>
        <v>86.555994693299567</v>
      </c>
      <c r="AD30">
        <f t="shared" si="4"/>
        <v>0</v>
      </c>
      <c r="AE30">
        <f t="shared" si="2"/>
        <v>0</v>
      </c>
      <c r="AF30">
        <f t="shared" si="3"/>
        <v>0</v>
      </c>
    </row>
    <row r="31" spans="1:32" x14ac:dyDescent="0.3">
      <c r="A31">
        <v>41.417608138393504</v>
      </c>
      <c r="B31">
        <v>1890</v>
      </c>
      <c r="C31">
        <v>5.1324490000000003</v>
      </c>
      <c r="D31">
        <v>5.4000000000000001E-4</v>
      </c>
      <c r="F31">
        <v>6.2414639999999997</v>
      </c>
      <c r="G31">
        <v>2.611E-3</v>
      </c>
      <c r="H31">
        <v>5.1497630000000001</v>
      </c>
      <c r="I31">
        <v>7.6600000000000001E-3</v>
      </c>
      <c r="AC31">
        <f t="shared" si="1"/>
        <v>86.868199172093924</v>
      </c>
      <c r="AD31">
        <f t="shared" si="4"/>
        <v>0</v>
      </c>
      <c r="AE31">
        <f t="shared" si="2"/>
        <v>0</v>
      </c>
      <c r="AF31">
        <f t="shared" si="3"/>
        <v>0</v>
      </c>
    </row>
    <row r="32" spans="1:32" x14ac:dyDescent="0.3">
      <c r="A32">
        <v>41.930233176031024</v>
      </c>
      <c r="B32">
        <v>1970</v>
      </c>
      <c r="C32">
        <v>5.1347560000000003</v>
      </c>
      <c r="D32">
        <v>1.0579999999999999E-3</v>
      </c>
      <c r="F32">
        <v>6.2445700000000004</v>
      </c>
      <c r="G32">
        <v>3.7139999999999999E-3</v>
      </c>
      <c r="H32">
        <v>5.1643549999999996</v>
      </c>
      <c r="I32">
        <v>1.0260999999999999E-2</v>
      </c>
      <c r="AC32">
        <f t="shared" si="1"/>
        <v>87.201067362897291</v>
      </c>
      <c r="AD32">
        <f t="shared" si="4"/>
        <v>0</v>
      </c>
      <c r="AE32">
        <f t="shared" si="2"/>
        <v>0</v>
      </c>
      <c r="AF32">
        <f t="shared" si="3"/>
        <v>0</v>
      </c>
    </row>
    <row r="33" spans="1:32" x14ac:dyDescent="0.3">
      <c r="A33">
        <v>41.724479215794858</v>
      </c>
      <c r="B33">
        <v>2050</v>
      </c>
      <c r="C33">
        <v>5.1367589999999996</v>
      </c>
      <c r="D33">
        <v>9.859999999999999E-4</v>
      </c>
      <c r="F33">
        <v>6.25</v>
      </c>
      <c r="G33">
        <v>3.496E-3</v>
      </c>
      <c r="H33">
        <v>5.17225</v>
      </c>
      <c r="I33">
        <v>9.6790000000000001E-3</v>
      </c>
      <c r="AC33">
        <f t="shared" si="1"/>
        <v>87.486326068829371</v>
      </c>
      <c r="AD33">
        <f t="shared" si="4"/>
        <v>0</v>
      </c>
      <c r="AE33">
        <f t="shared" si="2"/>
        <v>0</v>
      </c>
      <c r="AF33">
        <f t="shared" si="3"/>
        <v>0</v>
      </c>
    </row>
    <row r="34" spans="1:32" x14ac:dyDescent="0.3">
      <c r="A34">
        <v>43.659105618618121</v>
      </c>
      <c r="B34">
        <v>300</v>
      </c>
      <c r="AC34">
        <f t="shared" si="1"/>
        <v>0</v>
      </c>
      <c r="AD34">
        <f t="shared" si="4"/>
        <v>0</v>
      </c>
      <c r="AE34">
        <f t="shared" si="2"/>
        <v>0</v>
      </c>
      <c r="AF34">
        <f t="shared" si="3"/>
        <v>0</v>
      </c>
    </row>
    <row r="35" spans="1:32" x14ac:dyDescent="0.3">
      <c r="A35">
        <v>43.485949897341307</v>
      </c>
      <c r="B35">
        <v>300</v>
      </c>
      <c r="AC35">
        <f t="shared" si="1"/>
        <v>0</v>
      </c>
      <c r="AD35">
        <f t="shared" si="4"/>
        <v>0</v>
      </c>
      <c r="AE35">
        <f t="shared" si="2"/>
        <v>0</v>
      </c>
      <c r="AF35">
        <f t="shared" si="3"/>
        <v>0</v>
      </c>
    </row>
    <row r="36" spans="1:32" x14ac:dyDescent="0.3">
      <c r="A36">
        <v>42.45649075935733</v>
      </c>
      <c r="B36">
        <v>300</v>
      </c>
      <c r="AC36">
        <f t="shared" si="1"/>
        <v>0</v>
      </c>
      <c r="AD36">
        <f t="shared" si="4"/>
        <v>0</v>
      </c>
      <c r="AE36">
        <f t="shared" si="2"/>
        <v>0</v>
      </c>
      <c r="AF36">
        <f t="shared" si="3"/>
        <v>0</v>
      </c>
    </row>
    <row r="37" spans="1:32" x14ac:dyDescent="0.3">
      <c r="A37">
        <v>44.405201933109694</v>
      </c>
      <c r="B37">
        <v>1250</v>
      </c>
      <c r="C37">
        <v>5.102875</v>
      </c>
      <c r="D37">
        <v>5.5999999999999995E-4</v>
      </c>
      <c r="P37">
        <v>5.073353</v>
      </c>
      <c r="Q37">
        <v>7.5360000000000002E-3</v>
      </c>
      <c r="R37">
        <v>3.1169539999999998</v>
      </c>
      <c r="S37">
        <v>2.379E-3</v>
      </c>
      <c r="T37">
        <v>5.3258530000000004</v>
      </c>
      <c r="U37">
        <v>4.0559999999999997E-3</v>
      </c>
      <c r="AC37">
        <f t="shared" si="1"/>
        <v>0</v>
      </c>
      <c r="AD37">
        <f t="shared" si="4"/>
        <v>0</v>
      </c>
      <c r="AE37">
        <f t="shared" si="2"/>
        <v>84.219886046969179</v>
      </c>
      <c r="AF37">
        <f t="shared" si="3"/>
        <v>0</v>
      </c>
    </row>
    <row r="38" spans="1:32" x14ac:dyDescent="0.3">
      <c r="A38">
        <v>44.16727486653015</v>
      </c>
      <c r="B38">
        <v>1340</v>
      </c>
      <c r="C38">
        <v>5.1044219999999996</v>
      </c>
      <c r="D38">
        <v>3.7199999999999999E-4</v>
      </c>
      <c r="P38">
        <v>5.083075</v>
      </c>
      <c r="Q38">
        <v>8.0770000000000008E-3</v>
      </c>
      <c r="R38">
        <v>3.1126740000000002</v>
      </c>
      <c r="S38">
        <v>2.3579999999999999E-3</v>
      </c>
      <c r="T38">
        <v>5.3361039999999997</v>
      </c>
      <c r="U38">
        <v>5.0860000000000002E-3</v>
      </c>
      <c r="AC38">
        <f t="shared" si="1"/>
        <v>0</v>
      </c>
      <c r="AD38">
        <f t="shared" si="4"/>
        <v>0</v>
      </c>
      <c r="AE38">
        <f t="shared" si="2"/>
        <v>84.42759945800762</v>
      </c>
      <c r="AF38">
        <f t="shared" si="3"/>
        <v>0</v>
      </c>
    </row>
    <row r="39" spans="1:32" x14ac:dyDescent="0.3">
      <c r="A39">
        <v>44.02144964312636</v>
      </c>
      <c r="B39">
        <v>1410</v>
      </c>
      <c r="C39">
        <v>5.1044460000000003</v>
      </c>
      <c r="D39">
        <v>3.0699999999999998E-4</v>
      </c>
      <c r="P39">
        <v>5.0882259999999997</v>
      </c>
      <c r="Q39">
        <v>1.0659E-2</v>
      </c>
      <c r="R39">
        <v>3.108174</v>
      </c>
      <c r="S39">
        <v>3.0950000000000001E-3</v>
      </c>
      <c r="T39">
        <v>5.3437020000000004</v>
      </c>
      <c r="U39">
        <v>6.718E-3</v>
      </c>
      <c r="AC39">
        <f t="shared" si="1"/>
        <v>0</v>
      </c>
      <c r="AD39">
        <f t="shared" si="4"/>
        <v>0</v>
      </c>
      <c r="AE39">
        <f t="shared" si="2"/>
        <v>84.51113746448317</v>
      </c>
      <c r="AF39">
        <f t="shared" si="3"/>
        <v>0</v>
      </c>
    </row>
    <row r="40" spans="1:32" x14ac:dyDescent="0.3">
      <c r="A40">
        <v>44.081404219020918</v>
      </c>
      <c r="B40">
        <v>1530</v>
      </c>
      <c r="C40">
        <v>5.1068129999999998</v>
      </c>
      <c r="D40">
        <v>4.3899999999999999E-4</v>
      </c>
      <c r="F40">
        <v>6.1999519999999997</v>
      </c>
      <c r="G40">
        <v>5.0049999999999999E-3</v>
      </c>
      <c r="H40">
        <v>5.0918950000000001</v>
      </c>
      <c r="I40">
        <v>1.3565000000000001E-2</v>
      </c>
      <c r="AC40">
        <f t="shared" si="1"/>
        <v>84.753322013062956</v>
      </c>
      <c r="AD40">
        <f t="shared" si="4"/>
        <v>0</v>
      </c>
      <c r="AE40">
        <f t="shared" si="2"/>
        <v>0</v>
      </c>
      <c r="AF40">
        <f t="shared" si="3"/>
        <v>0</v>
      </c>
    </row>
    <row r="41" spans="1:32" x14ac:dyDescent="0.3">
      <c r="A41">
        <v>43.865237544837484</v>
      </c>
      <c r="B41">
        <v>1660</v>
      </c>
      <c r="C41">
        <v>5.1093840000000004</v>
      </c>
      <c r="D41">
        <v>3.5E-4</v>
      </c>
      <c r="F41">
        <v>6.2012770000000002</v>
      </c>
      <c r="G41">
        <v>1.9419999999999999E-3</v>
      </c>
      <c r="H41">
        <v>5.113791</v>
      </c>
      <c r="I41">
        <v>5.3229999999999996E-3</v>
      </c>
      <c r="AC41">
        <f t="shared" si="1"/>
        <v>85.154160624607087</v>
      </c>
      <c r="AD41">
        <f t="shared" si="4"/>
        <v>0</v>
      </c>
      <c r="AE41">
        <f t="shared" si="2"/>
        <v>0</v>
      </c>
      <c r="AF41">
        <f t="shared" si="3"/>
        <v>0</v>
      </c>
    </row>
    <row r="42" spans="1:32" x14ac:dyDescent="0.3">
      <c r="A42">
        <v>44.067471675201688</v>
      </c>
      <c r="B42">
        <v>1760</v>
      </c>
      <c r="C42">
        <v>5.1111690000000003</v>
      </c>
      <c r="D42">
        <v>3.3500000000000001E-4</v>
      </c>
      <c r="F42">
        <v>6.2054729999999996</v>
      </c>
      <c r="G42">
        <v>1.537E-3</v>
      </c>
      <c r="H42">
        <v>5.1214789999999999</v>
      </c>
      <c r="I42">
        <v>4.1079999999999997E-3</v>
      </c>
      <c r="AC42">
        <f t="shared" si="1"/>
        <v>85.3976289994811</v>
      </c>
      <c r="AD42">
        <f t="shared" si="4"/>
        <v>0</v>
      </c>
      <c r="AE42">
        <f t="shared" si="2"/>
        <v>0</v>
      </c>
      <c r="AF42">
        <f t="shared" si="3"/>
        <v>0</v>
      </c>
    </row>
    <row r="43" spans="1:32" x14ac:dyDescent="0.3">
      <c r="A43">
        <v>44.219017598888748</v>
      </c>
      <c r="B43">
        <v>1850</v>
      </c>
      <c r="C43">
        <v>5.1132</v>
      </c>
      <c r="D43">
        <v>5.2499999999999997E-4</v>
      </c>
      <c r="F43">
        <v>6.2082689999999996</v>
      </c>
      <c r="G43">
        <v>1.031E-3</v>
      </c>
      <c r="H43">
        <v>5.1376629999999999</v>
      </c>
      <c r="I43">
        <v>2.7750000000000001E-3</v>
      </c>
      <c r="AC43">
        <f t="shared" si="1"/>
        <v>85.744703406367137</v>
      </c>
      <c r="AD43">
        <f t="shared" si="4"/>
        <v>0</v>
      </c>
      <c r="AE43">
        <f t="shared" si="2"/>
        <v>0</v>
      </c>
      <c r="AF43">
        <f t="shared" si="3"/>
        <v>0</v>
      </c>
    </row>
    <row r="44" spans="1:32" x14ac:dyDescent="0.3">
      <c r="A44">
        <v>44.203081070852704</v>
      </c>
      <c r="B44">
        <v>1940</v>
      </c>
      <c r="C44">
        <v>5.1152240000000004</v>
      </c>
      <c r="D44">
        <v>5.31E-4</v>
      </c>
      <c r="F44">
        <v>6.2117100000000001</v>
      </c>
      <c r="G44">
        <v>2.287E-3</v>
      </c>
      <c r="H44">
        <v>5.1531320000000003</v>
      </c>
      <c r="I44">
        <v>6.1960000000000001E-3</v>
      </c>
      <c r="AC44">
        <f t="shared" si="1"/>
        <v>86.098234766826593</v>
      </c>
      <c r="AD44">
        <f t="shared" si="4"/>
        <v>0</v>
      </c>
      <c r="AE44">
        <f t="shared" si="2"/>
        <v>0</v>
      </c>
      <c r="AF44">
        <f t="shared" si="3"/>
        <v>0</v>
      </c>
    </row>
    <row r="45" spans="1:32" x14ac:dyDescent="0.3">
      <c r="A45">
        <v>44.20762793566125</v>
      </c>
      <c r="B45">
        <v>2000</v>
      </c>
      <c r="C45">
        <v>5.1163319999999999</v>
      </c>
      <c r="D45">
        <v>5.0100000000000003E-4</v>
      </c>
      <c r="F45">
        <v>6.216043</v>
      </c>
      <c r="G45">
        <v>2.8349999999999998E-3</v>
      </c>
      <c r="H45">
        <v>5.1581900000000003</v>
      </c>
      <c r="I45">
        <v>8.3840000000000008E-3</v>
      </c>
      <c r="AC45">
        <f t="shared" si="1"/>
        <v>86.303019623817747</v>
      </c>
      <c r="AD45">
        <f t="shared" si="4"/>
        <v>0</v>
      </c>
      <c r="AE45">
        <f t="shared" si="2"/>
        <v>0</v>
      </c>
      <c r="AF45">
        <f t="shared" si="3"/>
        <v>0</v>
      </c>
    </row>
    <row r="46" spans="1:32" x14ac:dyDescent="0.3">
      <c r="A46">
        <v>44.359633217175123</v>
      </c>
      <c r="B46">
        <v>2100</v>
      </c>
      <c r="C46">
        <v>5.118487</v>
      </c>
      <c r="D46">
        <v>3.2499999999999999E-4</v>
      </c>
      <c r="F46">
        <v>6.2244330000000003</v>
      </c>
      <c r="G46">
        <v>4.045E-3</v>
      </c>
      <c r="H46">
        <v>5.175522</v>
      </c>
      <c r="I46">
        <v>5.8659999999999997E-3</v>
      </c>
      <c r="AC46">
        <f t="shared" si="1"/>
        <v>86.826918501504437</v>
      </c>
      <c r="AD46">
        <f t="shared" si="4"/>
        <v>0</v>
      </c>
      <c r="AE46">
        <f t="shared" si="2"/>
        <v>0</v>
      </c>
      <c r="AF46">
        <f t="shared" si="3"/>
        <v>0</v>
      </c>
    </row>
    <row r="47" spans="1:32" x14ac:dyDescent="0.3">
      <c r="A47">
        <v>44.305956423731345</v>
      </c>
      <c r="B47">
        <v>2190</v>
      </c>
      <c r="C47">
        <v>5.1184969999999996</v>
      </c>
      <c r="D47">
        <v>1.2819999999999999E-3</v>
      </c>
      <c r="F47">
        <v>6.2293130000000003</v>
      </c>
      <c r="G47">
        <v>3.8709999999999999E-3</v>
      </c>
      <c r="H47">
        <v>5.1791219999999996</v>
      </c>
      <c r="I47">
        <v>1.1505E-2</v>
      </c>
      <c r="AC47">
        <f t="shared" si="1"/>
        <v>87.023607701945537</v>
      </c>
      <c r="AD47">
        <f t="shared" si="4"/>
        <v>0</v>
      </c>
      <c r="AE47">
        <f t="shared" si="2"/>
        <v>0</v>
      </c>
      <c r="AF47">
        <f t="shared" si="3"/>
        <v>0</v>
      </c>
    </row>
    <row r="48" spans="1:32" x14ac:dyDescent="0.3">
      <c r="A48">
        <v>44.441264590736814</v>
      </c>
      <c r="B48">
        <v>2290</v>
      </c>
      <c r="C48">
        <v>5.1189470000000004</v>
      </c>
      <c r="D48">
        <v>1.09E-3</v>
      </c>
      <c r="F48">
        <v>6.2364670000000002</v>
      </c>
      <c r="G48">
        <v>1.8990000000000001E-3</v>
      </c>
      <c r="H48">
        <v>5.1913359999999997</v>
      </c>
      <c r="I48">
        <v>5.6600000000000001E-3</v>
      </c>
      <c r="AC48">
        <f t="shared" si="1"/>
        <v>87.429306198913523</v>
      </c>
      <c r="AD48">
        <f t="shared" si="4"/>
        <v>0</v>
      </c>
      <c r="AE48">
        <f t="shared" si="2"/>
        <v>0</v>
      </c>
      <c r="AF48">
        <f t="shared" si="3"/>
        <v>0</v>
      </c>
    </row>
    <row r="49" spans="1:32" x14ac:dyDescent="0.3">
      <c r="A49" t="e">
        <v>#DIV/0!</v>
      </c>
      <c r="B49">
        <v>300</v>
      </c>
      <c r="AC49">
        <f t="shared" si="1"/>
        <v>0</v>
      </c>
      <c r="AD49">
        <f t="shared" si="4"/>
        <v>0</v>
      </c>
      <c r="AE49">
        <f t="shared" si="2"/>
        <v>0</v>
      </c>
      <c r="AF49">
        <f t="shared" si="3"/>
        <v>0</v>
      </c>
    </row>
    <row r="50" spans="1:32" x14ac:dyDescent="0.3">
      <c r="A50" t="e">
        <v>#DIV/0!</v>
      </c>
      <c r="B50">
        <v>300</v>
      </c>
      <c r="AC50">
        <f t="shared" si="1"/>
        <v>0</v>
      </c>
      <c r="AD50">
        <f t="shared" si="4"/>
        <v>0</v>
      </c>
      <c r="AE50">
        <f t="shared" si="2"/>
        <v>0</v>
      </c>
      <c r="AF50">
        <f t="shared" si="3"/>
        <v>0</v>
      </c>
    </row>
    <row r="51" spans="1:32" x14ac:dyDescent="0.3">
      <c r="A51" t="e">
        <v>#DIV/0!</v>
      </c>
      <c r="B51">
        <v>300</v>
      </c>
      <c r="AC51">
        <f t="shared" si="1"/>
        <v>0</v>
      </c>
      <c r="AD51">
        <f t="shared" si="4"/>
        <v>0</v>
      </c>
      <c r="AE51">
        <f t="shared" si="2"/>
        <v>0</v>
      </c>
      <c r="AF51">
        <f t="shared" si="3"/>
        <v>0</v>
      </c>
    </row>
    <row r="52" spans="1:32" x14ac:dyDescent="0.3">
      <c r="A52" t="e">
        <v>#DIV/0!</v>
      </c>
      <c r="B52">
        <v>300</v>
      </c>
      <c r="AC52">
        <f t="shared" si="1"/>
        <v>0</v>
      </c>
      <c r="AD52">
        <f t="shared" si="4"/>
        <v>0</v>
      </c>
      <c r="AE52">
        <f t="shared" si="2"/>
        <v>0</v>
      </c>
      <c r="AF52">
        <f t="shared" si="3"/>
        <v>0</v>
      </c>
    </row>
    <row r="53" spans="1:32" x14ac:dyDescent="0.3">
      <c r="A53" t="e">
        <v>#DIV/0!</v>
      </c>
      <c r="B53">
        <v>300</v>
      </c>
      <c r="AC53">
        <f t="shared" si="1"/>
        <v>0</v>
      </c>
      <c r="AD53">
        <f t="shared" si="4"/>
        <v>0</v>
      </c>
      <c r="AE53">
        <f t="shared" si="2"/>
        <v>0</v>
      </c>
      <c r="AF53">
        <f t="shared" si="3"/>
        <v>0</v>
      </c>
    </row>
    <row r="54" spans="1:32" x14ac:dyDescent="0.3">
      <c r="A54" t="e">
        <v>#DIV/0!</v>
      </c>
      <c r="B54">
        <v>300</v>
      </c>
      <c r="AC54">
        <f t="shared" si="1"/>
        <v>0</v>
      </c>
      <c r="AD54">
        <f t="shared" si="4"/>
        <v>0</v>
      </c>
      <c r="AE54">
        <f t="shared" si="2"/>
        <v>0</v>
      </c>
      <c r="AF54">
        <f t="shared" si="3"/>
        <v>0</v>
      </c>
    </row>
    <row r="55" spans="1:32" x14ac:dyDescent="0.3">
      <c r="A55" t="e">
        <v>#DIV/0!</v>
      </c>
      <c r="B55">
        <v>300</v>
      </c>
      <c r="AC55">
        <f t="shared" si="1"/>
        <v>0</v>
      </c>
      <c r="AD55">
        <f t="shared" si="4"/>
        <v>0</v>
      </c>
      <c r="AE55">
        <f t="shared" si="2"/>
        <v>0</v>
      </c>
      <c r="AF55">
        <f t="shared" si="3"/>
        <v>0</v>
      </c>
    </row>
    <row r="56" spans="1:32" x14ac:dyDescent="0.3">
      <c r="A56" t="e">
        <v>#DIV/0!</v>
      </c>
      <c r="B56">
        <v>300</v>
      </c>
      <c r="AC56">
        <f t="shared" si="1"/>
        <v>0</v>
      </c>
      <c r="AD56">
        <f t="shared" si="4"/>
        <v>0</v>
      </c>
      <c r="AE56">
        <f t="shared" si="2"/>
        <v>0</v>
      </c>
      <c r="AF56">
        <f t="shared" si="3"/>
        <v>0</v>
      </c>
    </row>
    <row r="57" spans="1:32" x14ac:dyDescent="0.3">
      <c r="A57">
        <v>54.418199165986451</v>
      </c>
      <c r="B57">
        <v>1220</v>
      </c>
      <c r="C57">
        <v>5.0586919999999997</v>
      </c>
      <c r="D57">
        <v>2.5360000000000001E-3</v>
      </c>
      <c r="P57">
        <v>4.9960690000000003</v>
      </c>
      <c r="Q57">
        <v>4.0200000000000001E-3</v>
      </c>
      <c r="R57">
        <v>3.0920839999999998</v>
      </c>
      <c r="S57">
        <v>9.9400000000000009E-4</v>
      </c>
      <c r="T57">
        <v>5.2522130000000002</v>
      </c>
      <c r="U57">
        <v>1.4599999999999999E-3</v>
      </c>
      <c r="AC57">
        <f t="shared" si="1"/>
        <v>0</v>
      </c>
      <c r="AD57">
        <f t="shared" si="4"/>
        <v>0</v>
      </c>
      <c r="AE57">
        <f t="shared" si="2"/>
        <v>81.137578353913383</v>
      </c>
      <c r="AF57">
        <f t="shared" si="3"/>
        <v>0</v>
      </c>
    </row>
    <row r="58" spans="1:32" x14ac:dyDescent="0.3">
      <c r="A58">
        <v>54.196525503418414</v>
      </c>
      <c r="B58">
        <v>1260</v>
      </c>
      <c r="C58">
        <v>5.058567</v>
      </c>
      <c r="D58">
        <v>2.0240000000000002E-3</v>
      </c>
      <c r="P58">
        <v>5.0051079999999999</v>
      </c>
      <c r="Q58">
        <v>3.5460000000000001E-3</v>
      </c>
      <c r="R58">
        <v>3.086398</v>
      </c>
      <c r="S58">
        <v>8.6899999999999998E-4</v>
      </c>
      <c r="T58">
        <v>5.2582279999999999</v>
      </c>
      <c r="U58">
        <v>1.2849999999999999E-3</v>
      </c>
      <c r="AC58">
        <f t="shared" si="1"/>
        <v>0</v>
      </c>
      <c r="AD58">
        <f t="shared" si="4"/>
        <v>0</v>
      </c>
      <c r="AE58">
        <f t="shared" si="2"/>
        <v>81.227819565947044</v>
      </c>
      <c r="AF58">
        <f t="shared" si="3"/>
        <v>0</v>
      </c>
    </row>
    <row r="59" spans="1:32" x14ac:dyDescent="0.3">
      <c r="A59">
        <v>54.652859651913012</v>
      </c>
      <c r="B59">
        <v>1340</v>
      </c>
      <c r="C59">
        <v>5.0572819999999998</v>
      </c>
      <c r="D59">
        <v>1.1280000000000001E-3</v>
      </c>
      <c r="P59">
        <v>5.0205080000000004</v>
      </c>
      <c r="Q59">
        <v>7.6309999999999998E-3</v>
      </c>
      <c r="R59">
        <v>3.078068</v>
      </c>
      <c r="S59">
        <v>1.9859999999999999E-3</v>
      </c>
      <c r="T59">
        <v>5.270753</v>
      </c>
      <c r="U59">
        <v>3.003E-3</v>
      </c>
      <c r="AC59">
        <f t="shared" si="1"/>
        <v>0</v>
      </c>
      <c r="AD59">
        <f t="shared" si="4"/>
        <v>0</v>
      </c>
      <c r="AE59">
        <f t="shared" si="2"/>
        <v>81.45139710688585</v>
      </c>
      <c r="AF59">
        <f t="shared" si="3"/>
        <v>0</v>
      </c>
    </row>
    <row r="60" spans="1:32" x14ac:dyDescent="0.3">
      <c r="A60">
        <v>54.54287091877876</v>
      </c>
      <c r="B60">
        <v>1340</v>
      </c>
      <c r="C60">
        <v>5.0562370000000003</v>
      </c>
      <c r="D60">
        <v>9.3199999999999999E-4</v>
      </c>
      <c r="P60">
        <v>5.0203449999999998</v>
      </c>
      <c r="Q60">
        <v>6.7599999999999995E-4</v>
      </c>
      <c r="R60">
        <v>3.0774720000000002</v>
      </c>
      <c r="S60">
        <v>2.32E-4</v>
      </c>
      <c r="T60">
        <v>5.2664210000000002</v>
      </c>
      <c r="U60">
        <v>3.3799999999999998E-4</v>
      </c>
      <c r="AC60">
        <f t="shared" si="1"/>
        <v>0</v>
      </c>
      <c r="AD60">
        <f t="shared" si="4"/>
        <v>0</v>
      </c>
      <c r="AE60">
        <f t="shared" si="2"/>
        <v>81.366052607707104</v>
      </c>
      <c r="AF60">
        <f t="shared" si="3"/>
        <v>0</v>
      </c>
    </row>
    <row r="61" spans="1:32" x14ac:dyDescent="0.3">
      <c r="A61">
        <v>54.364891038658158</v>
      </c>
      <c r="B61">
        <v>1430</v>
      </c>
      <c r="C61">
        <v>5.0560479999999997</v>
      </c>
      <c r="D61">
        <v>1.1230000000000001E-3</v>
      </c>
      <c r="P61">
        <v>5.0284170000000001</v>
      </c>
      <c r="Q61">
        <v>1.0129000000000001E-2</v>
      </c>
      <c r="R61">
        <v>3.0727950000000002</v>
      </c>
      <c r="S61">
        <v>3.4420000000000002E-3</v>
      </c>
      <c r="T61">
        <v>5.28207</v>
      </c>
      <c r="U61">
        <v>5.0679999999999996E-3</v>
      </c>
      <c r="AC61">
        <f t="shared" si="1"/>
        <v>0</v>
      </c>
      <c r="AD61">
        <f t="shared" si="4"/>
        <v>0</v>
      </c>
      <c r="AE61">
        <f t="shared" si="2"/>
        <v>81.614819749773318</v>
      </c>
      <c r="AF61">
        <f t="shared" si="3"/>
        <v>0</v>
      </c>
    </row>
    <row r="62" spans="1:32" x14ac:dyDescent="0.3">
      <c r="A62">
        <v>54.104044169647736</v>
      </c>
      <c r="B62">
        <v>1480</v>
      </c>
      <c r="C62">
        <v>5.0574260000000004</v>
      </c>
      <c r="D62">
        <v>6.3000000000000003E-4</v>
      </c>
      <c r="P62">
        <v>5.0455259999999997</v>
      </c>
      <c r="Q62">
        <v>6.202E-3</v>
      </c>
      <c r="R62">
        <v>3.0637219999999998</v>
      </c>
      <c r="S62">
        <v>3.7820000000000002E-3</v>
      </c>
      <c r="T62">
        <v>5.2962429999999996</v>
      </c>
      <c r="U62">
        <v>3.669E-3</v>
      </c>
      <c r="AC62">
        <f t="shared" si="1"/>
        <v>0</v>
      </c>
      <c r="AD62">
        <f t="shared" si="4"/>
        <v>0</v>
      </c>
      <c r="AE62">
        <f t="shared" si="2"/>
        <v>81.869795700789396</v>
      </c>
      <c r="AF62">
        <f t="shared" si="3"/>
        <v>0</v>
      </c>
    </row>
    <row r="63" spans="1:32" x14ac:dyDescent="0.3">
      <c r="A63">
        <v>54.184095478099835</v>
      </c>
      <c r="B63">
        <v>1580</v>
      </c>
      <c r="C63">
        <v>5.0586609999999999</v>
      </c>
      <c r="D63">
        <v>5.6499999999999996E-4</v>
      </c>
      <c r="F63">
        <v>6.1217459999999999</v>
      </c>
      <c r="G63">
        <v>2.3449999999999999E-3</v>
      </c>
      <c r="H63">
        <v>5.0516779999999999</v>
      </c>
      <c r="I63">
        <v>5.5409999999999999E-3</v>
      </c>
      <c r="AC63">
        <f t="shared" si="1"/>
        <v>81.976034999365027</v>
      </c>
      <c r="AD63">
        <f t="shared" si="4"/>
        <v>0</v>
      </c>
      <c r="AE63">
        <f t="shared" si="2"/>
        <v>0</v>
      </c>
      <c r="AF63">
        <f t="shared" si="3"/>
        <v>0</v>
      </c>
    </row>
    <row r="64" spans="1:32" x14ac:dyDescent="0.3">
      <c r="A64">
        <v>54.154374818959283</v>
      </c>
      <c r="B64">
        <v>1680</v>
      </c>
      <c r="C64">
        <v>5.0593870000000001</v>
      </c>
      <c r="D64">
        <v>6.9700000000000003E-4</v>
      </c>
      <c r="F64">
        <v>6.1270049999999996</v>
      </c>
      <c r="G64">
        <v>8.0500000000000005E-4</v>
      </c>
      <c r="H64">
        <v>5.0580049999999996</v>
      </c>
      <c r="I64">
        <v>1.905E-3</v>
      </c>
      <c r="AC64">
        <f t="shared" si="1"/>
        <v>82.219789363419267</v>
      </c>
      <c r="AD64">
        <f t="shared" si="4"/>
        <v>0</v>
      </c>
      <c r="AE64">
        <f t="shared" si="2"/>
        <v>0</v>
      </c>
      <c r="AF64">
        <f t="shared" si="3"/>
        <v>0</v>
      </c>
    </row>
    <row r="65" spans="1:32" x14ac:dyDescent="0.3">
      <c r="A65">
        <v>54.065519619791019</v>
      </c>
      <c r="B65">
        <v>1750</v>
      </c>
      <c r="C65">
        <v>5.0606669999999996</v>
      </c>
      <c r="D65">
        <v>2.9999999999999997E-4</v>
      </c>
      <c r="F65">
        <v>6.1303619999999999</v>
      </c>
      <c r="G65">
        <v>1.3799999999999999E-3</v>
      </c>
      <c r="H65">
        <v>5.065658</v>
      </c>
      <c r="I65">
        <v>3.274E-3</v>
      </c>
      <c r="AC65">
        <f t="shared" si="1"/>
        <v>82.434449640647983</v>
      </c>
      <c r="AD65">
        <f t="shared" si="4"/>
        <v>0</v>
      </c>
      <c r="AE65">
        <f t="shared" si="2"/>
        <v>0</v>
      </c>
      <c r="AF65">
        <f t="shared" si="3"/>
        <v>0</v>
      </c>
    </row>
    <row r="66" spans="1:32" x14ac:dyDescent="0.3">
      <c r="A66">
        <v>54.167154853085627</v>
      </c>
      <c r="B66">
        <v>1810</v>
      </c>
      <c r="C66">
        <v>5.0616190000000003</v>
      </c>
      <c r="D66">
        <v>3.7199999999999999E-4</v>
      </c>
      <c r="F66">
        <v>6.1343139999999998</v>
      </c>
      <c r="G66">
        <v>2.6340000000000001E-3</v>
      </c>
      <c r="H66">
        <v>5.0688529999999998</v>
      </c>
      <c r="I66">
        <v>5.7499999999999999E-3</v>
      </c>
      <c r="AC66">
        <f t="shared" si="1"/>
        <v>82.592828227214085</v>
      </c>
      <c r="AD66">
        <f t="shared" si="4"/>
        <v>0</v>
      </c>
      <c r="AE66">
        <f t="shared" si="2"/>
        <v>0</v>
      </c>
      <c r="AF66">
        <f t="shared" si="3"/>
        <v>0</v>
      </c>
    </row>
    <row r="67" spans="1:32" x14ac:dyDescent="0.3">
      <c r="A67">
        <v>54.034302284932032</v>
      </c>
      <c r="B67">
        <v>1880</v>
      </c>
      <c r="C67">
        <v>5.0629939999999998</v>
      </c>
      <c r="D67">
        <v>3.0200000000000002E-4</v>
      </c>
      <c r="F67">
        <v>6.139151</v>
      </c>
      <c r="G67">
        <v>4.5620000000000001E-3</v>
      </c>
      <c r="H67">
        <v>5.0764440000000004</v>
      </c>
      <c r="I67">
        <v>9.9780000000000008E-3</v>
      </c>
      <c r="AC67">
        <f t="shared" ref="AC67:AC130" si="5">(F67*COS(RADIANS(30))*F67*H67)/2</f>
        <v>82.847015281691384</v>
      </c>
      <c r="AD67">
        <f t="shared" si="4"/>
        <v>0</v>
      </c>
      <c r="AE67">
        <f t="shared" ref="AE67:AE130" si="6">P67*R67*T67</f>
        <v>0</v>
      </c>
      <c r="AF67">
        <f t="shared" ref="AF67:AF130" si="7">W67*Y67*AA67</f>
        <v>0</v>
      </c>
    </row>
    <row r="68" spans="1:32" x14ac:dyDescent="0.3">
      <c r="A68">
        <v>54.079614800554729</v>
      </c>
      <c r="B68">
        <v>1940</v>
      </c>
      <c r="C68">
        <v>5.0645699999999998</v>
      </c>
      <c r="D68">
        <v>4.28E-4</v>
      </c>
      <c r="F68">
        <v>6.1405690000000002</v>
      </c>
      <c r="G68">
        <v>3.8419999999999999E-3</v>
      </c>
      <c r="H68">
        <v>5.082827</v>
      </c>
      <c r="I68">
        <v>8.4270000000000005E-3</v>
      </c>
      <c r="AC68">
        <f t="shared" si="5"/>
        <v>82.989509133937474</v>
      </c>
      <c r="AD68">
        <f t="shared" si="4"/>
        <v>0</v>
      </c>
      <c r="AE68">
        <f t="shared" si="6"/>
        <v>0</v>
      </c>
      <c r="AF68">
        <f t="shared" si="7"/>
        <v>0</v>
      </c>
    </row>
    <row r="69" spans="1:32" x14ac:dyDescent="0.3">
      <c r="A69">
        <v>54.353144907792796</v>
      </c>
      <c r="B69">
        <v>2020</v>
      </c>
      <c r="C69">
        <v>5.066427</v>
      </c>
      <c r="D69">
        <v>3.21E-4</v>
      </c>
      <c r="F69">
        <v>6.141267</v>
      </c>
      <c r="G69">
        <v>3.9100000000000003E-3</v>
      </c>
      <c r="H69">
        <v>5.0970690000000003</v>
      </c>
      <c r="I69">
        <v>8.6370000000000006E-3</v>
      </c>
      <c r="J69" t="s">
        <v>45</v>
      </c>
      <c r="AC69">
        <f t="shared" si="5"/>
        <v>83.240965227992604</v>
      </c>
      <c r="AD69">
        <f t="shared" si="4"/>
        <v>0</v>
      </c>
      <c r="AE69">
        <f t="shared" si="6"/>
        <v>0</v>
      </c>
      <c r="AF69">
        <f t="shared" si="7"/>
        <v>0</v>
      </c>
    </row>
    <row r="70" spans="1:32" x14ac:dyDescent="0.3">
      <c r="A70">
        <v>54.035534439655102</v>
      </c>
      <c r="B70">
        <v>2120</v>
      </c>
      <c r="C70">
        <v>5.0677529999999997</v>
      </c>
      <c r="D70">
        <v>5.31E-4</v>
      </c>
      <c r="F70">
        <v>6.1404909999999999</v>
      </c>
      <c r="G70">
        <v>4.1879999999999999E-3</v>
      </c>
      <c r="H70">
        <v>5.1075340000000002</v>
      </c>
      <c r="I70">
        <v>1.1429E-2</v>
      </c>
      <c r="J70" t="s">
        <v>45</v>
      </c>
      <c r="AC70">
        <f t="shared" si="5"/>
        <v>83.390792413651567</v>
      </c>
      <c r="AD70">
        <f t="shared" si="4"/>
        <v>0</v>
      </c>
      <c r="AE70">
        <f t="shared" si="6"/>
        <v>0</v>
      </c>
      <c r="AF70">
        <f t="shared" si="7"/>
        <v>0</v>
      </c>
    </row>
    <row r="71" spans="1:32" x14ac:dyDescent="0.3">
      <c r="A71">
        <v>53.971842692843872</v>
      </c>
      <c r="B71">
        <v>2200</v>
      </c>
      <c r="C71">
        <v>5.0688110000000002</v>
      </c>
      <c r="D71">
        <v>5.0500000000000002E-4</v>
      </c>
      <c r="F71">
        <v>6.141165</v>
      </c>
      <c r="G71">
        <v>5.274E-3</v>
      </c>
      <c r="H71">
        <v>5.1244009999999998</v>
      </c>
      <c r="I71">
        <v>1.4515E-2</v>
      </c>
      <c r="J71" t="s">
        <v>45</v>
      </c>
      <c r="AC71">
        <f t="shared" si="5"/>
        <v>83.684548147615203</v>
      </c>
      <c r="AD71">
        <f t="shared" si="4"/>
        <v>0</v>
      </c>
      <c r="AE71">
        <f t="shared" si="6"/>
        <v>0</v>
      </c>
      <c r="AF71">
        <f t="shared" si="7"/>
        <v>0</v>
      </c>
    </row>
    <row r="72" spans="1:32" x14ac:dyDescent="0.3">
      <c r="A72">
        <v>54.525594642877024</v>
      </c>
      <c r="B72">
        <v>300</v>
      </c>
      <c r="C72">
        <v>5.0424150000000001</v>
      </c>
      <c r="D72">
        <v>1.9729999999999999E-3</v>
      </c>
      <c r="P72">
        <v>4.9896450000000003</v>
      </c>
      <c r="Q72">
        <v>3.852E-3</v>
      </c>
      <c r="R72">
        <v>3.1070159999999998</v>
      </c>
      <c r="S72">
        <v>1.5460000000000001E-3</v>
      </c>
      <c r="T72">
        <v>5.1852010000000002</v>
      </c>
      <c r="U72">
        <v>2.1689999999999999E-3</v>
      </c>
      <c r="AC72">
        <f t="shared" si="5"/>
        <v>0</v>
      </c>
      <c r="AD72">
        <f t="shared" si="4"/>
        <v>0</v>
      </c>
      <c r="AE72">
        <f t="shared" si="6"/>
        <v>80.385688098000912</v>
      </c>
      <c r="AF72">
        <f t="shared" si="7"/>
        <v>0</v>
      </c>
    </row>
    <row r="73" spans="1:32" x14ac:dyDescent="0.3">
      <c r="A73">
        <v>55.979662205052357</v>
      </c>
      <c r="B73">
        <v>300</v>
      </c>
      <c r="C73">
        <v>5.0372029999999999</v>
      </c>
      <c r="D73">
        <v>2.898E-3</v>
      </c>
      <c r="P73">
        <v>4.9807230000000002</v>
      </c>
      <c r="Q73">
        <v>6.5700000000000003E-3</v>
      </c>
      <c r="R73">
        <v>3.1058089999999998</v>
      </c>
      <c r="S73">
        <v>3.8999999999999998E-3</v>
      </c>
      <c r="T73">
        <v>5.1682119999999996</v>
      </c>
      <c r="U73">
        <v>3.4710000000000001E-3</v>
      </c>
      <c r="AC73">
        <f t="shared" si="5"/>
        <v>0</v>
      </c>
      <c r="AD73">
        <f t="shared" ref="AD73:AD135" si="8">(K73*COS(RADIANS(30))*K73*M73)*2</f>
        <v>0</v>
      </c>
      <c r="AE73">
        <f t="shared" si="6"/>
        <v>79.94797235023519</v>
      </c>
      <c r="AF73">
        <f t="shared" si="7"/>
        <v>0</v>
      </c>
    </row>
    <row r="74" spans="1:32" x14ac:dyDescent="0.3">
      <c r="A74">
        <v>56.614414936757541</v>
      </c>
      <c r="B74">
        <v>300</v>
      </c>
      <c r="C74">
        <v>5.0330899999999996</v>
      </c>
      <c r="D74">
        <v>2.026E-3</v>
      </c>
      <c r="P74">
        <v>4.9767520000000003</v>
      </c>
      <c r="Q74">
        <v>4.2249999999999996E-3</v>
      </c>
      <c r="R74">
        <v>3.1044459999999998</v>
      </c>
      <c r="S74">
        <v>2.5110000000000002E-3</v>
      </c>
      <c r="T74">
        <v>5.1634570000000002</v>
      </c>
      <c r="U74">
        <v>2.232E-3</v>
      </c>
      <c r="AC74">
        <f t="shared" si="5"/>
        <v>0</v>
      </c>
      <c r="AD74">
        <f t="shared" si="8"/>
        <v>0</v>
      </c>
      <c r="AE74">
        <f t="shared" si="6"/>
        <v>79.77570930121351</v>
      </c>
      <c r="AF74">
        <f t="shared" si="7"/>
        <v>0</v>
      </c>
    </row>
    <row r="75" spans="1:32" x14ac:dyDescent="0.3">
      <c r="A75">
        <v>57.952356247262045</v>
      </c>
      <c r="B75">
        <v>1300</v>
      </c>
      <c r="C75">
        <v>5.0391279999999998</v>
      </c>
      <c r="D75">
        <v>1.0560000000000001E-3</v>
      </c>
      <c r="P75">
        <v>4.9934430000000001</v>
      </c>
      <c r="Q75">
        <v>4.4720000000000003E-3</v>
      </c>
      <c r="R75">
        <v>3.0798649999999999</v>
      </c>
      <c r="S75">
        <v>1.157E-3</v>
      </c>
      <c r="T75">
        <v>5.2274039999999999</v>
      </c>
      <c r="U75">
        <v>1.2080000000000001E-3</v>
      </c>
      <c r="AC75">
        <f t="shared" si="5"/>
        <v>0</v>
      </c>
      <c r="AD75">
        <f t="shared" si="8"/>
        <v>0</v>
      </c>
      <c r="AE75">
        <f t="shared" si="6"/>
        <v>80.392927378445648</v>
      </c>
      <c r="AF75">
        <f t="shared" si="7"/>
        <v>0</v>
      </c>
    </row>
    <row r="76" spans="1:32" x14ac:dyDescent="0.3">
      <c r="A76">
        <v>58.021220650004075</v>
      </c>
      <c r="B76">
        <v>1410</v>
      </c>
      <c r="C76">
        <v>5.0395640000000004</v>
      </c>
      <c r="D76">
        <v>8.9300000000000002E-4</v>
      </c>
      <c r="P76">
        <v>4.9836020000000003</v>
      </c>
      <c r="Q76">
        <v>5.2040000000000003E-3</v>
      </c>
      <c r="R76">
        <v>3.0742750000000001</v>
      </c>
      <c r="S76">
        <v>1.348E-3</v>
      </c>
      <c r="T76">
        <v>5.2449700000000004</v>
      </c>
      <c r="U76">
        <v>1.426E-3</v>
      </c>
      <c r="AC76">
        <f t="shared" si="5"/>
        <v>0</v>
      </c>
      <c r="AD76">
        <f t="shared" si="8"/>
        <v>0</v>
      </c>
      <c r="AE76">
        <f t="shared" si="6"/>
        <v>80.357991508303613</v>
      </c>
      <c r="AF76">
        <f t="shared" si="7"/>
        <v>0</v>
      </c>
    </row>
    <row r="77" spans="1:32" x14ac:dyDescent="0.3">
      <c r="A77">
        <v>57.903123201293731</v>
      </c>
      <c r="B77">
        <v>1460</v>
      </c>
      <c r="C77">
        <v>5.0388149999999996</v>
      </c>
      <c r="D77">
        <v>9.3999999999999997E-4</v>
      </c>
      <c r="P77">
        <v>5.0078469999999999</v>
      </c>
      <c r="Q77">
        <v>4.7559999999999998E-3</v>
      </c>
      <c r="R77">
        <v>3.0692460000000001</v>
      </c>
      <c r="S77">
        <v>1.2110000000000001E-3</v>
      </c>
      <c r="T77">
        <v>5.2448730000000001</v>
      </c>
      <c r="U77">
        <v>1.286E-3</v>
      </c>
      <c r="AC77">
        <f t="shared" si="5"/>
        <v>0</v>
      </c>
      <c r="AD77">
        <f t="shared" si="8"/>
        <v>0</v>
      </c>
      <c r="AE77">
        <f t="shared" si="6"/>
        <v>80.615346858358279</v>
      </c>
      <c r="AF77">
        <f t="shared" si="7"/>
        <v>0</v>
      </c>
    </row>
    <row r="78" spans="1:32" x14ac:dyDescent="0.3">
      <c r="A78">
        <v>58.302356121467646</v>
      </c>
      <c r="B78">
        <v>1520</v>
      </c>
      <c r="C78">
        <v>5.0390689999999996</v>
      </c>
      <c r="D78">
        <v>7.36E-4</v>
      </c>
      <c r="P78">
        <v>5.0310079999999999</v>
      </c>
      <c r="Q78">
        <v>1.1507E-2</v>
      </c>
      <c r="R78">
        <v>3.0646100000000001</v>
      </c>
      <c r="S78">
        <v>2.8830000000000001E-3</v>
      </c>
      <c r="T78">
        <v>5.2461849999999997</v>
      </c>
      <c r="U78">
        <v>3.075E-3</v>
      </c>
      <c r="AC78">
        <f t="shared" si="5"/>
        <v>0</v>
      </c>
      <c r="AD78">
        <f t="shared" si="8"/>
        <v>0</v>
      </c>
      <c r="AE78">
        <f t="shared" si="6"/>
        <v>80.886086525736445</v>
      </c>
      <c r="AF78">
        <f t="shared" si="7"/>
        <v>0</v>
      </c>
    </row>
    <row r="79" spans="1:32" x14ac:dyDescent="0.3">
      <c r="A79">
        <v>58.108064959504269</v>
      </c>
      <c r="B79">
        <v>1630</v>
      </c>
      <c r="C79">
        <v>5.0395839999999996</v>
      </c>
      <c r="D79">
        <v>6.1200000000000002E-4</v>
      </c>
      <c r="P79">
        <v>5.004111</v>
      </c>
      <c r="Q79">
        <v>6.0530000000000002E-3</v>
      </c>
      <c r="R79">
        <v>3.0622220000000002</v>
      </c>
      <c r="S79">
        <v>1.475E-3</v>
      </c>
      <c r="T79">
        <v>5.258616</v>
      </c>
      <c r="U79">
        <v>3.1220000000000002E-3</v>
      </c>
      <c r="AC79">
        <f t="shared" si="5"/>
        <v>0</v>
      </c>
      <c r="AD79">
        <f t="shared" si="8"/>
        <v>0</v>
      </c>
      <c r="AE79">
        <f t="shared" si="6"/>
        <v>80.581447660685143</v>
      </c>
      <c r="AF79">
        <f t="shared" si="7"/>
        <v>0</v>
      </c>
    </row>
    <row r="80" spans="1:32" x14ac:dyDescent="0.3">
      <c r="A80">
        <v>58.145557051134688</v>
      </c>
      <c r="B80">
        <v>1700</v>
      </c>
      <c r="C80">
        <v>5.0393059999999998</v>
      </c>
      <c r="D80">
        <v>3.4600000000000001E-4</v>
      </c>
      <c r="P80">
        <v>5.0306150000000001</v>
      </c>
      <c r="Q80">
        <v>6.7600000000000004E-3</v>
      </c>
      <c r="R80">
        <v>3.045442</v>
      </c>
      <c r="S80">
        <v>2.013E-3</v>
      </c>
      <c r="T80">
        <v>5.2703110000000004</v>
      </c>
      <c r="U80">
        <v>3.1710000000000002E-3</v>
      </c>
      <c r="V80" t="s">
        <v>46</v>
      </c>
      <c r="AC80">
        <f t="shared" si="5"/>
        <v>0</v>
      </c>
      <c r="AD80">
        <f t="shared" si="8"/>
        <v>0</v>
      </c>
      <c r="AE80">
        <f t="shared" si="6"/>
        <v>80.74351616876443</v>
      </c>
      <c r="AF80">
        <f t="shared" si="7"/>
        <v>0</v>
      </c>
    </row>
    <row r="81" spans="1:32" x14ac:dyDescent="0.3">
      <c r="A81">
        <v>58.413162808248067</v>
      </c>
      <c r="B81">
        <v>1770</v>
      </c>
      <c r="C81">
        <v>5.0395789999999998</v>
      </c>
      <c r="D81">
        <v>1.73E-4</v>
      </c>
      <c r="P81">
        <v>5.0326690000000003</v>
      </c>
      <c r="Q81">
        <v>6.293E-3</v>
      </c>
      <c r="R81">
        <v>3.0570119999999998</v>
      </c>
      <c r="S81">
        <v>1.9689999999999998E-3</v>
      </c>
      <c r="T81">
        <v>5.275989</v>
      </c>
      <c r="U81">
        <v>3.094E-3</v>
      </c>
      <c r="AC81">
        <f t="shared" si="5"/>
        <v>0</v>
      </c>
      <c r="AD81">
        <f t="shared" si="8"/>
        <v>0</v>
      </c>
      <c r="AE81">
        <f t="shared" si="6"/>
        <v>81.170718939822947</v>
      </c>
      <c r="AF81">
        <f t="shared" si="7"/>
        <v>0</v>
      </c>
    </row>
    <row r="82" spans="1:32" x14ac:dyDescent="0.3">
      <c r="A82">
        <v>58.477441052468443</v>
      </c>
      <c r="B82">
        <v>1850</v>
      </c>
      <c r="C82">
        <v>5.0403900000000004</v>
      </c>
      <c r="D82">
        <v>4.2499999999999998E-4</v>
      </c>
      <c r="F82">
        <v>6.0990450000000003</v>
      </c>
      <c r="G82">
        <v>2.8040000000000001E-3</v>
      </c>
      <c r="H82">
        <v>5.0336210000000001</v>
      </c>
      <c r="I82">
        <v>7.4949999999999999E-3</v>
      </c>
      <c r="AC82">
        <f t="shared" si="5"/>
        <v>81.078335490053732</v>
      </c>
      <c r="AD82">
        <f t="shared" si="8"/>
        <v>0</v>
      </c>
      <c r="AE82">
        <f t="shared" si="6"/>
        <v>0</v>
      </c>
      <c r="AF82">
        <f t="shared" si="7"/>
        <v>0</v>
      </c>
    </row>
    <row r="83" spans="1:32" x14ac:dyDescent="0.3">
      <c r="A83">
        <v>58.535535118244198</v>
      </c>
      <c r="B83">
        <v>1930</v>
      </c>
      <c r="C83">
        <v>5.0409369999999996</v>
      </c>
      <c r="D83">
        <v>4.4799999999999999E-4</v>
      </c>
      <c r="F83">
        <v>6.1017780000000004</v>
      </c>
      <c r="G83">
        <v>2.2899999999999999E-3</v>
      </c>
      <c r="H83">
        <v>5.0366200000000001</v>
      </c>
      <c r="I83">
        <v>6.123E-3</v>
      </c>
      <c r="AC83">
        <f t="shared" si="5"/>
        <v>81.199363919837509</v>
      </c>
      <c r="AD83">
        <f t="shared" si="8"/>
        <v>0</v>
      </c>
      <c r="AE83">
        <f t="shared" si="6"/>
        <v>0</v>
      </c>
      <c r="AF83">
        <f t="shared" si="7"/>
        <v>0</v>
      </c>
    </row>
    <row r="84" spans="1:32" x14ac:dyDescent="0.3">
      <c r="A84">
        <v>58.533441999600733</v>
      </c>
      <c r="B84">
        <v>2010</v>
      </c>
      <c r="C84">
        <v>5.0422770000000003</v>
      </c>
      <c r="D84">
        <v>6.02E-4</v>
      </c>
      <c r="F84">
        <v>6.1010799999999996</v>
      </c>
      <c r="G84">
        <v>2.0230000000000001E-3</v>
      </c>
      <c r="H84">
        <v>5.0528919999999999</v>
      </c>
      <c r="I84">
        <v>5.4590000000000003E-3</v>
      </c>
      <c r="AC84">
        <f t="shared" si="5"/>
        <v>81.443061584903489</v>
      </c>
      <c r="AD84">
        <f t="shared" si="8"/>
        <v>0</v>
      </c>
      <c r="AE84">
        <f t="shared" si="6"/>
        <v>0</v>
      </c>
      <c r="AF84">
        <f t="shared" si="7"/>
        <v>0</v>
      </c>
    </row>
    <row r="85" spans="1:32" x14ac:dyDescent="0.3">
      <c r="A85">
        <v>58.671742492053042</v>
      </c>
      <c r="B85">
        <v>2070</v>
      </c>
      <c r="C85">
        <v>5.0422409999999998</v>
      </c>
      <c r="D85">
        <v>3.7300000000000001E-4</v>
      </c>
      <c r="F85">
        <v>6.1021239999999999</v>
      </c>
      <c r="G85">
        <v>2.8279999999999998E-3</v>
      </c>
      <c r="H85">
        <v>5.0639510000000003</v>
      </c>
      <c r="I85">
        <v>7.6689999999999996E-3</v>
      </c>
      <c r="AC85">
        <f t="shared" si="5"/>
        <v>81.649247764933747</v>
      </c>
      <c r="AD85">
        <f t="shared" si="8"/>
        <v>0</v>
      </c>
      <c r="AE85">
        <f t="shared" si="6"/>
        <v>0</v>
      </c>
      <c r="AF85">
        <f t="shared" si="7"/>
        <v>0</v>
      </c>
    </row>
    <row r="86" spans="1:32" x14ac:dyDescent="0.3">
      <c r="A86">
        <v>58.843593363414435</v>
      </c>
      <c r="B86">
        <v>2180</v>
      </c>
      <c r="C86">
        <v>5.0433539999999999</v>
      </c>
      <c r="D86">
        <v>3.8200000000000002E-4</v>
      </c>
      <c r="F86">
        <v>6.1047659999999997</v>
      </c>
      <c r="G86">
        <v>4.411E-3</v>
      </c>
      <c r="H86">
        <v>5.0677149999999997</v>
      </c>
      <c r="I86">
        <v>1.1975E-2</v>
      </c>
      <c r="AC86">
        <f t="shared" si="5"/>
        <v>81.78070732920051</v>
      </c>
      <c r="AD86">
        <f t="shared" si="8"/>
        <v>0</v>
      </c>
      <c r="AE86">
        <f t="shared" si="6"/>
        <v>0</v>
      </c>
      <c r="AF86">
        <f t="shared" si="7"/>
        <v>0</v>
      </c>
    </row>
    <row r="87" spans="1:32" x14ac:dyDescent="0.3">
      <c r="A87">
        <v>58.75525984307437</v>
      </c>
      <c r="B87">
        <v>2250</v>
      </c>
      <c r="C87">
        <v>5.04528</v>
      </c>
      <c r="D87">
        <v>1.92E-4</v>
      </c>
      <c r="W87">
        <v>5.0931100684322201</v>
      </c>
      <c r="Y87">
        <v>3.0425646828469799</v>
      </c>
      <c r="AA87">
        <v>5.3028758812121204</v>
      </c>
      <c r="AC87">
        <f t="shared" si="5"/>
        <v>0</v>
      </c>
      <c r="AD87">
        <f t="shared" si="8"/>
        <v>0</v>
      </c>
      <c r="AE87">
        <f t="shared" si="6"/>
        <v>0</v>
      </c>
      <c r="AF87">
        <f t="shared" si="7"/>
        <v>82.173984137564105</v>
      </c>
    </row>
    <row r="88" spans="1:32" x14ac:dyDescent="0.3">
      <c r="A88">
        <v>58.956892753682858</v>
      </c>
      <c r="B88">
        <v>2330</v>
      </c>
      <c r="C88">
        <v>5.0456510000000003</v>
      </c>
      <c r="D88">
        <v>9.2900000000000003E-4</v>
      </c>
      <c r="W88">
        <v>5.1003210000000001</v>
      </c>
      <c r="X88">
        <v>2.6048999999999999E-2</v>
      </c>
      <c r="Y88">
        <v>3.0456210000000001</v>
      </c>
      <c r="Z88">
        <v>2.5240000000000002E-3</v>
      </c>
      <c r="AA88">
        <v>5.2967199999999997</v>
      </c>
      <c r="AB88">
        <v>4.5770000000000003E-3</v>
      </c>
      <c r="AC88">
        <f t="shared" si="5"/>
        <v>0</v>
      </c>
      <c r="AD88">
        <f t="shared" si="8"/>
        <v>0</v>
      </c>
      <c r="AE88">
        <f t="shared" si="6"/>
        <v>0</v>
      </c>
      <c r="AF88">
        <f t="shared" si="7"/>
        <v>82.277366790245864</v>
      </c>
    </row>
    <row r="89" spans="1:32" x14ac:dyDescent="0.3">
      <c r="A89">
        <v>58.032206075257506</v>
      </c>
      <c r="B89">
        <v>300</v>
      </c>
      <c r="C89">
        <v>5.0290460000000001</v>
      </c>
      <c r="D89">
        <v>2.6099999999999999E-3</v>
      </c>
      <c r="P89">
        <v>4.9686760000000003</v>
      </c>
      <c r="Q89">
        <v>3.4120000000000001E-3</v>
      </c>
      <c r="R89">
        <v>3.0990479999999998</v>
      </c>
      <c r="S89">
        <v>7.1000000000000002E-4</v>
      </c>
      <c r="T89">
        <v>5.1602059999999996</v>
      </c>
      <c r="U89">
        <v>1.062E-3</v>
      </c>
      <c r="AC89">
        <f t="shared" si="5"/>
        <v>0</v>
      </c>
      <c r="AD89">
        <f t="shared" si="8"/>
        <v>0</v>
      </c>
      <c r="AE89">
        <f t="shared" si="6"/>
        <v>79.457705591588294</v>
      </c>
      <c r="AF89">
        <f t="shared" si="7"/>
        <v>0</v>
      </c>
    </row>
    <row r="90" spans="1:32" x14ac:dyDescent="0.3">
      <c r="A90">
        <v>62.717438472986402</v>
      </c>
      <c r="B90">
        <v>300</v>
      </c>
      <c r="C90">
        <v>5.0242050000000003</v>
      </c>
      <c r="D90">
        <v>8.7240000000000009E-3</v>
      </c>
      <c r="AC90">
        <f t="shared" si="5"/>
        <v>0</v>
      </c>
      <c r="AD90">
        <f t="shared" si="8"/>
        <v>0</v>
      </c>
      <c r="AE90">
        <f t="shared" si="6"/>
        <v>0</v>
      </c>
      <c r="AF90">
        <f t="shared" si="7"/>
        <v>0</v>
      </c>
    </row>
    <row r="91" spans="1:32" x14ac:dyDescent="0.3">
      <c r="A91">
        <v>63.554559125904262</v>
      </c>
      <c r="B91">
        <v>1300</v>
      </c>
      <c r="C91">
        <v>5.0306300000000004</v>
      </c>
      <c r="D91">
        <v>2.6199999999999999E-3</v>
      </c>
      <c r="P91">
        <v>4.921087</v>
      </c>
      <c r="Q91">
        <v>4.0130000000000001E-3</v>
      </c>
      <c r="R91">
        <v>3.0968520000000002</v>
      </c>
      <c r="S91">
        <v>2.323E-3</v>
      </c>
      <c r="T91">
        <v>5.2033139999999998</v>
      </c>
      <c r="U91">
        <v>1.916E-3</v>
      </c>
      <c r="AC91">
        <f t="shared" si="5"/>
        <v>0</v>
      </c>
      <c r="AD91">
        <f t="shared" si="8"/>
        <v>0</v>
      </c>
      <c r="AE91">
        <f t="shared" si="6"/>
        <v>79.297871170328264</v>
      </c>
      <c r="AF91">
        <f t="shared" si="7"/>
        <v>0</v>
      </c>
    </row>
    <row r="92" spans="1:32" x14ac:dyDescent="0.3">
      <c r="A92">
        <v>63.473826094241318</v>
      </c>
      <c r="B92">
        <v>1340</v>
      </c>
      <c r="C92">
        <v>5.024248</v>
      </c>
      <c r="D92">
        <v>1.4920000000000001E-3</v>
      </c>
      <c r="P92">
        <v>4.9408139999999996</v>
      </c>
      <c r="Q92">
        <v>4.1609999999999998E-3</v>
      </c>
      <c r="R92">
        <v>3.0818449999999999</v>
      </c>
      <c r="S92">
        <v>1.333E-3</v>
      </c>
      <c r="T92">
        <v>5.2107890000000001</v>
      </c>
      <c r="U92">
        <v>1.9910000000000001E-3</v>
      </c>
      <c r="AC92">
        <f t="shared" si="5"/>
        <v>0</v>
      </c>
      <c r="AD92">
        <f t="shared" si="8"/>
        <v>0</v>
      </c>
      <c r="AE92">
        <f t="shared" si="6"/>
        <v>79.343761386019622</v>
      </c>
      <c r="AF92">
        <f t="shared" si="7"/>
        <v>0</v>
      </c>
    </row>
    <row r="93" spans="1:32" x14ac:dyDescent="0.3">
      <c r="A93">
        <v>63.35229680129563</v>
      </c>
      <c r="B93">
        <v>1420</v>
      </c>
      <c r="C93">
        <v>5.0183309999999999</v>
      </c>
      <c r="D93">
        <v>6.8199999999999999E-4</v>
      </c>
      <c r="P93">
        <v>4.9582819999999996</v>
      </c>
      <c r="Q93">
        <v>3.3509999999999998E-3</v>
      </c>
      <c r="R93">
        <v>3.0719959999999999</v>
      </c>
      <c r="S93">
        <v>1.0549999999999999E-3</v>
      </c>
      <c r="T93">
        <v>5.2123910000000002</v>
      </c>
      <c r="U93">
        <v>1.5889999999999999E-3</v>
      </c>
      <c r="AC93">
        <f t="shared" si="5"/>
        <v>0</v>
      </c>
      <c r="AD93">
        <f t="shared" si="8"/>
        <v>0</v>
      </c>
      <c r="AE93">
        <f t="shared" si="6"/>
        <v>79.394214360770974</v>
      </c>
      <c r="AF93">
        <f t="shared" si="7"/>
        <v>0</v>
      </c>
    </row>
    <row r="94" spans="1:32" x14ac:dyDescent="0.3">
      <c r="A94">
        <v>63.683341509462913</v>
      </c>
      <c r="B94">
        <v>1480</v>
      </c>
      <c r="C94">
        <v>5.0186809999999999</v>
      </c>
      <c r="D94">
        <v>8.7900000000000001E-4</v>
      </c>
      <c r="P94">
        <v>4.9668840000000003</v>
      </c>
      <c r="Q94">
        <v>2.6129999999999999E-3</v>
      </c>
      <c r="R94">
        <v>3.0668489999999999</v>
      </c>
      <c r="S94">
        <v>8.1599999999999999E-4</v>
      </c>
      <c r="T94">
        <v>5.2145820000000001</v>
      </c>
      <c r="U94">
        <v>1.235E-3</v>
      </c>
      <c r="AC94">
        <f t="shared" si="5"/>
        <v>0</v>
      </c>
      <c r="AD94">
        <f t="shared" si="8"/>
        <v>0</v>
      </c>
      <c r="AE94">
        <f t="shared" si="6"/>
        <v>79.432075775121419</v>
      </c>
      <c r="AF94">
        <f t="shared" si="7"/>
        <v>0</v>
      </c>
    </row>
    <row r="95" spans="1:32" x14ac:dyDescent="0.3">
      <c r="A95">
        <v>63.310858314855714</v>
      </c>
      <c r="B95">
        <v>1550</v>
      </c>
      <c r="C95">
        <v>5.0203290000000003</v>
      </c>
      <c r="D95">
        <v>9.6400000000000001E-4</v>
      </c>
      <c r="P95">
        <v>4.9736159999999998</v>
      </c>
      <c r="Q95">
        <v>2.6090000000000002E-3</v>
      </c>
      <c r="R95">
        <v>3.0633819999999998</v>
      </c>
      <c r="S95">
        <v>8.0999999999999996E-4</v>
      </c>
      <c r="T95">
        <v>5.2173990000000003</v>
      </c>
      <c r="U95">
        <v>1.23E-3</v>
      </c>
      <c r="AC95">
        <f t="shared" si="5"/>
        <v>0</v>
      </c>
      <c r="AD95">
        <f t="shared" si="8"/>
        <v>0</v>
      </c>
      <c r="AE95">
        <f t="shared" si="6"/>
        <v>79.492738448026699</v>
      </c>
      <c r="AF95">
        <f t="shared" si="7"/>
        <v>0</v>
      </c>
    </row>
    <row r="96" spans="1:32" x14ac:dyDescent="0.3">
      <c r="A96">
        <v>63.503563436738332</v>
      </c>
      <c r="B96">
        <v>1630</v>
      </c>
      <c r="C96">
        <v>5.0190989999999998</v>
      </c>
      <c r="D96">
        <v>1.84E-4</v>
      </c>
      <c r="P96">
        <v>4.9788309999999996</v>
      </c>
      <c r="Q96">
        <v>4.9950000000000003E-3</v>
      </c>
      <c r="R96">
        <v>3.0581680000000002</v>
      </c>
      <c r="S96">
        <v>1.212E-3</v>
      </c>
      <c r="T96">
        <v>5.2220500000000003</v>
      </c>
      <c r="U96">
        <v>1.8010000000000001E-3</v>
      </c>
      <c r="AC96">
        <f t="shared" si="5"/>
        <v>0</v>
      </c>
      <c r="AD96">
        <f t="shared" si="8"/>
        <v>0</v>
      </c>
      <c r="AE96">
        <f t="shared" si="6"/>
        <v>79.511464077559069</v>
      </c>
      <c r="AF96">
        <f t="shared" si="7"/>
        <v>0</v>
      </c>
    </row>
    <row r="97" spans="1:32" x14ac:dyDescent="0.3">
      <c r="A97">
        <v>63.567151008611006</v>
      </c>
      <c r="B97">
        <v>1680</v>
      </c>
      <c r="C97">
        <v>5.0192379999999996</v>
      </c>
      <c r="D97">
        <v>4.0700000000000003E-4</v>
      </c>
      <c r="P97">
        <v>4.9904310000000001</v>
      </c>
      <c r="Q97">
        <v>2.882E-3</v>
      </c>
      <c r="R97">
        <v>3.0526909999999998</v>
      </c>
      <c r="S97">
        <v>7.3899999999999997E-4</v>
      </c>
      <c r="T97">
        <v>5.2283179999999998</v>
      </c>
      <c r="U97">
        <v>1.3029999999999999E-3</v>
      </c>
      <c r="AC97">
        <f t="shared" si="5"/>
        <v>0</v>
      </c>
      <c r="AD97">
        <f t="shared" si="8"/>
        <v>0</v>
      </c>
      <c r="AE97">
        <f t="shared" si="6"/>
        <v>79.649471074992533</v>
      </c>
      <c r="AF97">
        <f t="shared" si="7"/>
        <v>0</v>
      </c>
    </row>
    <row r="98" spans="1:32" x14ac:dyDescent="0.3">
      <c r="A98">
        <v>63.219500882986019</v>
      </c>
      <c r="B98">
        <v>1760</v>
      </c>
      <c r="C98">
        <v>5.0202349999999996</v>
      </c>
      <c r="D98">
        <v>8.0699999999999999E-4</v>
      </c>
      <c r="P98">
        <v>5.0020800000000003</v>
      </c>
      <c r="Q98">
        <v>3.8070000000000001E-3</v>
      </c>
      <c r="R98">
        <v>3.0466500000000001</v>
      </c>
      <c r="S98">
        <v>9.6599999999999995E-4</v>
      </c>
      <c r="T98">
        <v>5.2334690000000004</v>
      </c>
      <c r="U98">
        <v>1.7149999999999999E-3</v>
      </c>
      <c r="AC98">
        <f t="shared" si="5"/>
        <v>0</v>
      </c>
      <c r="AD98">
        <f t="shared" si="8"/>
        <v>0</v>
      </c>
      <c r="AE98">
        <f t="shared" si="6"/>
        <v>79.755906304774015</v>
      </c>
      <c r="AF98">
        <f t="shared" si="7"/>
        <v>0</v>
      </c>
    </row>
    <row r="99" spans="1:32" x14ac:dyDescent="0.3">
      <c r="A99">
        <v>63.255362101010661</v>
      </c>
      <c r="B99">
        <v>1830</v>
      </c>
      <c r="C99">
        <v>5.0207069999999998</v>
      </c>
      <c r="D99">
        <v>2.5099999999999998E-4</v>
      </c>
      <c r="P99">
        <v>5.0063810000000002</v>
      </c>
      <c r="Q99">
        <v>3.627E-3</v>
      </c>
      <c r="R99">
        <v>3.0443120000000001</v>
      </c>
      <c r="S99">
        <v>9.1699999999999995E-4</v>
      </c>
      <c r="T99">
        <v>5.2381549999999999</v>
      </c>
      <c r="U99">
        <v>1.634E-3</v>
      </c>
      <c r="AC99">
        <f t="shared" si="5"/>
        <v>0</v>
      </c>
      <c r="AD99">
        <f t="shared" si="8"/>
        <v>0</v>
      </c>
      <c r="AE99">
        <f t="shared" si="6"/>
        <v>79.834645736811552</v>
      </c>
      <c r="AF99">
        <f t="shared" si="7"/>
        <v>0</v>
      </c>
    </row>
    <row r="100" spans="1:32" x14ac:dyDescent="0.3">
      <c r="A100">
        <v>63.200884626017235</v>
      </c>
      <c r="B100">
        <v>1900</v>
      </c>
      <c r="C100">
        <v>5.0222949999999997</v>
      </c>
      <c r="D100">
        <v>3.3300000000000002E-4</v>
      </c>
      <c r="P100">
        <v>5.0160999999999998</v>
      </c>
      <c r="Q100">
        <v>5.0270000000000002E-3</v>
      </c>
      <c r="R100">
        <v>3.0384899999999999</v>
      </c>
      <c r="S100">
        <v>1.2589999999999999E-3</v>
      </c>
      <c r="T100">
        <v>5.2456139999999998</v>
      </c>
      <c r="U100">
        <v>2.2599999999999999E-3</v>
      </c>
      <c r="AC100">
        <f t="shared" si="5"/>
        <v>0</v>
      </c>
      <c r="AD100">
        <f t="shared" si="8"/>
        <v>0</v>
      </c>
      <c r="AE100">
        <f t="shared" si="6"/>
        <v>79.950342219794038</v>
      </c>
      <c r="AF100">
        <f t="shared" si="7"/>
        <v>0</v>
      </c>
    </row>
    <row r="101" spans="1:32" x14ac:dyDescent="0.3">
      <c r="A101">
        <v>63.091035513054791</v>
      </c>
      <c r="B101">
        <v>1980</v>
      </c>
      <c r="C101">
        <v>5.0237829999999999</v>
      </c>
      <c r="D101">
        <v>4.2499999999999998E-4</v>
      </c>
      <c r="F101">
        <v>6.068594</v>
      </c>
      <c r="G101">
        <v>2.9780000000000002E-3</v>
      </c>
      <c r="H101">
        <v>5.022113</v>
      </c>
      <c r="I101">
        <v>8.0160000000000006E-3</v>
      </c>
      <c r="AC101">
        <f t="shared" si="5"/>
        <v>80.087231888684059</v>
      </c>
      <c r="AD101">
        <f t="shared" si="8"/>
        <v>0</v>
      </c>
      <c r="AE101">
        <f t="shared" si="6"/>
        <v>0</v>
      </c>
      <c r="AF101">
        <f t="shared" si="7"/>
        <v>0</v>
      </c>
    </row>
    <row r="102" spans="1:32" x14ac:dyDescent="0.3">
      <c r="A102">
        <v>63.034347149059208</v>
      </c>
      <c r="B102">
        <v>2060</v>
      </c>
      <c r="C102">
        <v>5.0239599999999998</v>
      </c>
      <c r="D102">
        <v>3.9500000000000001E-4</v>
      </c>
      <c r="F102">
        <v>6.0700640000000003</v>
      </c>
      <c r="G102">
        <v>1.3489999999999999E-3</v>
      </c>
      <c r="H102">
        <v>5.0317809999999996</v>
      </c>
      <c r="I102">
        <v>3.6480000000000002E-3</v>
      </c>
      <c r="AC102">
        <f t="shared" si="5"/>
        <v>80.280285285180625</v>
      </c>
      <c r="AD102">
        <f t="shared" si="8"/>
        <v>0</v>
      </c>
      <c r="AE102">
        <f t="shared" si="6"/>
        <v>0</v>
      </c>
      <c r="AF102">
        <f t="shared" si="7"/>
        <v>0</v>
      </c>
    </row>
    <row r="103" spans="1:32" x14ac:dyDescent="0.3">
      <c r="A103">
        <v>63.455062590586415</v>
      </c>
      <c r="B103">
        <v>2180</v>
      </c>
      <c r="C103">
        <v>5.0244309999999999</v>
      </c>
      <c r="D103">
        <v>1.2310000000000001E-3</v>
      </c>
      <c r="F103">
        <v>6.0723830000000003</v>
      </c>
      <c r="G103">
        <v>1.0189999999999999E-3</v>
      </c>
      <c r="H103">
        <v>5.0389480000000004</v>
      </c>
      <c r="I103">
        <v>2.7620000000000001E-3</v>
      </c>
      <c r="AC103">
        <f t="shared" si="5"/>
        <v>80.456071706460136</v>
      </c>
      <c r="AD103">
        <f t="shared" si="8"/>
        <v>0</v>
      </c>
      <c r="AE103">
        <f t="shared" si="6"/>
        <v>0</v>
      </c>
      <c r="AF103">
        <f t="shared" si="7"/>
        <v>0</v>
      </c>
    </row>
    <row r="104" spans="1:32" x14ac:dyDescent="0.3">
      <c r="A104">
        <v>63.012229125797475</v>
      </c>
      <c r="B104">
        <v>2280</v>
      </c>
      <c r="C104">
        <v>5.0260410000000002</v>
      </c>
      <c r="D104">
        <v>1.954E-3</v>
      </c>
      <c r="F104">
        <v>6.0743020000000003</v>
      </c>
      <c r="G104">
        <v>8.5099999999999998E-4</v>
      </c>
      <c r="H104">
        <v>5.0486240000000002</v>
      </c>
      <c r="I104">
        <v>2.3180000000000002E-3</v>
      </c>
      <c r="AC104">
        <f t="shared" si="5"/>
        <v>80.661524140976482</v>
      </c>
      <c r="AD104">
        <f t="shared" si="8"/>
        <v>0</v>
      </c>
      <c r="AE104">
        <f t="shared" si="6"/>
        <v>0</v>
      </c>
      <c r="AF104">
        <f t="shared" si="7"/>
        <v>0</v>
      </c>
    </row>
    <row r="105" spans="1:32" x14ac:dyDescent="0.3">
      <c r="A105">
        <v>63.606991249604157</v>
      </c>
      <c r="B105">
        <v>2370</v>
      </c>
      <c r="C105">
        <v>5.0278910000000003</v>
      </c>
      <c r="D105">
        <v>1.403E-3</v>
      </c>
      <c r="F105">
        <v>6.0730019999999998</v>
      </c>
      <c r="G105">
        <v>1.3799999999999999E-3</v>
      </c>
      <c r="H105">
        <v>5.0595100000000004</v>
      </c>
      <c r="I105">
        <v>3.7820000000000002E-3</v>
      </c>
      <c r="AC105">
        <f t="shared" si="5"/>
        <v>80.800852512090671</v>
      </c>
      <c r="AD105">
        <f t="shared" si="8"/>
        <v>0</v>
      </c>
      <c r="AE105">
        <f t="shared" si="6"/>
        <v>0</v>
      </c>
      <c r="AF105">
        <f t="shared" si="7"/>
        <v>0</v>
      </c>
    </row>
    <row r="106" spans="1:32" x14ac:dyDescent="0.3">
      <c r="A106">
        <v>63.430978445453057</v>
      </c>
      <c r="B106">
        <v>2420</v>
      </c>
      <c r="C106">
        <v>5.0286809999999997</v>
      </c>
      <c r="D106">
        <v>1.356E-3</v>
      </c>
      <c r="F106">
        <v>6.0774309999999998</v>
      </c>
      <c r="G106">
        <v>4.7670000000000004E-3</v>
      </c>
      <c r="H106">
        <v>5.0759780000000001</v>
      </c>
      <c r="I106">
        <v>1.3152E-2</v>
      </c>
      <c r="AC106">
        <f t="shared" si="5"/>
        <v>81.182129793934337</v>
      </c>
      <c r="AD106">
        <f t="shared" si="8"/>
        <v>0</v>
      </c>
      <c r="AE106">
        <f t="shared" si="6"/>
        <v>0</v>
      </c>
      <c r="AF106">
        <f t="shared" si="7"/>
        <v>0</v>
      </c>
    </row>
    <row r="107" spans="1:32" x14ac:dyDescent="0.3">
      <c r="A107">
        <v>63.863466026383918</v>
      </c>
      <c r="B107">
        <v>2510</v>
      </c>
      <c r="C107">
        <v>5.0308479999999998</v>
      </c>
      <c r="D107">
        <v>1.361E-3</v>
      </c>
      <c r="W107">
        <v>5.0807289999999998</v>
      </c>
      <c r="X107">
        <v>3.9960000000000004E-3</v>
      </c>
      <c r="Y107">
        <v>3.0326879999999998</v>
      </c>
      <c r="Z107">
        <v>1.279E-3</v>
      </c>
      <c r="AA107">
        <v>5.2865799999999998</v>
      </c>
      <c r="AB107">
        <v>2.2769999999999999E-3</v>
      </c>
      <c r="AC107">
        <f t="shared" si="5"/>
        <v>0</v>
      </c>
      <c r="AD107">
        <f t="shared" si="8"/>
        <v>0</v>
      </c>
      <c r="AE107">
        <f t="shared" si="6"/>
        <v>0</v>
      </c>
      <c r="AF107">
        <f t="shared" si="7"/>
        <v>81.457030180656204</v>
      </c>
    </row>
    <row r="108" spans="1:32" x14ac:dyDescent="0.3">
      <c r="A108">
        <v>63.241833612979384</v>
      </c>
      <c r="B108">
        <v>2540</v>
      </c>
      <c r="C108">
        <v>5.0313559999999997</v>
      </c>
      <c r="D108">
        <v>5.3799999999999996E-4</v>
      </c>
      <c r="W108">
        <v>5.0874969999999999</v>
      </c>
      <c r="X108">
        <v>1.4499999999999999E-3</v>
      </c>
      <c r="Y108">
        <v>3.0346000000000002</v>
      </c>
      <c r="Z108">
        <v>4.8099999999999998E-4</v>
      </c>
      <c r="AA108">
        <v>5.2807589999999998</v>
      </c>
      <c r="AB108">
        <v>1.139E-3</v>
      </c>
      <c r="AC108">
        <f t="shared" si="5"/>
        <v>0</v>
      </c>
      <c r="AD108">
        <f t="shared" si="8"/>
        <v>0</v>
      </c>
      <c r="AE108">
        <f t="shared" si="6"/>
        <v>0</v>
      </c>
      <c r="AF108">
        <f t="shared" si="7"/>
        <v>81.52709496739871</v>
      </c>
    </row>
    <row r="109" spans="1:32" x14ac:dyDescent="0.3">
      <c r="A109">
        <v>62.154879744833394</v>
      </c>
      <c r="B109">
        <v>300</v>
      </c>
      <c r="AC109">
        <f t="shared" si="5"/>
        <v>0</v>
      </c>
      <c r="AD109">
        <f t="shared" si="8"/>
        <v>0</v>
      </c>
      <c r="AE109">
        <f t="shared" si="6"/>
        <v>0</v>
      </c>
      <c r="AF109">
        <f t="shared" si="7"/>
        <v>0</v>
      </c>
    </row>
    <row r="110" spans="1:32" x14ac:dyDescent="0.3">
      <c r="A110" t="e">
        <v>#DIV/0!</v>
      </c>
      <c r="B110">
        <v>300</v>
      </c>
      <c r="AC110">
        <f t="shared" si="5"/>
        <v>0</v>
      </c>
      <c r="AD110">
        <f t="shared" si="8"/>
        <v>0</v>
      </c>
      <c r="AE110">
        <f t="shared" si="6"/>
        <v>0</v>
      </c>
      <c r="AF110">
        <f t="shared" si="7"/>
        <v>0</v>
      </c>
    </row>
    <row r="111" spans="1:32" x14ac:dyDescent="0.3">
      <c r="A111" t="e">
        <v>#DIV/0!</v>
      </c>
      <c r="B111">
        <v>300</v>
      </c>
      <c r="AC111">
        <f t="shared" si="5"/>
        <v>0</v>
      </c>
      <c r="AD111">
        <f t="shared" si="8"/>
        <v>0</v>
      </c>
      <c r="AE111">
        <f t="shared" si="6"/>
        <v>0</v>
      </c>
      <c r="AF111">
        <f t="shared" si="7"/>
        <v>0</v>
      </c>
    </row>
    <row r="112" spans="1:32" x14ac:dyDescent="0.3">
      <c r="A112" t="e">
        <v>#DIV/0!</v>
      </c>
      <c r="B112">
        <v>300</v>
      </c>
      <c r="AC112">
        <f t="shared" si="5"/>
        <v>0</v>
      </c>
      <c r="AD112">
        <f t="shared" si="8"/>
        <v>0</v>
      </c>
      <c r="AE112">
        <f t="shared" si="6"/>
        <v>0</v>
      </c>
      <c r="AF112">
        <f t="shared" si="7"/>
        <v>0</v>
      </c>
    </row>
    <row r="113" spans="1:32" x14ac:dyDescent="0.3">
      <c r="A113" t="e">
        <v>#DIV/0!</v>
      </c>
      <c r="B113">
        <v>300</v>
      </c>
      <c r="AC113">
        <f t="shared" si="5"/>
        <v>0</v>
      </c>
      <c r="AD113">
        <f t="shared" si="8"/>
        <v>0</v>
      </c>
      <c r="AE113">
        <f t="shared" si="6"/>
        <v>0</v>
      </c>
      <c r="AF113">
        <f t="shared" si="7"/>
        <v>0</v>
      </c>
    </row>
    <row r="114" spans="1:32" x14ac:dyDescent="0.3">
      <c r="A114">
        <v>68.847733418840519</v>
      </c>
      <c r="B114">
        <v>1290</v>
      </c>
      <c r="C114">
        <v>5.0147089999999999</v>
      </c>
      <c r="D114">
        <v>1.2880000000000001E-3</v>
      </c>
      <c r="P114">
        <v>4.8591939999999996</v>
      </c>
      <c r="Q114">
        <v>3.6089999999999998E-3</v>
      </c>
      <c r="R114">
        <v>3.0760930000000002</v>
      </c>
      <c r="S114">
        <v>7.7099999999999998E-4</v>
      </c>
      <c r="T114">
        <v>5.1810859999999996</v>
      </c>
      <c r="U114">
        <v>6.6399999999999999E-4</v>
      </c>
      <c r="AC114">
        <f t="shared" si="5"/>
        <v>0</v>
      </c>
      <c r="AD114">
        <f t="shared" si="8"/>
        <v>0</v>
      </c>
      <c r="AE114">
        <f t="shared" si="6"/>
        <v>77.443415925294417</v>
      </c>
      <c r="AF114">
        <f t="shared" si="7"/>
        <v>0</v>
      </c>
    </row>
    <row r="115" spans="1:32" x14ac:dyDescent="0.3">
      <c r="A115">
        <v>68.943870737669272</v>
      </c>
      <c r="B115">
        <v>1370</v>
      </c>
      <c r="C115">
        <v>5.0129599999999996</v>
      </c>
      <c r="D115">
        <v>3.6900000000000001E-3</v>
      </c>
      <c r="P115">
        <v>4.9305349999999999</v>
      </c>
      <c r="Q115">
        <v>7.8740000000000008E-3</v>
      </c>
      <c r="R115">
        <v>3.0716299999999999</v>
      </c>
      <c r="S115">
        <v>2.7000000000000001E-3</v>
      </c>
      <c r="T115">
        <v>5.1773949999999997</v>
      </c>
      <c r="U115">
        <v>4.156E-3</v>
      </c>
      <c r="AC115">
        <f t="shared" si="5"/>
        <v>0</v>
      </c>
      <c r="AD115">
        <f t="shared" si="8"/>
        <v>0</v>
      </c>
      <c r="AE115">
        <f t="shared" si="6"/>
        <v>78.410504220345558</v>
      </c>
      <c r="AF115">
        <f t="shared" si="7"/>
        <v>0</v>
      </c>
    </row>
    <row r="116" spans="1:32" x14ac:dyDescent="0.3">
      <c r="A116">
        <v>68.917040877424398</v>
      </c>
      <c r="B116">
        <v>1440</v>
      </c>
      <c r="C116">
        <v>5.0143180000000003</v>
      </c>
      <c r="D116">
        <v>3.6949999999999999E-3</v>
      </c>
      <c r="P116">
        <v>4.9394309999999999</v>
      </c>
      <c r="Q116">
        <v>6.6220000000000003E-3</v>
      </c>
      <c r="R116">
        <v>3.0621849999999999</v>
      </c>
      <c r="S116">
        <v>2.2430000000000002E-3</v>
      </c>
      <c r="T116">
        <v>5.1834730000000002</v>
      </c>
      <c r="U116">
        <v>3.4849999999999998E-3</v>
      </c>
      <c r="AC116">
        <f t="shared" si="5"/>
        <v>0</v>
      </c>
      <c r="AD116">
        <f t="shared" si="8"/>
        <v>0</v>
      </c>
      <c r="AE116">
        <f t="shared" si="6"/>
        <v>78.402369549804916</v>
      </c>
      <c r="AF116">
        <f t="shared" si="7"/>
        <v>0</v>
      </c>
    </row>
    <row r="117" spans="1:32" x14ac:dyDescent="0.3">
      <c r="A117">
        <v>68.929590747687399</v>
      </c>
      <c r="B117">
        <v>1540</v>
      </c>
      <c r="C117">
        <v>5.0012379999999999</v>
      </c>
      <c r="D117">
        <v>4.1289999999999999E-3</v>
      </c>
      <c r="P117">
        <v>4.9505439999999998</v>
      </c>
      <c r="Q117">
        <v>5.4130000000000003E-3</v>
      </c>
      <c r="R117">
        <v>3.0534300000000001</v>
      </c>
      <c r="S117">
        <v>1.8090000000000001E-3</v>
      </c>
      <c r="T117">
        <v>5.1893000000000002</v>
      </c>
      <c r="U117">
        <v>2.836E-3</v>
      </c>
      <c r="AC117">
        <f t="shared" si="5"/>
        <v>0</v>
      </c>
      <c r="AD117">
        <f t="shared" si="8"/>
        <v>0</v>
      </c>
      <c r="AE117">
        <f t="shared" si="6"/>
        <v>78.44218304942865</v>
      </c>
      <c r="AF117">
        <f t="shared" si="7"/>
        <v>0</v>
      </c>
    </row>
    <row r="118" spans="1:32" x14ac:dyDescent="0.3">
      <c r="A118">
        <v>69.200797776529811</v>
      </c>
      <c r="B118">
        <v>1610</v>
      </c>
      <c r="C118">
        <v>4.9988359999999998</v>
      </c>
      <c r="D118">
        <v>1.8320000000000001E-3</v>
      </c>
      <c r="P118">
        <v>4.9643680000000003</v>
      </c>
      <c r="Q118">
        <v>2.8930000000000002E-3</v>
      </c>
      <c r="R118">
        <v>3.04332</v>
      </c>
      <c r="S118">
        <v>9.5200000000000005E-4</v>
      </c>
      <c r="T118">
        <v>5.1966070000000002</v>
      </c>
      <c r="U118">
        <v>1.5089999999999999E-3</v>
      </c>
      <c r="AC118">
        <f t="shared" si="5"/>
        <v>0</v>
      </c>
      <c r="AD118">
        <f t="shared" si="8"/>
        <v>0</v>
      </c>
      <c r="AE118">
        <f t="shared" si="6"/>
        <v>78.511172204840975</v>
      </c>
      <c r="AF118">
        <f t="shared" si="7"/>
        <v>0</v>
      </c>
    </row>
    <row r="119" spans="1:32" x14ac:dyDescent="0.3">
      <c r="A119">
        <v>69.199934397848139</v>
      </c>
      <c r="B119">
        <v>1730</v>
      </c>
      <c r="C119">
        <v>4.9969809999999999</v>
      </c>
      <c r="D119">
        <v>2.6819999999999999E-3</v>
      </c>
      <c r="P119">
        <v>4.9746249999999996</v>
      </c>
      <c r="Q119">
        <v>2.212E-3</v>
      </c>
      <c r="R119">
        <v>3.0361910000000001</v>
      </c>
      <c r="S119">
        <v>7.2000000000000005E-4</v>
      </c>
      <c r="T119">
        <v>5.2038929999999999</v>
      </c>
      <c r="U119">
        <v>1.15E-3</v>
      </c>
      <c r="AC119">
        <f t="shared" si="5"/>
        <v>0</v>
      </c>
      <c r="AD119">
        <f t="shared" si="8"/>
        <v>0</v>
      </c>
      <c r="AE119">
        <f t="shared" si="6"/>
        <v>78.599140125616586</v>
      </c>
      <c r="AF119">
        <f t="shared" si="7"/>
        <v>0</v>
      </c>
    </row>
    <row r="120" spans="1:32" x14ac:dyDescent="0.3">
      <c r="A120">
        <v>69.07821241602214</v>
      </c>
      <c r="B120">
        <v>1850</v>
      </c>
      <c r="C120">
        <v>4.9977150000000004</v>
      </c>
      <c r="D120">
        <v>7.7200000000000001E-4</v>
      </c>
      <c r="P120">
        <v>4.9882400000000002</v>
      </c>
      <c r="Q120">
        <v>3.1549999999999998E-3</v>
      </c>
      <c r="R120">
        <v>3.0265249999999999</v>
      </c>
      <c r="S120">
        <v>1.0280000000000001E-3</v>
      </c>
      <c r="T120">
        <v>5.2135600000000002</v>
      </c>
      <c r="U120">
        <v>2.2650000000000001E-3</v>
      </c>
      <c r="AC120">
        <f t="shared" si="5"/>
        <v>0</v>
      </c>
      <c r="AD120">
        <f t="shared" si="8"/>
        <v>0</v>
      </c>
      <c r="AE120">
        <f t="shared" si="6"/>
        <v>78.709287711574959</v>
      </c>
      <c r="AF120">
        <f t="shared" si="7"/>
        <v>0</v>
      </c>
    </row>
    <row r="121" spans="1:32" x14ac:dyDescent="0.3">
      <c r="A121">
        <v>69.069121957666255</v>
      </c>
      <c r="B121">
        <v>1920</v>
      </c>
      <c r="C121">
        <v>4.9975649999999998</v>
      </c>
      <c r="D121">
        <v>7.2300000000000001E-4</v>
      </c>
      <c r="P121">
        <v>4.9974910000000001</v>
      </c>
      <c r="Q121">
        <v>1.825E-3</v>
      </c>
      <c r="R121">
        <v>3.0211809999999999</v>
      </c>
      <c r="S121">
        <v>5.8900000000000001E-4</v>
      </c>
      <c r="T121">
        <v>5.2218210000000003</v>
      </c>
      <c r="U121">
        <v>1.3079999999999999E-3</v>
      </c>
      <c r="AC121">
        <f t="shared" si="5"/>
        <v>0</v>
      </c>
      <c r="AD121">
        <f t="shared" si="8"/>
        <v>0</v>
      </c>
      <c r="AE121">
        <f t="shared" si="6"/>
        <v>78.840749802430992</v>
      </c>
      <c r="AF121">
        <f t="shared" si="7"/>
        <v>0</v>
      </c>
    </row>
    <row r="122" spans="1:32" x14ac:dyDescent="0.3">
      <c r="A122">
        <v>69.144974727207597</v>
      </c>
      <c r="B122">
        <v>1990</v>
      </c>
      <c r="C122">
        <v>4.9975610000000001</v>
      </c>
      <c r="D122">
        <v>4.8500000000000003E-4</v>
      </c>
      <c r="F122">
        <v>6.0351309999999998</v>
      </c>
      <c r="G122">
        <v>2.3159999999999999E-3</v>
      </c>
      <c r="H122">
        <v>5.0006950000000003</v>
      </c>
      <c r="I122">
        <v>6.2560000000000003E-3</v>
      </c>
      <c r="AC122">
        <f t="shared" si="5"/>
        <v>78.868649806709882</v>
      </c>
      <c r="AD122">
        <f t="shared" si="8"/>
        <v>0</v>
      </c>
      <c r="AE122">
        <f t="shared" si="6"/>
        <v>0</v>
      </c>
      <c r="AF122">
        <f t="shared" si="7"/>
        <v>0</v>
      </c>
    </row>
    <row r="123" spans="1:32" x14ac:dyDescent="0.3">
      <c r="A123">
        <v>69.275000654136264</v>
      </c>
      <c r="B123">
        <v>2120</v>
      </c>
      <c r="C123">
        <v>4.9982480000000002</v>
      </c>
      <c r="D123">
        <v>6.7000000000000002E-4</v>
      </c>
      <c r="F123">
        <v>6.0377850000000004</v>
      </c>
      <c r="G123">
        <v>9.5E-4</v>
      </c>
      <c r="H123">
        <v>5.0106729999999997</v>
      </c>
      <c r="I123">
        <v>2.5769999999999999E-3</v>
      </c>
      <c r="AC123">
        <f t="shared" si="5"/>
        <v>79.09553821507761</v>
      </c>
      <c r="AD123">
        <f t="shared" si="8"/>
        <v>0</v>
      </c>
      <c r="AE123">
        <f t="shared" si="6"/>
        <v>0</v>
      </c>
      <c r="AF123">
        <f t="shared" si="7"/>
        <v>0</v>
      </c>
    </row>
    <row r="124" spans="1:32" x14ac:dyDescent="0.3">
      <c r="A124">
        <v>69.147844478814619</v>
      </c>
      <c r="B124">
        <v>2190</v>
      </c>
      <c r="C124">
        <v>4.9997420000000004</v>
      </c>
      <c r="D124">
        <v>6.4499999999999996E-4</v>
      </c>
      <c r="F124">
        <v>6.0360690000000004</v>
      </c>
      <c r="G124">
        <v>1.817E-3</v>
      </c>
      <c r="H124">
        <v>5.021401</v>
      </c>
      <c r="I124">
        <v>4.9579999999999997E-3</v>
      </c>
      <c r="AC124">
        <f t="shared" si="5"/>
        <v>79.219834743795104</v>
      </c>
      <c r="AD124">
        <f t="shared" si="8"/>
        <v>0</v>
      </c>
      <c r="AE124">
        <f t="shared" si="6"/>
        <v>0</v>
      </c>
      <c r="AF124">
        <f t="shared" si="7"/>
        <v>0</v>
      </c>
    </row>
    <row r="125" spans="1:32" x14ac:dyDescent="0.3">
      <c r="A125">
        <v>69.145784634248272</v>
      </c>
      <c r="B125">
        <v>2270</v>
      </c>
      <c r="C125">
        <v>4.9995310000000002</v>
      </c>
      <c r="D125">
        <v>9.7799999999999992E-4</v>
      </c>
      <c r="W125">
        <v>5.0333940000000004</v>
      </c>
      <c r="X125">
        <v>1.908E-3</v>
      </c>
      <c r="Y125">
        <v>3.0130949999999999</v>
      </c>
      <c r="Z125">
        <v>4.28E-4</v>
      </c>
      <c r="AA125">
        <v>5.2369649999999996</v>
      </c>
      <c r="AB125">
        <v>7.7200000000000001E-4</v>
      </c>
      <c r="AC125">
        <f t="shared" si="5"/>
        <v>0</v>
      </c>
      <c r="AD125">
        <f t="shared" si="8"/>
        <v>0</v>
      </c>
      <c r="AE125">
        <f t="shared" si="6"/>
        <v>0</v>
      </c>
      <c r="AF125">
        <f t="shared" si="7"/>
        <v>79.424305006629595</v>
      </c>
    </row>
    <row r="126" spans="1:32" x14ac:dyDescent="0.3">
      <c r="A126">
        <v>69.268479434521154</v>
      </c>
      <c r="B126">
        <v>2360</v>
      </c>
      <c r="C126">
        <v>5.0014799999999999</v>
      </c>
      <c r="D126">
        <v>1.658E-3</v>
      </c>
      <c r="W126">
        <v>5.0354260000000002</v>
      </c>
      <c r="X126">
        <v>7.6109999999999997E-3</v>
      </c>
      <c r="Y126">
        <v>3.020248</v>
      </c>
      <c r="Z126">
        <v>2.3709999999999998E-3</v>
      </c>
      <c r="AA126">
        <v>5.2379110000000004</v>
      </c>
      <c r="AB126">
        <v>4.1440000000000001E-3</v>
      </c>
      <c r="AC126">
        <f t="shared" si="5"/>
        <v>0</v>
      </c>
      <c r="AD126">
        <f t="shared" si="8"/>
        <v>0</v>
      </c>
      <c r="AE126">
        <f t="shared" si="6"/>
        <v>0</v>
      </c>
      <c r="AF126">
        <f t="shared" si="7"/>
        <v>79.659382998042034</v>
      </c>
    </row>
    <row r="127" spans="1:32" x14ac:dyDescent="0.3">
      <c r="A127">
        <v>69.035380019935374</v>
      </c>
      <c r="B127">
        <v>2440</v>
      </c>
      <c r="C127">
        <v>4.9979089999999999</v>
      </c>
      <c r="D127">
        <v>2.176E-3</v>
      </c>
      <c r="W127">
        <v>5.0427980000000003</v>
      </c>
      <c r="X127">
        <v>1.529E-3</v>
      </c>
      <c r="Y127">
        <v>3.009614</v>
      </c>
      <c r="Z127">
        <v>4.6999999999999999E-4</v>
      </c>
      <c r="AA127">
        <v>5.2546220000000003</v>
      </c>
      <c r="AB127">
        <v>8.34E-4</v>
      </c>
      <c r="AC127">
        <f t="shared" si="5"/>
        <v>0</v>
      </c>
      <c r="AD127">
        <f t="shared" si="8"/>
        <v>0</v>
      </c>
      <c r="AE127">
        <f t="shared" si="6"/>
        <v>0</v>
      </c>
      <c r="AF127">
        <f t="shared" si="7"/>
        <v>79.748743683228994</v>
      </c>
    </row>
    <row r="128" spans="1:32" x14ac:dyDescent="0.3">
      <c r="A128">
        <v>69.187498262976902</v>
      </c>
      <c r="B128">
        <v>2500</v>
      </c>
      <c r="C128">
        <v>4.9974610000000004</v>
      </c>
      <c r="D128">
        <v>2.9919999999999999E-3</v>
      </c>
      <c r="W128">
        <v>5.0527949999999997</v>
      </c>
      <c r="X128">
        <v>3.9529999999999999E-3</v>
      </c>
      <c r="Y128">
        <v>3.009433</v>
      </c>
      <c r="Z128">
        <v>9.4799999999999995E-4</v>
      </c>
      <c r="AA128">
        <v>5.2513199999999998</v>
      </c>
      <c r="AB128">
        <v>1.745E-3</v>
      </c>
      <c r="AC128">
        <f t="shared" si="5"/>
        <v>0</v>
      </c>
      <c r="AD128">
        <f t="shared" si="8"/>
        <v>0</v>
      </c>
      <c r="AE128">
        <f t="shared" si="6"/>
        <v>0</v>
      </c>
      <c r="AF128">
        <f t="shared" si="7"/>
        <v>79.85182406336385</v>
      </c>
    </row>
    <row r="129" spans="1:32" x14ac:dyDescent="0.3">
      <c r="A129">
        <v>69.453346168222197</v>
      </c>
      <c r="B129">
        <v>2610</v>
      </c>
      <c r="C129">
        <v>4.9988890000000001</v>
      </c>
      <c r="D129">
        <v>2.7999999999999998E-4</v>
      </c>
      <c r="W129">
        <v>5.0590599999999997</v>
      </c>
      <c r="X129">
        <v>3.568E-3</v>
      </c>
      <c r="Y129">
        <v>3.008575</v>
      </c>
      <c r="Z129">
        <v>8.61E-4</v>
      </c>
      <c r="AA129">
        <v>5.2574560000000004</v>
      </c>
      <c r="AB129">
        <v>1.3619999999999999E-3</v>
      </c>
      <c r="AC129">
        <f t="shared" si="5"/>
        <v>0</v>
      </c>
      <c r="AD129">
        <f t="shared" si="8"/>
        <v>0</v>
      </c>
      <c r="AE129">
        <f t="shared" si="6"/>
        <v>0</v>
      </c>
      <c r="AF129">
        <f t="shared" si="7"/>
        <v>80.021432063467913</v>
      </c>
    </row>
    <row r="130" spans="1:32" x14ac:dyDescent="0.3">
      <c r="A130">
        <v>69.442663997393566</v>
      </c>
      <c r="B130">
        <v>2670</v>
      </c>
      <c r="AC130">
        <f t="shared" si="5"/>
        <v>0</v>
      </c>
      <c r="AD130">
        <f t="shared" si="8"/>
        <v>0</v>
      </c>
      <c r="AE130">
        <f t="shared" si="6"/>
        <v>0</v>
      </c>
      <c r="AF130">
        <f t="shared" si="7"/>
        <v>0</v>
      </c>
    </row>
    <row r="131" spans="1:32" x14ac:dyDescent="0.3">
      <c r="A131" t="e">
        <v>#DIV/0!</v>
      </c>
      <c r="B131">
        <v>2750</v>
      </c>
      <c r="AC131">
        <f>(F131*COS(RADIANS(30))*F131*H131)/2</f>
        <v>0</v>
      </c>
      <c r="AD131">
        <f t="shared" si="8"/>
        <v>0</v>
      </c>
      <c r="AE131">
        <f t="shared" ref="AE131:AE135" si="9">P131*R131*T131</f>
        <v>0</v>
      </c>
      <c r="AF131">
        <f t="shared" ref="AF131:AF135" si="10">W131*Y131*AA131</f>
        <v>0</v>
      </c>
    </row>
    <row r="132" spans="1:32" x14ac:dyDescent="0.3">
      <c r="A132" t="e">
        <v>#DIV/0!</v>
      </c>
      <c r="B132">
        <v>2840</v>
      </c>
      <c r="AC132">
        <f t="shared" ref="AC132:AC135" si="11">(F132*COS(RADIANS(30))*F132*H132)/2</f>
        <v>0</v>
      </c>
      <c r="AD132">
        <f t="shared" si="8"/>
        <v>0</v>
      </c>
      <c r="AE132">
        <f t="shared" si="9"/>
        <v>0</v>
      </c>
      <c r="AF132">
        <f t="shared" si="10"/>
        <v>0</v>
      </c>
    </row>
    <row r="133" spans="1:32" x14ac:dyDescent="0.3">
      <c r="A133" t="e">
        <v>#DIV/0!</v>
      </c>
      <c r="B133">
        <v>2950</v>
      </c>
      <c r="AC133">
        <f t="shared" si="11"/>
        <v>0</v>
      </c>
      <c r="AD133">
        <f t="shared" si="8"/>
        <v>0</v>
      </c>
      <c r="AE133">
        <f t="shared" si="9"/>
        <v>0</v>
      </c>
      <c r="AF133">
        <f t="shared" si="10"/>
        <v>0</v>
      </c>
    </row>
    <row r="134" spans="1:32" x14ac:dyDescent="0.3">
      <c r="A134" t="e">
        <v>#DIV/0!</v>
      </c>
      <c r="B134">
        <v>2960</v>
      </c>
      <c r="AC134">
        <f t="shared" si="11"/>
        <v>0</v>
      </c>
      <c r="AD134">
        <f t="shared" si="8"/>
        <v>0</v>
      </c>
      <c r="AE134">
        <f t="shared" si="9"/>
        <v>0</v>
      </c>
      <c r="AF134">
        <f t="shared" si="10"/>
        <v>0</v>
      </c>
    </row>
    <row r="135" spans="1:32" x14ac:dyDescent="0.3">
      <c r="A135" t="e">
        <v>#DIV/0!</v>
      </c>
      <c r="B135">
        <v>300</v>
      </c>
      <c r="AC135">
        <f t="shared" si="11"/>
        <v>0</v>
      </c>
      <c r="AD135">
        <f t="shared" si="8"/>
        <v>0</v>
      </c>
      <c r="AE135">
        <f t="shared" si="9"/>
        <v>0</v>
      </c>
      <c r="AF135">
        <f t="shared" si="10"/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SI_FeS1</vt:lpstr>
      <vt:lpstr>HV_FeS2_</vt:lpstr>
      <vt:lpstr>PK5_FeS3</vt:lpstr>
      <vt:lpstr>Phase diag FeS IV</vt:lpstr>
      <vt:lpstr>Phase Diag FeS V</vt:lpstr>
      <vt:lpstr>Phase Diag FeS VI</vt:lpstr>
      <vt:lpstr>Phase Diag FeS X</vt:lpstr>
      <vt:lpstr>Feuil1</vt:lpstr>
      <vt:lpstr>Feuil2</vt:lpstr>
      <vt:lpstr>Feuil3</vt:lpstr>
      <vt:lpstr>Feuil4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miozzi</dc:creator>
  <cp:lastModifiedBy>morard</cp:lastModifiedBy>
  <dcterms:created xsi:type="dcterms:W3CDTF">2017-11-30T13:18:20Z</dcterms:created>
  <dcterms:modified xsi:type="dcterms:W3CDTF">2020-04-01T07:47:04Z</dcterms:modified>
</cp:coreProperties>
</file>