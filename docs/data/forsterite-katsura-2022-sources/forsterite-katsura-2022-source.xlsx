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GI\研究\EOS\Geotherm 2020\Manuscript\Data\EMF correction\"/>
    </mc:Choice>
  </mc:AlternateContent>
  <bookViews>
    <workbookView xWindow="0" yWindow="0" windowWidth="18000" windowHeight="24810"/>
  </bookViews>
  <sheets>
    <sheet name="Olivine" sheetId="4" r:id="rId1"/>
    <sheet name="Wadsleyite" sheetId="1" r:id="rId2"/>
    <sheet name="Ringwoodite" sheetId="2" r:id="rId3"/>
    <sheet name="Bridgmanit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4" i="4" l="1"/>
  <c r="AD54" i="4"/>
  <c r="AC54" i="4"/>
  <c r="AB54" i="4"/>
  <c r="Y54" i="4"/>
  <c r="X54" i="4"/>
  <c r="U54" i="4"/>
  <c r="R54" i="4"/>
  <c r="Q54" i="4"/>
  <c r="P54" i="4"/>
  <c r="O54" i="4"/>
  <c r="L54" i="4"/>
  <c r="K54" i="4"/>
  <c r="AE53" i="4"/>
  <c r="AD53" i="4"/>
  <c r="AC53" i="4"/>
  <c r="AB53" i="4"/>
  <c r="Y53" i="4"/>
  <c r="X53" i="4"/>
  <c r="U53" i="4"/>
  <c r="R53" i="4"/>
  <c r="Q53" i="4"/>
  <c r="P53" i="4"/>
  <c r="O53" i="4"/>
  <c r="L53" i="4"/>
  <c r="K53" i="4"/>
  <c r="AE52" i="4"/>
  <c r="AD52" i="4"/>
  <c r="AC52" i="4"/>
  <c r="AB52" i="4"/>
  <c r="Y52" i="4"/>
  <c r="X52" i="4"/>
  <c r="U52" i="4"/>
  <c r="R52" i="4"/>
  <c r="Q52" i="4"/>
  <c r="P52" i="4"/>
  <c r="O52" i="4"/>
  <c r="L52" i="4"/>
  <c r="K52" i="4"/>
  <c r="AE51" i="4"/>
  <c r="AD51" i="4"/>
  <c r="AC51" i="4"/>
  <c r="AB51" i="4"/>
  <c r="Y51" i="4"/>
  <c r="X51" i="4"/>
  <c r="U51" i="4"/>
  <c r="R51" i="4"/>
  <c r="Q51" i="4"/>
  <c r="P51" i="4"/>
  <c r="O51" i="4"/>
  <c r="L51" i="4"/>
  <c r="K51" i="4"/>
  <c r="AE50" i="4"/>
  <c r="AD50" i="4"/>
  <c r="AC50" i="4"/>
  <c r="AB50" i="4"/>
  <c r="Y50" i="4"/>
  <c r="X50" i="4"/>
  <c r="U50" i="4"/>
  <c r="R50" i="4"/>
  <c r="Q50" i="4"/>
  <c r="P50" i="4"/>
  <c r="O50" i="4"/>
  <c r="L50" i="4"/>
  <c r="K50" i="4"/>
  <c r="AE49" i="4"/>
  <c r="AD49" i="4"/>
  <c r="AC49" i="4"/>
  <c r="AB49" i="4"/>
  <c r="Y49" i="4"/>
  <c r="X49" i="4"/>
  <c r="U49" i="4"/>
  <c r="R49" i="4"/>
  <c r="Q49" i="4"/>
  <c r="P49" i="4"/>
  <c r="O49" i="4"/>
  <c r="L49" i="4"/>
  <c r="K49" i="4"/>
  <c r="AE48" i="4"/>
  <c r="AD48" i="4"/>
  <c r="AC48" i="4"/>
  <c r="AB48" i="4"/>
  <c r="Y48" i="4"/>
  <c r="X48" i="4"/>
  <c r="U48" i="4"/>
  <c r="R48" i="4"/>
  <c r="Q48" i="4"/>
  <c r="P48" i="4"/>
  <c r="O48" i="4"/>
  <c r="L48" i="4"/>
  <c r="K48" i="4"/>
  <c r="AE47" i="4"/>
  <c r="AD47" i="4"/>
  <c r="AC47" i="4"/>
  <c r="AB47" i="4"/>
  <c r="Y47" i="4"/>
  <c r="X47" i="4"/>
  <c r="U47" i="4"/>
  <c r="R47" i="4"/>
  <c r="Q47" i="4"/>
  <c r="P47" i="4"/>
  <c r="O47" i="4"/>
  <c r="L47" i="4"/>
  <c r="K47" i="4"/>
  <c r="AE46" i="4"/>
  <c r="AD46" i="4"/>
  <c r="AC46" i="4"/>
  <c r="AB46" i="4"/>
  <c r="Y46" i="4"/>
  <c r="X46" i="4"/>
  <c r="U46" i="4"/>
  <c r="R46" i="4"/>
  <c r="Q46" i="4"/>
  <c r="P46" i="4"/>
  <c r="O46" i="4"/>
  <c r="L46" i="4"/>
  <c r="K46" i="4"/>
  <c r="AE45" i="4"/>
  <c r="AD45" i="4"/>
  <c r="AC45" i="4"/>
  <c r="AB45" i="4"/>
  <c r="Y45" i="4"/>
  <c r="X45" i="4"/>
  <c r="U45" i="4"/>
  <c r="R45" i="4"/>
  <c r="Q45" i="4"/>
  <c r="P45" i="4"/>
  <c r="O45" i="4"/>
  <c r="L45" i="4"/>
  <c r="K45" i="4"/>
  <c r="AE44" i="4"/>
  <c r="AD44" i="4"/>
  <c r="AC44" i="4"/>
  <c r="AB44" i="4"/>
  <c r="Y44" i="4"/>
  <c r="X44" i="4"/>
  <c r="U44" i="4"/>
  <c r="R44" i="4"/>
  <c r="Q44" i="4"/>
  <c r="P44" i="4"/>
  <c r="O44" i="4"/>
  <c r="L44" i="4"/>
  <c r="K44" i="4"/>
  <c r="AE43" i="4"/>
  <c r="AD43" i="4"/>
  <c r="AC43" i="4"/>
  <c r="AB43" i="4"/>
  <c r="Y43" i="4"/>
  <c r="X43" i="4"/>
  <c r="U43" i="4"/>
  <c r="R43" i="4"/>
  <c r="Q43" i="4"/>
  <c r="P43" i="4"/>
  <c r="O43" i="4"/>
  <c r="L43" i="4"/>
  <c r="K43" i="4"/>
  <c r="AE42" i="4"/>
  <c r="AD42" i="4"/>
  <c r="AC42" i="4"/>
  <c r="AB42" i="4"/>
  <c r="Y42" i="4"/>
  <c r="X42" i="4"/>
  <c r="U42" i="4"/>
  <c r="R42" i="4"/>
  <c r="Q42" i="4"/>
  <c r="P42" i="4"/>
  <c r="O42" i="4"/>
  <c r="L42" i="4"/>
  <c r="K42" i="4"/>
  <c r="AE41" i="4"/>
  <c r="AD41" i="4"/>
  <c r="AC41" i="4"/>
  <c r="AB41" i="4"/>
  <c r="Y41" i="4"/>
  <c r="X41" i="4"/>
  <c r="U41" i="4"/>
  <c r="R41" i="4"/>
  <c r="Q41" i="4"/>
  <c r="P41" i="4"/>
  <c r="O41" i="4"/>
  <c r="L41" i="4"/>
  <c r="K41" i="4"/>
  <c r="AE40" i="4"/>
  <c r="AD40" i="4"/>
  <c r="AC40" i="4"/>
  <c r="AB40" i="4"/>
  <c r="Y40" i="4"/>
  <c r="X40" i="4"/>
  <c r="U40" i="4"/>
  <c r="R40" i="4"/>
  <c r="Q40" i="4"/>
  <c r="P40" i="4"/>
  <c r="O40" i="4"/>
  <c r="L40" i="4"/>
  <c r="K40" i="4"/>
  <c r="AE39" i="4"/>
  <c r="AD39" i="4"/>
  <c r="AC39" i="4"/>
  <c r="AB39" i="4"/>
  <c r="Y39" i="4"/>
  <c r="X39" i="4"/>
  <c r="U39" i="4"/>
  <c r="R39" i="4"/>
  <c r="Q39" i="4"/>
  <c r="P39" i="4"/>
  <c r="O39" i="4"/>
  <c r="L39" i="4"/>
  <c r="K39" i="4"/>
  <c r="AE38" i="4"/>
  <c r="AD38" i="4"/>
  <c r="AC38" i="4"/>
  <c r="AB38" i="4"/>
  <c r="Y38" i="4"/>
  <c r="X38" i="4"/>
  <c r="U38" i="4"/>
  <c r="R38" i="4"/>
  <c r="Q38" i="4"/>
  <c r="P38" i="4"/>
  <c r="O38" i="4"/>
  <c r="L38" i="4"/>
  <c r="K38" i="4"/>
  <c r="AE37" i="4"/>
  <c r="AD37" i="4"/>
  <c r="AC37" i="4"/>
  <c r="AB37" i="4"/>
  <c r="Y37" i="4"/>
  <c r="X37" i="4"/>
  <c r="U37" i="4"/>
  <c r="R37" i="4"/>
  <c r="Q37" i="4"/>
  <c r="P37" i="4"/>
  <c r="O37" i="4"/>
  <c r="L37" i="4"/>
  <c r="K37" i="4"/>
  <c r="AE36" i="4"/>
  <c r="AD36" i="4"/>
  <c r="AC36" i="4"/>
  <c r="AB36" i="4"/>
  <c r="Y36" i="4"/>
  <c r="X36" i="4"/>
  <c r="U36" i="4"/>
  <c r="R36" i="4"/>
  <c r="Q36" i="4"/>
  <c r="P36" i="4"/>
  <c r="O36" i="4"/>
  <c r="L36" i="4"/>
  <c r="K36" i="4"/>
  <c r="AE35" i="4"/>
  <c r="AD35" i="4"/>
  <c r="AC35" i="4"/>
  <c r="AB35" i="4"/>
  <c r="Y35" i="4"/>
  <c r="X35" i="4"/>
  <c r="U35" i="4"/>
  <c r="R35" i="4"/>
  <c r="Q35" i="4"/>
  <c r="P35" i="4"/>
  <c r="O35" i="4"/>
  <c r="L35" i="4"/>
  <c r="K35" i="4"/>
  <c r="AE34" i="4"/>
  <c r="AD34" i="4"/>
  <c r="AC34" i="4"/>
  <c r="AB34" i="4"/>
  <c r="Y34" i="4"/>
  <c r="X34" i="4"/>
  <c r="U34" i="4"/>
  <c r="R34" i="4"/>
  <c r="Q34" i="4"/>
  <c r="P34" i="4"/>
  <c r="O34" i="4"/>
  <c r="L34" i="4"/>
  <c r="K34" i="4"/>
  <c r="AE33" i="4"/>
  <c r="AD33" i="4"/>
  <c r="AC33" i="4"/>
  <c r="AB33" i="4"/>
  <c r="Y33" i="4"/>
  <c r="X33" i="4"/>
  <c r="U33" i="4"/>
  <c r="R33" i="4"/>
  <c r="Q33" i="4"/>
  <c r="P33" i="4"/>
  <c r="O33" i="4"/>
  <c r="L33" i="4"/>
  <c r="K33" i="4"/>
  <c r="AE32" i="4"/>
  <c r="AD32" i="4"/>
  <c r="AC32" i="4"/>
  <c r="AB32" i="4"/>
  <c r="Y32" i="4"/>
  <c r="X32" i="4"/>
  <c r="U32" i="4"/>
  <c r="R32" i="4"/>
  <c r="Q32" i="4"/>
  <c r="P32" i="4"/>
  <c r="O32" i="4"/>
  <c r="L32" i="4"/>
  <c r="K32" i="4"/>
  <c r="AE31" i="4"/>
  <c r="AD31" i="4"/>
  <c r="AC31" i="4"/>
  <c r="AB31" i="4"/>
  <c r="Y31" i="4"/>
  <c r="X31" i="4"/>
  <c r="U31" i="4"/>
  <c r="R31" i="4"/>
  <c r="Q31" i="4"/>
  <c r="P31" i="4"/>
  <c r="O31" i="4"/>
  <c r="L31" i="4"/>
  <c r="K31" i="4"/>
  <c r="AE30" i="4"/>
  <c r="AD30" i="4"/>
  <c r="AC30" i="4"/>
  <c r="AB30" i="4"/>
  <c r="Y30" i="4"/>
  <c r="X30" i="4"/>
  <c r="U30" i="4"/>
  <c r="R30" i="4"/>
  <c r="Q30" i="4"/>
  <c r="P30" i="4"/>
  <c r="O30" i="4"/>
  <c r="L30" i="4"/>
  <c r="K30" i="4"/>
  <c r="AE29" i="4"/>
  <c r="AD29" i="4"/>
  <c r="AC29" i="4"/>
  <c r="AB29" i="4"/>
  <c r="Y29" i="4"/>
  <c r="X29" i="4"/>
  <c r="U29" i="4"/>
  <c r="R29" i="4"/>
  <c r="Q29" i="4"/>
  <c r="P29" i="4"/>
  <c r="O29" i="4"/>
  <c r="L29" i="4"/>
  <c r="K29" i="4"/>
  <c r="AE28" i="4"/>
  <c r="AD28" i="4"/>
  <c r="AC28" i="4"/>
  <c r="AB28" i="4"/>
  <c r="Y28" i="4"/>
  <c r="X28" i="4"/>
  <c r="U28" i="4"/>
  <c r="R28" i="4"/>
  <c r="Q28" i="4"/>
  <c r="P28" i="4"/>
  <c r="O28" i="4"/>
  <c r="L28" i="4"/>
  <c r="K28" i="4"/>
  <c r="AE27" i="4"/>
  <c r="AD27" i="4"/>
  <c r="AC27" i="4"/>
  <c r="AB27" i="4"/>
  <c r="Y27" i="4"/>
  <c r="X27" i="4"/>
  <c r="U27" i="4"/>
  <c r="R27" i="4"/>
  <c r="Q27" i="4"/>
  <c r="P27" i="4"/>
  <c r="O27" i="4"/>
  <c r="L27" i="4"/>
  <c r="K27" i="4"/>
  <c r="AE26" i="4"/>
  <c r="AD26" i="4"/>
  <c r="AC26" i="4"/>
  <c r="AB26" i="4"/>
  <c r="Y26" i="4"/>
  <c r="X26" i="4"/>
  <c r="U26" i="4"/>
  <c r="R26" i="4"/>
  <c r="Q26" i="4"/>
  <c r="P26" i="4"/>
  <c r="O26" i="4"/>
  <c r="L26" i="4"/>
  <c r="K26" i="4"/>
  <c r="AE25" i="4"/>
  <c r="AD25" i="4"/>
  <c r="AC25" i="4"/>
  <c r="AB25" i="4"/>
  <c r="Y25" i="4"/>
  <c r="X25" i="4"/>
  <c r="U25" i="4"/>
  <c r="R25" i="4"/>
  <c r="Q25" i="4"/>
  <c r="P25" i="4"/>
  <c r="O25" i="4"/>
  <c r="L25" i="4"/>
  <c r="K25" i="4"/>
  <c r="AE24" i="4"/>
  <c r="AD24" i="4"/>
  <c r="AC24" i="4"/>
  <c r="AB24" i="4"/>
  <c r="Y24" i="4"/>
  <c r="X24" i="4"/>
  <c r="U24" i="4"/>
  <c r="R24" i="4"/>
  <c r="Q24" i="4"/>
  <c r="P24" i="4"/>
  <c r="O24" i="4"/>
  <c r="L24" i="4"/>
  <c r="K24" i="4"/>
  <c r="AE23" i="4"/>
  <c r="AD23" i="4"/>
  <c r="AC23" i="4"/>
  <c r="AB23" i="4"/>
  <c r="Y23" i="4"/>
  <c r="X23" i="4"/>
  <c r="U23" i="4"/>
  <c r="R23" i="4"/>
  <c r="Q23" i="4"/>
  <c r="P23" i="4"/>
  <c r="O23" i="4"/>
  <c r="L23" i="4"/>
  <c r="K23" i="4"/>
  <c r="AE22" i="4"/>
  <c r="AD22" i="4"/>
  <c r="AC22" i="4"/>
  <c r="AB22" i="4"/>
  <c r="Y22" i="4"/>
  <c r="X22" i="4"/>
  <c r="U22" i="4"/>
  <c r="R22" i="4"/>
  <c r="Q22" i="4"/>
  <c r="P22" i="4"/>
  <c r="O22" i="4"/>
  <c r="L22" i="4"/>
  <c r="K22" i="4"/>
  <c r="AE21" i="4"/>
  <c r="AD21" i="4"/>
  <c r="AC21" i="4"/>
  <c r="AB21" i="4"/>
  <c r="Y21" i="4"/>
  <c r="X21" i="4"/>
  <c r="U21" i="4"/>
  <c r="R21" i="4"/>
  <c r="Q21" i="4"/>
  <c r="P21" i="4"/>
  <c r="O21" i="4"/>
  <c r="L21" i="4"/>
  <c r="K21" i="4"/>
  <c r="AE20" i="4"/>
  <c r="AD20" i="4"/>
  <c r="AC20" i="4"/>
  <c r="AB20" i="4"/>
  <c r="Y20" i="4"/>
  <c r="X20" i="4"/>
  <c r="U20" i="4"/>
  <c r="R20" i="4"/>
  <c r="Q20" i="4"/>
  <c r="P20" i="4"/>
  <c r="O20" i="4"/>
  <c r="L20" i="4"/>
  <c r="K20" i="4"/>
  <c r="AE19" i="4"/>
  <c r="AD19" i="4"/>
  <c r="AC19" i="4"/>
  <c r="AB19" i="4"/>
  <c r="Y19" i="4"/>
  <c r="X19" i="4"/>
  <c r="U19" i="4"/>
  <c r="R19" i="4"/>
  <c r="Q19" i="4"/>
  <c r="P19" i="4"/>
  <c r="O19" i="4"/>
  <c r="L19" i="4"/>
  <c r="K19" i="4"/>
  <c r="AE18" i="4"/>
  <c r="AD18" i="4"/>
  <c r="AC18" i="4"/>
  <c r="AB18" i="4"/>
  <c r="Y18" i="4"/>
  <c r="X18" i="4"/>
  <c r="U18" i="4"/>
  <c r="R18" i="4"/>
  <c r="Q18" i="4"/>
  <c r="P18" i="4"/>
  <c r="O18" i="4"/>
  <c r="L18" i="4"/>
  <c r="K18" i="4"/>
  <c r="AE17" i="4"/>
  <c r="AD17" i="4"/>
  <c r="AC17" i="4"/>
  <c r="AB17" i="4"/>
  <c r="Y17" i="4"/>
  <c r="X17" i="4"/>
  <c r="U17" i="4"/>
  <c r="R17" i="4"/>
  <c r="Q17" i="4"/>
  <c r="P17" i="4"/>
  <c r="O17" i="4"/>
  <c r="L17" i="4"/>
  <c r="K17" i="4"/>
  <c r="AE16" i="4"/>
  <c r="AD16" i="4"/>
  <c r="AC16" i="4"/>
  <c r="AB16" i="4"/>
  <c r="Y16" i="4"/>
  <c r="X16" i="4"/>
  <c r="U16" i="4"/>
  <c r="R16" i="4"/>
  <c r="Q16" i="4"/>
  <c r="P16" i="4"/>
  <c r="O16" i="4"/>
  <c r="L16" i="4"/>
  <c r="K16" i="4"/>
  <c r="AE15" i="4"/>
  <c r="AD15" i="4"/>
  <c r="AC15" i="4"/>
  <c r="AB15" i="4"/>
  <c r="Y15" i="4"/>
  <c r="X15" i="4"/>
  <c r="U15" i="4"/>
  <c r="R15" i="4"/>
  <c r="Q15" i="4"/>
  <c r="P15" i="4"/>
  <c r="O15" i="4"/>
  <c r="L15" i="4"/>
  <c r="K15" i="4"/>
  <c r="AE14" i="4"/>
  <c r="AD14" i="4"/>
  <c r="AC14" i="4"/>
  <c r="AB14" i="4"/>
  <c r="Y14" i="4"/>
  <c r="X14" i="4"/>
  <c r="U14" i="4"/>
  <c r="R14" i="4"/>
  <c r="Q14" i="4"/>
  <c r="P14" i="4"/>
  <c r="O14" i="4"/>
  <c r="L14" i="4"/>
  <c r="K14" i="4"/>
  <c r="AE13" i="4"/>
  <c r="AD13" i="4"/>
  <c r="AC13" i="4"/>
  <c r="AB13" i="4"/>
  <c r="Y13" i="4"/>
  <c r="X13" i="4"/>
  <c r="U13" i="4"/>
  <c r="R13" i="4"/>
  <c r="Q13" i="4"/>
  <c r="P13" i="4"/>
  <c r="O13" i="4"/>
  <c r="L13" i="4"/>
  <c r="K13" i="4"/>
  <c r="AE12" i="4"/>
  <c r="AD12" i="4"/>
  <c r="AC12" i="4"/>
  <c r="AB12" i="4"/>
  <c r="Y12" i="4"/>
  <c r="X12" i="4"/>
  <c r="U12" i="4"/>
  <c r="R12" i="4"/>
  <c r="Q12" i="4"/>
  <c r="P12" i="4"/>
  <c r="O12" i="4"/>
  <c r="L12" i="4"/>
  <c r="K12" i="4"/>
  <c r="AE11" i="4"/>
  <c r="AD11" i="4"/>
  <c r="AC11" i="4"/>
  <c r="AB11" i="4"/>
  <c r="Y11" i="4"/>
  <c r="X11" i="4"/>
  <c r="U11" i="4"/>
  <c r="R11" i="4"/>
  <c r="Q11" i="4"/>
  <c r="P11" i="4"/>
  <c r="O11" i="4"/>
  <c r="L11" i="4"/>
  <c r="K11" i="4"/>
  <c r="AE10" i="4"/>
  <c r="AD10" i="4"/>
  <c r="AC10" i="4"/>
  <c r="AB10" i="4"/>
  <c r="Y10" i="4"/>
  <c r="X10" i="4"/>
  <c r="U10" i="4"/>
  <c r="R10" i="4"/>
  <c r="Q10" i="4"/>
  <c r="P10" i="4"/>
  <c r="O10" i="4"/>
  <c r="L10" i="4"/>
  <c r="K10" i="4"/>
  <c r="AE9" i="4"/>
  <c r="AD9" i="4"/>
  <c r="AC9" i="4"/>
  <c r="AB9" i="4"/>
  <c r="Y9" i="4"/>
  <c r="X9" i="4"/>
  <c r="U9" i="4"/>
  <c r="R9" i="4"/>
  <c r="Q9" i="4"/>
  <c r="P9" i="4"/>
  <c r="O9" i="4"/>
  <c r="L9" i="4"/>
  <c r="K9" i="4"/>
  <c r="AE8" i="4"/>
  <c r="AD8" i="4"/>
  <c r="AC8" i="4"/>
  <c r="AB8" i="4"/>
  <c r="Y8" i="4"/>
  <c r="X8" i="4"/>
  <c r="U8" i="4"/>
  <c r="R8" i="4"/>
  <c r="Q8" i="4"/>
  <c r="P8" i="4"/>
  <c r="O8" i="4"/>
  <c r="L8" i="4"/>
  <c r="K8" i="4"/>
  <c r="AE7" i="4"/>
  <c r="AD7" i="4"/>
  <c r="AC7" i="4"/>
  <c r="AB7" i="4"/>
  <c r="Y7" i="4"/>
  <c r="X7" i="4"/>
  <c r="U7" i="4"/>
  <c r="R7" i="4"/>
  <c r="Q7" i="4"/>
  <c r="P7" i="4"/>
  <c r="O7" i="4"/>
  <c r="L7" i="4"/>
  <c r="K7" i="4"/>
  <c r="AE6" i="4"/>
  <c r="AD6" i="4"/>
  <c r="AC6" i="4"/>
  <c r="AB6" i="4"/>
  <c r="Y6" i="4"/>
  <c r="X6" i="4"/>
  <c r="U6" i="4"/>
  <c r="R6" i="4"/>
  <c r="Q6" i="4"/>
  <c r="P6" i="4"/>
  <c r="O6" i="4"/>
  <c r="L6" i="4"/>
  <c r="K6" i="4"/>
  <c r="AE5" i="4"/>
  <c r="AD5" i="4"/>
  <c r="AC5" i="4"/>
  <c r="AB5" i="4"/>
  <c r="Y5" i="4"/>
  <c r="X5" i="4"/>
  <c r="U5" i="4"/>
  <c r="R5" i="4"/>
  <c r="Q5" i="4"/>
  <c r="P5" i="4"/>
  <c r="O5" i="4"/>
  <c r="L5" i="4"/>
  <c r="K5" i="4"/>
  <c r="AE4" i="4"/>
  <c r="AD4" i="4"/>
  <c r="AC4" i="4"/>
  <c r="AB4" i="4"/>
  <c r="Y4" i="4"/>
  <c r="X4" i="4"/>
  <c r="U4" i="4"/>
  <c r="R4" i="4"/>
  <c r="Q4" i="4"/>
  <c r="P4" i="4"/>
  <c r="O4" i="4"/>
  <c r="L4" i="4"/>
  <c r="K4" i="4"/>
  <c r="AG123" i="3" l="1"/>
  <c r="AF123" i="3"/>
  <c r="AE123" i="3"/>
  <c r="AD123" i="3"/>
  <c r="AA123" i="3"/>
  <c r="Z123" i="3"/>
  <c r="W123" i="3"/>
  <c r="T123" i="3"/>
  <c r="S123" i="3"/>
  <c r="P123" i="3"/>
  <c r="O123" i="3"/>
  <c r="L123" i="3"/>
  <c r="K123" i="3"/>
  <c r="AG122" i="3"/>
  <c r="AF122" i="3"/>
  <c r="AE122" i="3"/>
  <c r="AD122" i="3"/>
  <c r="AA122" i="3"/>
  <c r="Z122" i="3"/>
  <c r="W122" i="3"/>
  <c r="T122" i="3"/>
  <c r="S122" i="3"/>
  <c r="P122" i="3"/>
  <c r="O122" i="3"/>
  <c r="L122" i="3"/>
  <c r="K122" i="3"/>
  <c r="AG121" i="3"/>
  <c r="AF121" i="3"/>
  <c r="AE121" i="3"/>
  <c r="AD121" i="3"/>
  <c r="AA121" i="3"/>
  <c r="Z121" i="3"/>
  <c r="W121" i="3"/>
  <c r="T121" i="3"/>
  <c r="S121" i="3"/>
  <c r="P121" i="3"/>
  <c r="O121" i="3"/>
  <c r="L121" i="3"/>
  <c r="K121" i="3"/>
  <c r="AG120" i="3"/>
  <c r="AF120" i="3"/>
  <c r="AE120" i="3"/>
  <c r="AD120" i="3"/>
  <c r="AA120" i="3"/>
  <c r="Z120" i="3"/>
  <c r="W120" i="3"/>
  <c r="T120" i="3"/>
  <c r="S120" i="3"/>
  <c r="P120" i="3"/>
  <c r="O120" i="3"/>
  <c r="L120" i="3"/>
  <c r="K120" i="3"/>
  <c r="AG119" i="3"/>
  <c r="AF119" i="3"/>
  <c r="AE119" i="3"/>
  <c r="AD119" i="3"/>
  <c r="AA119" i="3"/>
  <c r="Z119" i="3"/>
  <c r="W119" i="3"/>
  <c r="T119" i="3"/>
  <c r="S119" i="3"/>
  <c r="P119" i="3"/>
  <c r="O119" i="3"/>
  <c r="L119" i="3"/>
  <c r="K119" i="3"/>
  <c r="AG118" i="3"/>
  <c r="AF118" i="3"/>
  <c r="AE118" i="3"/>
  <c r="AD118" i="3"/>
  <c r="AA118" i="3"/>
  <c r="Z118" i="3"/>
  <c r="W118" i="3"/>
  <c r="T118" i="3"/>
  <c r="S118" i="3"/>
  <c r="P118" i="3"/>
  <c r="O118" i="3"/>
  <c r="L118" i="3"/>
  <c r="K118" i="3"/>
  <c r="AG117" i="3"/>
  <c r="AF117" i="3"/>
  <c r="AE117" i="3"/>
  <c r="AD117" i="3"/>
  <c r="AA117" i="3"/>
  <c r="Z117" i="3"/>
  <c r="W117" i="3"/>
  <c r="T117" i="3"/>
  <c r="S117" i="3"/>
  <c r="P117" i="3"/>
  <c r="O117" i="3"/>
  <c r="L117" i="3"/>
  <c r="K117" i="3"/>
  <c r="AG116" i="3"/>
  <c r="AF116" i="3"/>
  <c r="AE116" i="3"/>
  <c r="AD116" i="3"/>
  <c r="AA116" i="3"/>
  <c r="Z116" i="3"/>
  <c r="W116" i="3"/>
  <c r="T116" i="3"/>
  <c r="S116" i="3"/>
  <c r="P116" i="3"/>
  <c r="O116" i="3"/>
  <c r="L116" i="3"/>
  <c r="K116" i="3"/>
  <c r="AG115" i="3"/>
  <c r="AF115" i="3"/>
  <c r="AE115" i="3"/>
  <c r="AD115" i="3"/>
  <c r="AA115" i="3"/>
  <c r="Z115" i="3"/>
  <c r="W115" i="3"/>
  <c r="T115" i="3"/>
  <c r="S115" i="3"/>
  <c r="P115" i="3"/>
  <c r="O115" i="3"/>
  <c r="L115" i="3"/>
  <c r="K115" i="3"/>
  <c r="AG114" i="3"/>
  <c r="AF114" i="3"/>
  <c r="AE114" i="3"/>
  <c r="AD114" i="3"/>
  <c r="AA114" i="3"/>
  <c r="Z114" i="3"/>
  <c r="W114" i="3"/>
  <c r="T114" i="3"/>
  <c r="S114" i="3"/>
  <c r="P114" i="3"/>
  <c r="O114" i="3"/>
  <c r="L114" i="3"/>
  <c r="K114" i="3"/>
  <c r="AG113" i="3"/>
  <c r="AF113" i="3"/>
  <c r="AE113" i="3"/>
  <c r="AD113" i="3"/>
  <c r="AA113" i="3"/>
  <c r="Z113" i="3"/>
  <c r="W113" i="3"/>
  <c r="T113" i="3"/>
  <c r="S113" i="3"/>
  <c r="P113" i="3"/>
  <c r="O113" i="3"/>
  <c r="L113" i="3"/>
  <c r="K113" i="3"/>
  <c r="AG112" i="3"/>
  <c r="AF112" i="3"/>
  <c r="AE112" i="3"/>
  <c r="AD112" i="3"/>
  <c r="AA112" i="3"/>
  <c r="Z112" i="3"/>
  <c r="W112" i="3"/>
  <c r="T112" i="3"/>
  <c r="S112" i="3"/>
  <c r="P112" i="3"/>
  <c r="O112" i="3"/>
  <c r="L112" i="3"/>
  <c r="K112" i="3"/>
  <c r="AG111" i="3"/>
  <c r="AF111" i="3"/>
  <c r="AE111" i="3"/>
  <c r="AD111" i="3"/>
  <c r="AA111" i="3"/>
  <c r="Z111" i="3"/>
  <c r="W111" i="3"/>
  <c r="T111" i="3"/>
  <c r="S111" i="3"/>
  <c r="P111" i="3"/>
  <c r="O111" i="3"/>
  <c r="L111" i="3"/>
  <c r="K111" i="3"/>
  <c r="AG110" i="3"/>
  <c r="AF110" i="3"/>
  <c r="AE110" i="3"/>
  <c r="AD110" i="3"/>
  <c r="AA110" i="3"/>
  <c r="Z110" i="3"/>
  <c r="W110" i="3"/>
  <c r="T110" i="3"/>
  <c r="S110" i="3"/>
  <c r="P110" i="3"/>
  <c r="O110" i="3"/>
  <c r="L110" i="3"/>
  <c r="K110" i="3"/>
  <c r="AG109" i="3"/>
  <c r="AF109" i="3"/>
  <c r="AE109" i="3"/>
  <c r="AD109" i="3"/>
  <c r="AA109" i="3"/>
  <c r="Z109" i="3"/>
  <c r="W109" i="3"/>
  <c r="T109" i="3"/>
  <c r="S109" i="3"/>
  <c r="P109" i="3"/>
  <c r="O109" i="3"/>
  <c r="L109" i="3"/>
  <c r="K109" i="3"/>
  <c r="AG108" i="3"/>
  <c r="AF108" i="3"/>
  <c r="AE108" i="3"/>
  <c r="AD108" i="3"/>
  <c r="AA108" i="3"/>
  <c r="Z108" i="3"/>
  <c r="W108" i="3"/>
  <c r="T108" i="3"/>
  <c r="S108" i="3"/>
  <c r="P108" i="3"/>
  <c r="O108" i="3"/>
  <c r="L108" i="3"/>
  <c r="K108" i="3"/>
  <c r="AG107" i="3"/>
  <c r="AF107" i="3"/>
  <c r="AE107" i="3"/>
  <c r="AD107" i="3"/>
  <c r="AA107" i="3"/>
  <c r="Z107" i="3"/>
  <c r="W107" i="3"/>
  <c r="T107" i="3"/>
  <c r="S107" i="3"/>
  <c r="P107" i="3"/>
  <c r="O107" i="3"/>
  <c r="L107" i="3"/>
  <c r="K107" i="3"/>
  <c r="AG106" i="3"/>
  <c r="AF106" i="3"/>
  <c r="AE106" i="3"/>
  <c r="AD106" i="3"/>
  <c r="AA106" i="3"/>
  <c r="Z106" i="3"/>
  <c r="W106" i="3"/>
  <c r="T106" i="3"/>
  <c r="S106" i="3"/>
  <c r="P106" i="3"/>
  <c r="O106" i="3"/>
  <c r="L106" i="3"/>
  <c r="K106" i="3"/>
  <c r="AG105" i="3"/>
  <c r="AF105" i="3"/>
  <c r="AE105" i="3"/>
  <c r="AD105" i="3"/>
  <c r="AA105" i="3"/>
  <c r="Z105" i="3"/>
  <c r="W105" i="3"/>
  <c r="T105" i="3"/>
  <c r="S105" i="3"/>
  <c r="P105" i="3"/>
  <c r="O105" i="3"/>
  <c r="L105" i="3"/>
  <c r="K105" i="3"/>
  <c r="AG104" i="3"/>
  <c r="AF104" i="3"/>
  <c r="AE104" i="3"/>
  <c r="AD104" i="3"/>
  <c r="AA104" i="3"/>
  <c r="Z104" i="3"/>
  <c r="W104" i="3"/>
  <c r="T104" i="3"/>
  <c r="S104" i="3"/>
  <c r="P104" i="3"/>
  <c r="O104" i="3"/>
  <c r="L104" i="3"/>
  <c r="K104" i="3"/>
  <c r="AG103" i="3"/>
  <c r="AF103" i="3"/>
  <c r="AE103" i="3"/>
  <c r="AD103" i="3"/>
  <c r="AA103" i="3"/>
  <c r="Z103" i="3"/>
  <c r="W103" i="3"/>
  <c r="T103" i="3"/>
  <c r="S103" i="3"/>
  <c r="P103" i="3"/>
  <c r="O103" i="3"/>
  <c r="L103" i="3"/>
  <c r="K103" i="3"/>
  <c r="AG102" i="3"/>
  <c r="AF102" i="3"/>
  <c r="AE102" i="3"/>
  <c r="AD102" i="3"/>
  <c r="AA102" i="3"/>
  <c r="Z102" i="3"/>
  <c r="W102" i="3"/>
  <c r="T102" i="3"/>
  <c r="S102" i="3"/>
  <c r="P102" i="3"/>
  <c r="O102" i="3"/>
  <c r="L102" i="3"/>
  <c r="K102" i="3"/>
  <c r="AG101" i="3"/>
  <c r="AF101" i="3"/>
  <c r="AE101" i="3"/>
  <c r="AD101" i="3"/>
  <c r="AA101" i="3"/>
  <c r="Z101" i="3"/>
  <c r="W101" i="3"/>
  <c r="T101" i="3"/>
  <c r="S101" i="3"/>
  <c r="P101" i="3"/>
  <c r="O101" i="3"/>
  <c r="L101" i="3"/>
  <c r="K101" i="3"/>
  <c r="AG100" i="3"/>
  <c r="AF100" i="3"/>
  <c r="AE100" i="3"/>
  <c r="AD100" i="3"/>
  <c r="AA100" i="3"/>
  <c r="Z100" i="3"/>
  <c r="W100" i="3"/>
  <c r="T100" i="3"/>
  <c r="S100" i="3"/>
  <c r="P100" i="3"/>
  <c r="O100" i="3"/>
  <c r="L100" i="3"/>
  <c r="K100" i="3"/>
  <c r="AG99" i="3"/>
  <c r="AF99" i="3"/>
  <c r="AE99" i="3"/>
  <c r="AD99" i="3"/>
  <c r="AA99" i="3"/>
  <c r="Z99" i="3"/>
  <c r="W99" i="3"/>
  <c r="T99" i="3"/>
  <c r="S99" i="3"/>
  <c r="P99" i="3"/>
  <c r="O99" i="3"/>
  <c r="L99" i="3"/>
  <c r="K99" i="3"/>
  <c r="AG98" i="3"/>
  <c r="AF98" i="3"/>
  <c r="AE98" i="3"/>
  <c r="AD98" i="3"/>
  <c r="AA98" i="3"/>
  <c r="Z98" i="3"/>
  <c r="W98" i="3"/>
  <c r="T98" i="3"/>
  <c r="S98" i="3"/>
  <c r="P98" i="3"/>
  <c r="O98" i="3"/>
  <c r="L98" i="3"/>
  <c r="K98" i="3"/>
  <c r="AG97" i="3"/>
  <c r="AF97" i="3"/>
  <c r="AE97" i="3"/>
  <c r="AD97" i="3"/>
  <c r="AA97" i="3"/>
  <c r="Z97" i="3"/>
  <c r="W97" i="3"/>
  <c r="T97" i="3"/>
  <c r="S97" i="3"/>
  <c r="P97" i="3"/>
  <c r="O97" i="3"/>
  <c r="L97" i="3"/>
  <c r="K97" i="3"/>
  <c r="AG96" i="3"/>
  <c r="AF96" i="3"/>
  <c r="AE96" i="3"/>
  <c r="AD96" i="3"/>
  <c r="AA96" i="3"/>
  <c r="Z96" i="3"/>
  <c r="W96" i="3"/>
  <c r="T96" i="3"/>
  <c r="S96" i="3"/>
  <c r="P96" i="3"/>
  <c r="O96" i="3"/>
  <c r="L96" i="3"/>
  <c r="K96" i="3"/>
  <c r="AG95" i="3"/>
  <c r="AF95" i="3"/>
  <c r="AE95" i="3"/>
  <c r="AD95" i="3"/>
  <c r="AA95" i="3"/>
  <c r="Z95" i="3"/>
  <c r="W95" i="3"/>
  <c r="T95" i="3"/>
  <c r="S95" i="3"/>
  <c r="P95" i="3"/>
  <c r="O95" i="3"/>
  <c r="L95" i="3"/>
  <c r="K95" i="3"/>
  <c r="AG94" i="3"/>
  <c r="AF94" i="3"/>
  <c r="AE94" i="3"/>
  <c r="AD94" i="3"/>
  <c r="AA94" i="3"/>
  <c r="Z94" i="3"/>
  <c r="W94" i="3"/>
  <c r="T94" i="3"/>
  <c r="S94" i="3"/>
  <c r="P94" i="3"/>
  <c r="O94" i="3"/>
  <c r="L94" i="3"/>
  <c r="K94" i="3"/>
  <c r="AG93" i="3"/>
  <c r="AF93" i="3"/>
  <c r="AE93" i="3"/>
  <c r="AD93" i="3"/>
  <c r="AA93" i="3"/>
  <c r="Z93" i="3"/>
  <c r="W93" i="3"/>
  <c r="T93" i="3"/>
  <c r="S93" i="3"/>
  <c r="P93" i="3"/>
  <c r="O93" i="3"/>
  <c r="L93" i="3"/>
  <c r="K93" i="3"/>
  <c r="AG92" i="3"/>
  <c r="AF92" i="3"/>
  <c r="AE92" i="3"/>
  <c r="AD92" i="3"/>
  <c r="AA92" i="3"/>
  <c r="Z92" i="3"/>
  <c r="W92" i="3"/>
  <c r="T92" i="3"/>
  <c r="S92" i="3"/>
  <c r="P92" i="3"/>
  <c r="O92" i="3"/>
  <c r="L92" i="3"/>
  <c r="K92" i="3"/>
  <c r="AG91" i="3"/>
  <c r="AF91" i="3"/>
  <c r="AE91" i="3"/>
  <c r="AD91" i="3"/>
  <c r="AA91" i="3"/>
  <c r="Z91" i="3"/>
  <c r="W91" i="3"/>
  <c r="T91" i="3"/>
  <c r="S91" i="3"/>
  <c r="P91" i="3"/>
  <c r="O91" i="3"/>
  <c r="L91" i="3"/>
  <c r="K91" i="3"/>
  <c r="AG90" i="3"/>
  <c r="AF90" i="3"/>
  <c r="AE90" i="3"/>
  <c r="AD90" i="3"/>
  <c r="AA90" i="3"/>
  <c r="Z90" i="3"/>
  <c r="W90" i="3"/>
  <c r="T90" i="3"/>
  <c r="S90" i="3"/>
  <c r="P90" i="3"/>
  <c r="O90" i="3"/>
  <c r="L90" i="3"/>
  <c r="K90" i="3"/>
  <c r="AG89" i="3"/>
  <c r="AF89" i="3"/>
  <c r="AE89" i="3"/>
  <c r="AD89" i="3"/>
  <c r="AA89" i="3"/>
  <c r="Z89" i="3"/>
  <c r="W89" i="3"/>
  <c r="T89" i="3"/>
  <c r="S89" i="3"/>
  <c r="P89" i="3"/>
  <c r="O89" i="3"/>
  <c r="L89" i="3"/>
  <c r="K89" i="3"/>
  <c r="AG88" i="3"/>
  <c r="AF88" i="3"/>
  <c r="AE88" i="3"/>
  <c r="AD88" i="3"/>
  <c r="AA88" i="3"/>
  <c r="Z88" i="3"/>
  <c r="W88" i="3"/>
  <c r="T88" i="3"/>
  <c r="S88" i="3"/>
  <c r="P88" i="3"/>
  <c r="O88" i="3"/>
  <c r="L88" i="3"/>
  <c r="K88" i="3"/>
  <c r="AG87" i="3"/>
  <c r="AF87" i="3"/>
  <c r="AE87" i="3"/>
  <c r="AD87" i="3"/>
  <c r="AA87" i="3"/>
  <c r="Z87" i="3"/>
  <c r="W87" i="3"/>
  <c r="T87" i="3"/>
  <c r="S87" i="3"/>
  <c r="P87" i="3"/>
  <c r="O87" i="3"/>
  <c r="L87" i="3"/>
  <c r="K87" i="3"/>
  <c r="AG86" i="3"/>
  <c r="AF86" i="3"/>
  <c r="AE86" i="3"/>
  <c r="AD86" i="3"/>
  <c r="AA86" i="3"/>
  <c r="Z86" i="3"/>
  <c r="W86" i="3"/>
  <c r="T86" i="3"/>
  <c r="S86" i="3"/>
  <c r="P86" i="3"/>
  <c r="O86" i="3"/>
  <c r="L86" i="3"/>
  <c r="K86" i="3"/>
  <c r="AG85" i="3"/>
  <c r="AF85" i="3"/>
  <c r="AE85" i="3"/>
  <c r="AD85" i="3"/>
  <c r="AA85" i="3"/>
  <c r="Z85" i="3"/>
  <c r="W85" i="3"/>
  <c r="T85" i="3"/>
  <c r="S85" i="3"/>
  <c r="P85" i="3"/>
  <c r="O85" i="3"/>
  <c r="L85" i="3"/>
  <c r="K85" i="3"/>
  <c r="AG84" i="3"/>
  <c r="AF84" i="3"/>
  <c r="AE84" i="3"/>
  <c r="AD84" i="3"/>
  <c r="AA84" i="3"/>
  <c r="Z84" i="3"/>
  <c r="W84" i="3"/>
  <c r="T84" i="3"/>
  <c r="S84" i="3"/>
  <c r="P84" i="3"/>
  <c r="O84" i="3"/>
  <c r="L84" i="3"/>
  <c r="K84" i="3"/>
  <c r="AG83" i="3"/>
  <c r="AF83" i="3"/>
  <c r="AE83" i="3"/>
  <c r="AD83" i="3"/>
  <c r="AA83" i="3"/>
  <c r="Z83" i="3"/>
  <c r="W83" i="3"/>
  <c r="T83" i="3"/>
  <c r="S83" i="3"/>
  <c r="P83" i="3"/>
  <c r="O83" i="3"/>
  <c r="L83" i="3"/>
  <c r="K83" i="3"/>
  <c r="AG82" i="3"/>
  <c r="AF82" i="3"/>
  <c r="AE82" i="3"/>
  <c r="AD82" i="3"/>
  <c r="AA82" i="3"/>
  <c r="Z82" i="3"/>
  <c r="W82" i="3"/>
  <c r="T82" i="3"/>
  <c r="S82" i="3"/>
  <c r="P82" i="3"/>
  <c r="O82" i="3"/>
  <c r="L82" i="3"/>
  <c r="K82" i="3"/>
  <c r="AG81" i="3"/>
  <c r="AF81" i="3"/>
  <c r="AE81" i="3"/>
  <c r="AD81" i="3"/>
  <c r="AA81" i="3"/>
  <c r="Z81" i="3"/>
  <c r="W81" i="3"/>
  <c r="T81" i="3"/>
  <c r="S81" i="3"/>
  <c r="P81" i="3"/>
  <c r="O81" i="3"/>
  <c r="L81" i="3"/>
  <c r="K81" i="3"/>
  <c r="AG80" i="3"/>
  <c r="AF80" i="3"/>
  <c r="AE80" i="3"/>
  <c r="AD80" i="3"/>
  <c r="AA80" i="3"/>
  <c r="Z80" i="3"/>
  <c r="W80" i="3"/>
  <c r="T80" i="3"/>
  <c r="S80" i="3"/>
  <c r="P80" i="3"/>
  <c r="O80" i="3"/>
  <c r="L80" i="3"/>
  <c r="K80" i="3"/>
  <c r="AG79" i="3"/>
  <c r="AF79" i="3"/>
  <c r="AE79" i="3"/>
  <c r="AD79" i="3"/>
  <c r="AA79" i="3"/>
  <c r="Z79" i="3"/>
  <c r="W79" i="3"/>
  <c r="T79" i="3"/>
  <c r="S79" i="3"/>
  <c r="P79" i="3"/>
  <c r="O79" i="3"/>
  <c r="L79" i="3"/>
  <c r="K79" i="3"/>
  <c r="AG78" i="3"/>
  <c r="AF78" i="3"/>
  <c r="AE78" i="3"/>
  <c r="AD78" i="3"/>
  <c r="AA78" i="3"/>
  <c r="Z78" i="3"/>
  <c r="W78" i="3"/>
  <c r="T78" i="3"/>
  <c r="S78" i="3"/>
  <c r="P78" i="3"/>
  <c r="O78" i="3"/>
  <c r="L78" i="3"/>
  <c r="K78" i="3"/>
  <c r="AG77" i="3"/>
  <c r="AF77" i="3"/>
  <c r="AE77" i="3"/>
  <c r="AD77" i="3"/>
  <c r="AA77" i="3"/>
  <c r="Z77" i="3"/>
  <c r="W77" i="3"/>
  <c r="T77" i="3"/>
  <c r="S77" i="3"/>
  <c r="P77" i="3"/>
  <c r="O77" i="3"/>
  <c r="L77" i="3"/>
  <c r="K77" i="3"/>
  <c r="AG76" i="3"/>
  <c r="AF76" i="3"/>
  <c r="AE76" i="3"/>
  <c r="AD76" i="3"/>
  <c r="AA76" i="3"/>
  <c r="Z76" i="3"/>
  <c r="W76" i="3"/>
  <c r="T76" i="3"/>
  <c r="S76" i="3"/>
  <c r="P76" i="3"/>
  <c r="O76" i="3"/>
  <c r="L76" i="3"/>
  <c r="K76" i="3"/>
  <c r="AG75" i="3"/>
  <c r="AF75" i="3"/>
  <c r="AE75" i="3"/>
  <c r="AD75" i="3"/>
  <c r="AA75" i="3"/>
  <c r="Z75" i="3"/>
  <c r="W75" i="3"/>
  <c r="T75" i="3"/>
  <c r="S75" i="3"/>
  <c r="P75" i="3"/>
  <c r="O75" i="3"/>
  <c r="L75" i="3"/>
  <c r="K75" i="3"/>
  <c r="AG74" i="3"/>
  <c r="AF74" i="3"/>
  <c r="AE74" i="3"/>
  <c r="AD74" i="3"/>
  <c r="AA74" i="3"/>
  <c r="Z74" i="3"/>
  <c r="W74" i="3"/>
  <c r="T74" i="3"/>
  <c r="S74" i="3"/>
  <c r="P74" i="3"/>
  <c r="O74" i="3"/>
  <c r="L74" i="3"/>
  <c r="K74" i="3"/>
  <c r="AG73" i="3"/>
  <c r="AF73" i="3"/>
  <c r="AE73" i="3"/>
  <c r="AD73" i="3"/>
  <c r="AA73" i="3"/>
  <c r="Z73" i="3"/>
  <c r="W73" i="3"/>
  <c r="T73" i="3"/>
  <c r="S73" i="3"/>
  <c r="P73" i="3"/>
  <c r="O73" i="3"/>
  <c r="L73" i="3"/>
  <c r="K73" i="3"/>
  <c r="AG72" i="3"/>
  <c r="AF72" i="3"/>
  <c r="AE72" i="3"/>
  <c r="AD72" i="3"/>
  <c r="AA72" i="3"/>
  <c r="Z72" i="3"/>
  <c r="W72" i="3"/>
  <c r="T72" i="3"/>
  <c r="S72" i="3"/>
  <c r="P72" i="3"/>
  <c r="O72" i="3"/>
  <c r="L72" i="3"/>
  <c r="K72" i="3"/>
  <c r="AG71" i="3"/>
  <c r="AF71" i="3"/>
  <c r="AE71" i="3"/>
  <c r="AD71" i="3"/>
  <c r="AA71" i="3"/>
  <c r="Z71" i="3"/>
  <c r="W71" i="3"/>
  <c r="T71" i="3"/>
  <c r="S71" i="3"/>
  <c r="P71" i="3"/>
  <c r="O71" i="3"/>
  <c r="L71" i="3"/>
  <c r="K71" i="3"/>
  <c r="AG70" i="3"/>
  <c r="AF70" i="3"/>
  <c r="AE70" i="3"/>
  <c r="AD70" i="3"/>
  <c r="AA70" i="3"/>
  <c r="Z70" i="3"/>
  <c r="W70" i="3"/>
  <c r="T70" i="3"/>
  <c r="S70" i="3"/>
  <c r="P70" i="3"/>
  <c r="O70" i="3"/>
  <c r="L70" i="3"/>
  <c r="K70" i="3"/>
  <c r="AG69" i="3"/>
  <c r="AF69" i="3"/>
  <c r="AE69" i="3"/>
  <c r="AD69" i="3"/>
  <c r="AA69" i="3"/>
  <c r="Z69" i="3"/>
  <c r="W69" i="3"/>
  <c r="T69" i="3"/>
  <c r="S69" i="3"/>
  <c r="P69" i="3"/>
  <c r="O69" i="3"/>
  <c r="L69" i="3"/>
  <c r="K69" i="3"/>
  <c r="AG68" i="3"/>
  <c r="AF68" i="3"/>
  <c r="AE68" i="3"/>
  <c r="AD68" i="3"/>
  <c r="AA68" i="3"/>
  <c r="Z68" i="3"/>
  <c r="W68" i="3"/>
  <c r="T68" i="3"/>
  <c r="S68" i="3"/>
  <c r="P68" i="3"/>
  <c r="O68" i="3"/>
  <c r="L68" i="3"/>
  <c r="K68" i="3"/>
  <c r="AG67" i="3"/>
  <c r="AF67" i="3"/>
  <c r="AE67" i="3"/>
  <c r="AD67" i="3"/>
  <c r="AA67" i="3"/>
  <c r="Z67" i="3"/>
  <c r="W67" i="3"/>
  <c r="T67" i="3"/>
  <c r="S67" i="3"/>
  <c r="P67" i="3"/>
  <c r="O67" i="3"/>
  <c r="L67" i="3"/>
  <c r="K67" i="3"/>
  <c r="AG66" i="3"/>
  <c r="AF66" i="3"/>
  <c r="AE66" i="3"/>
  <c r="AD66" i="3"/>
  <c r="AA66" i="3"/>
  <c r="Z66" i="3"/>
  <c r="W66" i="3"/>
  <c r="T66" i="3"/>
  <c r="S66" i="3"/>
  <c r="P66" i="3"/>
  <c r="O66" i="3"/>
  <c r="L66" i="3"/>
  <c r="K66" i="3"/>
  <c r="AG65" i="3"/>
  <c r="AF65" i="3"/>
  <c r="AE65" i="3"/>
  <c r="AD65" i="3"/>
  <c r="AA65" i="3"/>
  <c r="Z65" i="3"/>
  <c r="W65" i="3"/>
  <c r="T65" i="3"/>
  <c r="S65" i="3"/>
  <c r="P65" i="3"/>
  <c r="O65" i="3"/>
  <c r="L65" i="3"/>
  <c r="K65" i="3"/>
  <c r="AG64" i="3"/>
  <c r="AF64" i="3"/>
  <c r="AE64" i="3"/>
  <c r="AD64" i="3"/>
  <c r="AA64" i="3"/>
  <c r="Z64" i="3"/>
  <c r="W64" i="3"/>
  <c r="T64" i="3"/>
  <c r="S64" i="3"/>
  <c r="P64" i="3"/>
  <c r="O64" i="3"/>
  <c r="L64" i="3"/>
  <c r="K64" i="3"/>
  <c r="AG63" i="3"/>
  <c r="AF63" i="3"/>
  <c r="AE63" i="3"/>
  <c r="AD63" i="3"/>
  <c r="AA63" i="3"/>
  <c r="Z63" i="3"/>
  <c r="W63" i="3"/>
  <c r="T63" i="3"/>
  <c r="S63" i="3"/>
  <c r="P63" i="3"/>
  <c r="O63" i="3"/>
  <c r="L63" i="3"/>
  <c r="K63" i="3"/>
  <c r="AG62" i="3"/>
  <c r="AF62" i="3"/>
  <c r="AE62" i="3"/>
  <c r="AD62" i="3"/>
  <c r="AA62" i="3"/>
  <c r="Z62" i="3"/>
  <c r="W62" i="3"/>
  <c r="T62" i="3"/>
  <c r="S62" i="3"/>
  <c r="P62" i="3"/>
  <c r="O62" i="3"/>
  <c r="L62" i="3"/>
  <c r="K62" i="3"/>
  <c r="AG61" i="3"/>
  <c r="AF61" i="3"/>
  <c r="AE61" i="3"/>
  <c r="AD61" i="3"/>
  <c r="AA61" i="3"/>
  <c r="Z61" i="3"/>
  <c r="W61" i="3"/>
  <c r="T61" i="3"/>
  <c r="S61" i="3"/>
  <c r="P61" i="3"/>
  <c r="O61" i="3"/>
  <c r="L61" i="3"/>
  <c r="K61" i="3"/>
  <c r="AG60" i="3"/>
  <c r="AF60" i="3"/>
  <c r="AE60" i="3"/>
  <c r="AD60" i="3"/>
  <c r="AA60" i="3"/>
  <c r="Z60" i="3"/>
  <c r="W60" i="3"/>
  <c r="T60" i="3"/>
  <c r="S60" i="3"/>
  <c r="P60" i="3"/>
  <c r="O60" i="3"/>
  <c r="L60" i="3"/>
  <c r="K60" i="3"/>
  <c r="AG59" i="3"/>
  <c r="AF59" i="3"/>
  <c r="AE59" i="3"/>
  <c r="AD59" i="3"/>
  <c r="AA59" i="3"/>
  <c r="Z59" i="3"/>
  <c r="W59" i="3"/>
  <c r="T59" i="3"/>
  <c r="S59" i="3"/>
  <c r="P59" i="3"/>
  <c r="O59" i="3"/>
  <c r="L59" i="3"/>
  <c r="K59" i="3"/>
  <c r="AG58" i="3"/>
  <c r="AF58" i="3"/>
  <c r="AE58" i="3"/>
  <c r="AD58" i="3"/>
  <c r="AA58" i="3"/>
  <c r="Z58" i="3"/>
  <c r="W58" i="3"/>
  <c r="T58" i="3"/>
  <c r="S58" i="3"/>
  <c r="P58" i="3"/>
  <c r="O58" i="3"/>
  <c r="L58" i="3"/>
  <c r="K58" i="3"/>
  <c r="AG57" i="3"/>
  <c r="AF57" i="3"/>
  <c r="AE57" i="3"/>
  <c r="AD57" i="3"/>
  <c r="AA57" i="3"/>
  <c r="Z57" i="3"/>
  <c r="W57" i="3"/>
  <c r="T57" i="3"/>
  <c r="S57" i="3"/>
  <c r="P57" i="3"/>
  <c r="O57" i="3"/>
  <c r="L57" i="3"/>
  <c r="K57" i="3"/>
  <c r="AG56" i="3"/>
  <c r="AF56" i="3"/>
  <c r="AE56" i="3"/>
  <c r="AD56" i="3"/>
  <c r="AA56" i="3"/>
  <c r="Z56" i="3"/>
  <c r="W56" i="3"/>
  <c r="T56" i="3"/>
  <c r="S56" i="3"/>
  <c r="P56" i="3"/>
  <c r="O56" i="3"/>
  <c r="L56" i="3"/>
  <c r="K56" i="3"/>
  <c r="AG55" i="3"/>
  <c r="AF55" i="3"/>
  <c r="AE55" i="3"/>
  <c r="AD55" i="3"/>
  <c r="AA55" i="3"/>
  <c r="Z55" i="3"/>
  <c r="W55" i="3"/>
  <c r="T55" i="3"/>
  <c r="S55" i="3"/>
  <c r="P55" i="3"/>
  <c r="O55" i="3"/>
  <c r="L55" i="3"/>
  <c r="K55" i="3"/>
  <c r="AG54" i="3"/>
  <c r="AF54" i="3"/>
  <c r="AE54" i="3"/>
  <c r="AD54" i="3"/>
  <c r="AA54" i="3"/>
  <c r="Z54" i="3"/>
  <c r="W54" i="3"/>
  <c r="T54" i="3"/>
  <c r="S54" i="3"/>
  <c r="P54" i="3"/>
  <c r="O54" i="3"/>
  <c r="L54" i="3"/>
  <c r="K54" i="3"/>
  <c r="AG53" i="3"/>
  <c r="AF53" i="3"/>
  <c r="AE53" i="3"/>
  <c r="AD53" i="3"/>
  <c r="AA53" i="3"/>
  <c r="Z53" i="3"/>
  <c r="W53" i="3"/>
  <c r="T53" i="3"/>
  <c r="S53" i="3"/>
  <c r="P53" i="3"/>
  <c r="O53" i="3"/>
  <c r="L53" i="3"/>
  <c r="K53" i="3"/>
  <c r="AG52" i="3"/>
  <c r="AF52" i="3"/>
  <c r="AE52" i="3"/>
  <c r="AD52" i="3"/>
  <c r="AA52" i="3"/>
  <c r="Z52" i="3"/>
  <c r="W52" i="3"/>
  <c r="T52" i="3"/>
  <c r="S52" i="3"/>
  <c r="P52" i="3"/>
  <c r="O52" i="3"/>
  <c r="L52" i="3"/>
  <c r="K52" i="3"/>
  <c r="AG51" i="3"/>
  <c r="AF51" i="3"/>
  <c r="AE51" i="3"/>
  <c r="AD51" i="3"/>
  <c r="AA51" i="3"/>
  <c r="Z51" i="3"/>
  <c r="W51" i="3"/>
  <c r="T51" i="3"/>
  <c r="S51" i="3"/>
  <c r="P51" i="3"/>
  <c r="O51" i="3"/>
  <c r="L51" i="3"/>
  <c r="K51" i="3"/>
  <c r="AG50" i="3"/>
  <c r="AF50" i="3"/>
  <c r="AE50" i="3"/>
  <c r="AD50" i="3"/>
  <c r="AA50" i="3"/>
  <c r="Z50" i="3"/>
  <c r="W50" i="3"/>
  <c r="T50" i="3"/>
  <c r="S50" i="3"/>
  <c r="P50" i="3"/>
  <c r="O50" i="3"/>
  <c r="L50" i="3"/>
  <c r="K50" i="3"/>
  <c r="AG49" i="3"/>
  <c r="AF49" i="3"/>
  <c r="AE49" i="3"/>
  <c r="AD49" i="3"/>
  <c r="AA49" i="3"/>
  <c r="Z49" i="3"/>
  <c r="W49" i="3"/>
  <c r="T49" i="3"/>
  <c r="S49" i="3"/>
  <c r="P49" i="3"/>
  <c r="O49" i="3"/>
  <c r="L49" i="3"/>
  <c r="K49" i="3"/>
  <c r="AG48" i="3"/>
  <c r="AF48" i="3"/>
  <c r="AE48" i="3"/>
  <c r="AD48" i="3"/>
  <c r="AA48" i="3"/>
  <c r="Z48" i="3"/>
  <c r="W48" i="3"/>
  <c r="T48" i="3"/>
  <c r="S48" i="3"/>
  <c r="P48" i="3"/>
  <c r="O48" i="3"/>
  <c r="L48" i="3"/>
  <c r="K48" i="3"/>
  <c r="AG47" i="3"/>
  <c r="AF47" i="3"/>
  <c r="AE47" i="3"/>
  <c r="AD47" i="3"/>
  <c r="AA47" i="3"/>
  <c r="Z47" i="3"/>
  <c r="W47" i="3"/>
  <c r="T47" i="3"/>
  <c r="S47" i="3"/>
  <c r="P47" i="3"/>
  <c r="O47" i="3"/>
  <c r="L47" i="3"/>
  <c r="K47" i="3"/>
  <c r="AG46" i="3"/>
  <c r="AF46" i="3"/>
  <c r="AE46" i="3"/>
  <c r="AD46" i="3"/>
  <c r="AA46" i="3"/>
  <c r="Z46" i="3"/>
  <c r="W46" i="3"/>
  <c r="T46" i="3"/>
  <c r="S46" i="3"/>
  <c r="P46" i="3"/>
  <c r="O46" i="3"/>
  <c r="L46" i="3"/>
  <c r="K46" i="3"/>
  <c r="AG45" i="3"/>
  <c r="AF45" i="3"/>
  <c r="AE45" i="3"/>
  <c r="AD45" i="3"/>
  <c r="AA45" i="3"/>
  <c r="Z45" i="3"/>
  <c r="W45" i="3"/>
  <c r="T45" i="3"/>
  <c r="S45" i="3"/>
  <c r="P45" i="3"/>
  <c r="O45" i="3"/>
  <c r="L45" i="3"/>
  <c r="K45" i="3"/>
  <c r="AG44" i="3"/>
  <c r="AF44" i="3"/>
  <c r="AE44" i="3"/>
  <c r="AD44" i="3"/>
  <c r="AA44" i="3"/>
  <c r="Z44" i="3"/>
  <c r="W44" i="3"/>
  <c r="T44" i="3"/>
  <c r="S44" i="3"/>
  <c r="P44" i="3"/>
  <c r="O44" i="3"/>
  <c r="L44" i="3"/>
  <c r="K44" i="3"/>
  <c r="AG43" i="3"/>
  <c r="AF43" i="3"/>
  <c r="AE43" i="3"/>
  <c r="AD43" i="3"/>
  <c r="AA43" i="3"/>
  <c r="Z43" i="3"/>
  <c r="W43" i="3"/>
  <c r="T43" i="3"/>
  <c r="S43" i="3"/>
  <c r="P43" i="3"/>
  <c r="O43" i="3"/>
  <c r="L43" i="3"/>
  <c r="K43" i="3"/>
  <c r="AG42" i="3"/>
  <c r="AF42" i="3"/>
  <c r="AE42" i="3"/>
  <c r="AD42" i="3"/>
  <c r="AA42" i="3"/>
  <c r="Z42" i="3"/>
  <c r="W42" i="3"/>
  <c r="T42" i="3"/>
  <c r="S42" i="3"/>
  <c r="P42" i="3"/>
  <c r="O42" i="3"/>
  <c r="L42" i="3"/>
  <c r="K42" i="3"/>
  <c r="AG41" i="3"/>
  <c r="AF41" i="3"/>
  <c r="AE41" i="3"/>
  <c r="AD41" i="3"/>
  <c r="AA41" i="3"/>
  <c r="Z41" i="3"/>
  <c r="W41" i="3"/>
  <c r="T41" i="3"/>
  <c r="S41" i="3"/>
  <c r="P41" i="3"/>
  <c r="O41" i="3"/>
  <c r="L41" i="3"/>
  <c r="K41" i="3"/>
  <c r="AG40" i="3"/>
  <c r="AF40" i="3"/>
  <c r="AE40" i="3"/>
  <c r="AD40" i="3"/>
  <c r="AA40" i="3"/>
  <c r="Z40" i="3"/>
  <c r="W40" i="3"/>
  <c r="T40" i="3"/>
  <c r="S40" i="3"/>
  <c r="P40" i="3"/>
  <c r="O40" i="3"/>
  <c r="L40" i="3"/>
  <c r="K40" i="3"/>
  <c r="AG39" i="3"/>
  <c r="AF39" i="3"/>
  <c r="AE39" i="3"/>
  <c r="AD39" i="3"/>
  <c r="AA39" i="3"/>
  <c r="Z39" i="3"/>
  <c r="W39" i="3"/>
  <c r="T39" i="3"/>
  <c r="S39" i="3"/>
  <c r="P39" i="3"/>
  <c r="O39" i="3"/>
  <c r="L39" i="3"/>
  <c r="K39" i="3"/>
  <c r="AG38" i="3"/>
  <c r="AF38" i="3"/>
  <c r="AE38" i="3"/>
  <c r="AD38" i="3"/>
  <c r="AA38" i="3"/>
  <c r="Z38" i="3"/>
  <c r="W38" i="3"/>
  <c r="T38" i="3"/>
  <c r="S38" i="3"/>
  <c r="P38" i="3"/>
  <c r="O38" i="3"/>
  <c r="L38" i="3"/>
  <c r="K38" i="3"/>
  <c r="AG37" i="3"/>
  <c r="AF37" i="3"/>
  <c r="AE37" i="3"/>
  <c r="AD37" i="3"/>
  <c r="AA37" i="3"/>
  <c r="Z37" i="3"/>
  <c r="W37" i="3"/>
  <c r="T37" i="3"/>
  <c r="S37" i="3"/>
  <c r="P37" i="3"/>
  <c r="O37" i="3"/>
  <c r="L37" i="3"/>
  <c r="K37" i="3"/>
  <c r="AG36" i="3"/>
  <c r="AF36" i="3"/>
  <c r="AE36" i="3"/>
  <c r="AD36" i="3"/>
  <c r="AA36" i="3"/>
  <c r="Z36" i="3"/>
  <c r="W36" i="3"/>
  <c r="T36" i="3"/>
  <c r="S36" i="3"/>
  <c r="P36" i="3"/>
  <c r="O36" i="3"/>
  <c r="L36" i="3"/>
  <c r="K36" i="3"/>
  <c r="AG35" i="3"/>
  <c r="AF35" i="3"/>
  <c r="AE35" i="3"/>
  <c r="AD35" i="3"/>
  <c r="AA35" i="3"/>
  <c r="Z35" i="3"/>
  <c r="W35" i="3"/>
  <c r="T35" i="3"/>
  <c r="S35" i="3"/>
  <c r="P35" i="3"/>
  <c r="O35" i="3"/>
  <c r="L35" i="3"/>
  <c r="K35" i="3"/>
  <c r="AG34" i="3"/>
  <c r="AF34" i="3"/>
  <c r="AE34" i="3"/>
  <c r="AD34" i="3"/>
  <c r="AA34" i="3"/>
  <c r="Z34" i="3"/>
  <c r="W34" i="3"/>
  <c r="T34" i="3"/>
  <c r="S34" i="3"/>
  <c r="P34" i="3"/>
  <c r="O34" i="3"/>
  <c r="L34" i="3"/>
  <c r="K34" i="3"/>
  <c r="AG32" i="3"/>
  <c r="AF32" i="3"/>
  <c r="AE32" i="3"/>
  <c r="AD32" i="3"/>
  <c r="AA32" i="3"/>
  <c r="Z32" i="3"/>
  <c r="W32" i="3"/>
  <c r="T32" i="3"/>
  <c r="S32" i="3"/>
  <c r="P32" i="3"/>
  <c r="O32" i="3"/>
  <c r="J32" i="3"/>
  <c r="I32" i="3"/>
  <c r="F32" i="3"/>
  <c r="E32" i="3"/>
  <c r="AG31" i="3"/>
  <c r="AF31" i="3"/>
  <c r="AE31" i="3"/>
  <c r="AD31" i="3"/>
  <c r="AA31" i="3"/>
  <c r="Z31" i="3"/>
  <c r="W31" i="3"/>
  <c r="T31" i="3"/>
  <c r="S31" i="3"/>
  <c r="P31" i="3"/>
  <c r="O31" i="3"/>
  <c r="J31" i="3"/>
  <c r="I31" i="3"/>
  <c r="K31" i="3" s="1"/>
  <c r="F31" i="3"/>
  <c r="E31" i="3"/>
  <c r="AG30" i="3"/>
  <c r="AF30" i="3"/>
  <c r="AE30" i="3"/>
  <c r="AD30" i="3"/>
  <c r="AA30" i="3"/>
  <c r="Z30" i="3"/>
  <c r="W30" i="3"/>
  <c r="T30" i="3"/>
  <c r="S30" i="3"/>
  <c r="P30" i="3"/>
  <c r="O30" i="3"/>
  <c r="J30" i="3"/>
  <c r="I30" i="3"/>
  <c r="F30" i="3"/>
  <c r="E30" i="3"/>
  <c r="AG29" i="3"/>
  <c r="AF29" i="3"/>
  <c r="AE29" i="3"/>
  <c r="AD29" i="3"/>
  <c r="AA29" i="3"/>
  <c r="Z29" i="3"/>
  <c r="W29" i="3"/>
  <c r="T29" i="3"/>
  <c r="S29" i="3"/>
  <c r="P29" i="3"/>
  <c r="O29" i="3"/>
  <c r="J29" i="3"/>
  <c r="I29" i="3"/>
  <c r="F29" i="3"/>
  <c r="E29" i="3"/>
  <c r="AG28" i="3"/>
  <c r="AF28" i="3"/>
  <c r="AE28" i="3"/>
  <c r="AD28" i="3"/>
  <c r="AA28" i="3"/>
  <c r="Z28" i="3"/>
  <c r="W28" i="3"/>
  <c r="T28" i="3"/>
  <c r="S28" i="3"/>
  <c r="P28" i="3"/>
  <c r="O28" i="3"/>
  <c r="J28" i="3"/>
  <c r="I28" i="3"/>
  <c r="F28" i="3"/>
  <c r="E28" i="3"/>
  <c r="AG27" i="3"/>
  <c r="AF27" i="3"/>
  <c r="AE27" i="3"/>
  <c r="AD27" i="3"/>
  <c r="AA27" i="3"/>
  <c r="Z27" i="3"/>
  <c r="W27" i="3"/>
  <c r="T27" i="3"/>
  <c r="S27" i="3"/>
  <c r="P27" i="3"/>
  <c r="O27" i="3"/>
  <c r="J27" i="3"/>
  <c r="I27" i="3"/>
  <c r="F27" i="3"/>
  <c r="E27" i="3"/>
  <c r="AG26" i="3"/>
  <c r="AF26" i="3"/>
  <c r="AE26" i="3"/>
  <c r="AD26" i="3"/>
  <c r="AA26" i="3"/>
  <c r="Z26" i="3"/>
  <c r="W26" i="3"/>
  <c r="T26" i="3"/>
  <c r="S26" i="3"/>
  <c r="P26" i="3"/>
  <c r="O26" i="3"/>
  <c r="J26" i="3"/>
  <c r="I26" i="3"/>
  <c r="F26" i="3"/>
  <c r="E26" i="3"/>
  <c r="AG25" i="3"/>
  <c r="AF25" i="3"/>
  <c r="AE25" i="3"/>
  <c r="AD25" i="3"/>
  <c r="AA25" i="3"/>
  <c r="Z25" i="3"/>
  <c r="W25" i="3"/>
  <c r="T25" i="3"/>
  <c r="S25" i="3"/>
  <c r="P25" i="3"/>
  <c r="O25" i="3"/>
  <c r="J25" i="3"/>
  <c r="I25" i="3"/>
  <c r="F25" i="3"/>
  <c r="E25" i="3"/>
  <c r="AG24" i="3"/>
  <c r="AF24" i="3"/>
  <c r="AE24" i="3"/>
  <c r="AD24" i="3"/>
  <c r="AA24" i="3"/>
  <c r="Z24" i="3"/>
  <c r="W24" i="3"/>
  <c r="T24" i="3"/>
  <c r="S24" i="3"/>
  <c r="P24" i="3"/>
  <c r="O24" i="3"/>
  <c r="J24" i="3"/>
  <c r="I24" i="3"/>
  <c r="F24" i="3"/>
  <c r="E24" i="3"/>
  <c r="AG23" i="3"/>
  <c r="AF23" i="3"/>
  <c r="AE23" i="3"/>
  <c r="AD23" i="3"/>
  <c r="AA23" i="3"/>
  <c r="Z23" i="3"/>
  <c r="W23" i="3"/>
  <c r="T23" i="3"/>
  <c r="S23" i="3"/>
  <c r="P23" i="3"/>
  <c r="O23" i="3"/>
  <c r="J23" i="3"/>
  <c r="I23" i="3"/>
  <c r="F23" i="3"/>
  <c r="E23" i="3"/>
  <c r="AG22" i="3"/>
  <c r="AF22" i="3"/>
  <c r="AE22" i="3"/>
  <c r="AD22" i="3"/>
  <c r="AA22" i="3"/>
  <c r="Z22" i="3"/>
  <c r="W22" i="3"/>
  <c r="T22" i="3"/>
  <c r="S22" i="3"/>
  <c r="P22" i="3"/>
  <c r="O22" i="3"/>
  <c r="J22" i="3"/>
  <c r="I22" i="3"/>
  <c r="K22" i="3" s="1"/>
  <c r="F22" i="3"/>
  <c r="E22" i="3"/>
  <c r="AG21" i="3"/>
  <c r="AF21" i="3"/>
  <c r="AE21" i="3"/>
  <c r="AD21" i="3"/>
  <c r="AA21" i="3"/>
  <c r="Z21" i="3"/>
  <c r="W21" i="3"/>
  <c r="T21" i="3"/>
  <c r="S21" i="3"/>
  <c r="P21" i="3"/>
  <c r="O21" i="3"/>
  <c r="J21" i="3"/>
  <c r="I21" i="3"/>
  <c r="F21" i="3"/>
  <c r="E21" i="3"/>
  <c r="AG20" i="3"/>
  <c r="AF20" i="3"/>
  <c r="AE20" i="3"/>
  <c r="AD20" i="3"/>
  <c r="AA20" i="3"/>
  <c r="Z20" i="3"/>
  <c r="W20" i="3"/>
  <c r="T20" i="3"/>
  <c r="S20" i="3"/>
  <c r="P20" i="3"/>
  <c r="O20" i="3"/>
  <c r="J20" i="3"/>
  <c r="I20" i="3"/>
  <c r="F20" i="3"/>
  <c r="E20" i="3"/>
  <c r="AG19" i="3"/>
  <c r="AF19" i="3"/>
  <c r="AE19" i="3"/>
  <c r="AD19" i="3"/>
  <c r="AA19" i="3"/>
  <c r="Z19" i="3"/>
  <c r="W19" i="3"/>
  <c r="T19" i="3"/>
  <c r="S19" i="3"/>
  <c r="P19" i="3"/>
  <c r="O19" i="3"/>
  <c r="J19" i="3"/>
  <c r="I19" i="3"/>
  <c r="F19" i="3"/>
  <c r="E19" i="3"/>
  <c r="AG18" i="3"/>
  <c r="AF18" i="3"/>
  <c r="AE18" i="3"/>
  <c r="AD18" i="3"/>
  <c r="AA18" i="3"/>
  <c r="Z18" i="3"/>
  <c r="W18" i="3"/>
  <c r="T18" i="3"/>
  <c r="S18" i="3"/>
  <c r="P18" i="3"/>
  <c r="O18" i="3"/>
  <c r="J18" i="3"/>
  <c r="I18" i="3"/>
  <c r="F18" i="3"/>
  <c r="E18" i="3"/>
  <c r="AG17" i="3"/>
  <c r="AF17" i="3"/>
  <c r="AE17" i="3"/>
  <c r="AD17" i="3"/>
  <c r="AA17" i="3"/>
  <c r="Z17" i="3"/>
  <c r="W17" i="3"/>
  <c r="T17" i="3"/>
  <c r="S17" i="3"/>
  <c r="P17" i="3"/>
  <c r="O17" i="3"/>
  <c r="J17" i="3"/>
  <c r="I17" i="3"/>
  <c r="L17" i="3" s="1"/>
  <c r="F17" i="3"/>
  <c r="E17" i="3"/>
  <c r="AG16" i="3"/>
  <c r="AF16" i="3"/>
  <c r="AE16" i="3"/>
  <c r="AD16" i="3"/>
  <c r="AA16" i="3"/>
  <c r="Z16" i="3"/>
  <c r="W16" i="3"/>
  <c r="T16" i="3"/>
  <c r="S16" i="3"/>
  <c r="P16" i="3"/>
  <c r="O16" i="3"/>
  <c r="J16" i="3"/>
  <c r="I16" i="3"/>
  <c r="L16" i="3" s="1"/>
  <c r="F16" i="3"/>
  <c r="E16" i="3"/>
  <c r="AG15" i="3"/>
  <c r="AF15" i="3"/>
  <c r="AE15" i="3"/>
  <c r="AD15" i="3"/>
  <c r="AA15" i="3"/>
  <c r="Z15" i="3"/>
  <c r="W15" i="3"/>
  <c r="T15" i="3"/>
  <c r="S15" i="3"/>
  <c r="P15" i="3"/>
  <c r="O15" i="3"/>
  <c r="J15" i="3"/>
  <c r="I15" i="3"/>
  <c r="F15" i="3"/>
  <c r="E15" i="3"/>
  <c r="AG14" i="3"/>
  <c r="AF14" i="3"/>
  <c r="AE14" i="3"/>
  <c r="AD14" i="3"/>
  <c r="AA14" i="3"/>
  <c r="Z14" i="3"/>
  <c r="W14" i="3"/>
  <c r="T14" i="3"/>
  <c r="S14" i="3"/>
  <c r="P14" i="3"/>
  <c r="O14" i="3"/>
  <c r="J14" i="3"/>
  <c r="I14" i="3"/>
  <c r="K14" i="3" s="1"/>
  <c r="F14" i="3"/>
  <c r="E14" i="3"/>
  <c r="AG13" i="3"/>
  <c r="AF13" i="3"/>
  <c r="AE13" i="3"/>
  <c r="AD13" i="3"/>
  <c r="AA13" i="3"/>
  <c r="Z13" i="3"/>
  <c r="W13" i="3"/>
  <c r="T13" i="3"/>
  <c r="S13" i="3"/>
  <c r="P13" i="3"/>
  <c r="O13" i="3"/>
  <c r="J13" i="3"/>
  <c r="I13" i="3"/>
  <c r="F13" i="3"/>
  <c r="E13" i="3"/>
  <c r="AG12" i="3"/>
  <c r="AF12" i="3"/>
  <c r="AE12" i="3"/>
  <c r="AD12" i="3"/>
  <c r="AA12" i="3"/>
  <c r="Z12" i="3"/>
  <c r="W12" i="3"/>
  <c r="T12" i="3"/>
  <c r="S12" i="3"/>
  <c r="P12" i="3"/>
  <c r="O12" i="3"/>
  <c r="J12" i="3"/>
  <c r="I12" i="3"/>
  <c r="F12" i="3"/>
  <c r="E12" i="3"/>
  <c r="AG11" i="3"/>
  <c r="AF11" i="3"/>
  <c r="AE11" i="3"/>
  <c r="AD11" i="3"/>
  <c r="AA11" i="3"/>
  <c r="Z11" i="3"/>
  <c r="W11" i="3"/>
  <c r="T11" i="3"/>
  <c r="S11" i="3"/>
  <c r="P11" i="3"/>
  <c r="O11" i="3"/>
  <c r="J11" i="3"/>
  <c r="I11" i="3"/>
  <c r="F11" i="3"/>
  <c r="E11" i="3"/>
  <c r="AG10" i="3"/>
  <c r="AF10" i="3"/>
  <c r="AE10" i="3"/>
  <c r="AD10" i="3"/>
  <c r="AA10" i="3"/>
  <c r="Z10" i="3"/>
  <c r="W10" i="3"/>
  <c r="T10" i="3"/>
  <c r="S10" i="3"/>
  <c r="P10" i="3"/>
  <c r="O10" i="3"/>
  <c r="J10" i="3"/>
  <c r="I10" i="3"/>
  <c r="F10" i="3"/>
  <c r="E10" i="3"/>
  <c r="AG9" i="3"/>
  <c r="AF9" i="3"/>
  <c r="AE9" i="3"/>
  <c r="AD9" i="3"/>
  <c r="AA9" i="3"/>
  <c r="Z9" i="3"/>
  <c r="W9" i="3"/>
  <c r="T9" i="3"/>
  <c r="S9" i="3"/>
  <c r="P9" i="3"/>
  <c r="O9" i="3"/>
  <c r="J9" i="3"/>
  <c r="I9" i="3"/>
  <c r="F9" i="3"/>
  <c r="E9" i="3"/>
  <c r="AG8" i="3"/>
  <c r="AF8" i="3"/>
  <c r="AE8" i="3"/>
  <c r="AD8" i="3"/>
  <c r="AA8" i="3"/>
  <c r="Z8" i="3"/>
  <c r="W8" i="3"/>
  <c r="T8" i="3"/>
  <c r="S8" i="3"/>
  <c r="P8" i="3"/>
  <c r="O8" i="3"/>
  <c r="J8" i="3"/>
  <c r="I8" i="3"/>
  <c r="F8" i="3"/>
  <c r="E8" i="3"/>
  <c r="AG7" i="3"/>
  <c r="AF7" i="3"/>
  <c r="AE7" i="3"/>
  <c r="AD7" i="3"/>
  <c r="AA7" i="3"/>
  <c r="Z7" i="3"/>
  <c r="W7" i="3"/>
  <c r="T7" i="3"/>
  <c r="S7" i="3"/>
  <c r="P7" i="3"/>
  <c r="O7" i="3"/>
  <c r="J7" i="3"/>
  <c r="I7" i="3"/>
  <c r="F7" i="3"/>
  <c r="E7" i="3"/>
  <c r="AG6" i="3"/>
  <c r="AF6" i="3"/>
  <c r="AE6" i="3"/>
  <c r="AD6" i="3"/>
  <c r="AA6" i="3"/>
  <c r="Z6" i="3"/>
  <c r="W6" i="3"/>
  <c r="T6" i="3"/>
  <c r="S6" i="3"/>
  <c r="P6" i="3"/>
  <c r="O6" i="3"/>
  <c r="J6" i="3"/>
  <c r="I6" i="3"/>
  <c r="K6" i="3" s="1"/>
  <c r="F6" i="3"/>
  <c r="E6" i="3"/>
  <c r="L23" i="3" l="1"/>
  <c r="L29" i="3"/>
  <c r="K7" i="3"/>
  <c r="L30" i="3"/>
  <c r="L10" i="3"/>
  <c r="L18" i="3"/>
  <c r="L22" i="3"/>
  <c r="L26" i="3"/>
  <c r="K26" i="3"/>
  <c r="L7" i="3"/>
  <c r="K16" i="3"/>
  <c r="L21" i="3"/>
  <c r="L27" i="3"/>
  <c r="L31" i="3"/>
  <c r="K13" i="3"/>
  <c r="K21" i="3"/>
  <c r="L9" i="3"/>
  <c r="L14" i="3"/>
  <c r="K29" i="3"/>
  <c r="L6" i="3"/>
  <c r="L13" i="3"/>
  <c r="L24" i="3"/>
  <c r="K23" i="3"/>
  <c r="K30" i="3"/>
  <c r="L32" i="3"/>
  <c r="L8" i="3"/>
  <c r="K15" i="3"/>
  <c r="K17" i="3"/>
  <c r="L25" i="3"/>
  <c r="L15" i="3"/>
  <c r="K25" i="3"/>
  <c r="L12" i="3"/>
  <c r="K12" i="3"/>
  <c r="L20" i="3"/>
  <c r="K20" i="3"/>
  <c r="K9" i="3"/>
  <c r="K10" i="3"/>
  <c r="K18" i="3"/>
  <c r="K8" i="3"/>
  <c r="K24" i="3"/>
  <c r="L28" i="3"/>
  <c r="K28" i="3"/>
  <c r="K32" i="3"/>
  <c r="L19" i="3"/>
  <c r="K19" i="3"/>
  <c r="L11" i="3"/>
  <c r="K11" i="3"/>
  <c r="K27" i="3"/>
  <c r="AJ144" i="2" l="1"/>
  <c r="AI144" i="2"/>
  <c r="AH144" i="2"/>
  <c r="AG144" i="2"/>
  <c r="AD144" i="2"/>
  <c r="AC144" i="2"/>
  <c r="Z144" i="2"/>
  <c r="Y144" i="2"/>
  <c r="U144" i="2"/>
  <c r="T144" i="2"/>
  <c r="V144" i="2" s="1"/>
  <c r="S144" i="2"/>
  <c r="R144" i="2"/>
  <c r="O144" i="2"/>
  <c r="N144" i="2"/>
  <c r="K144" i="2"/>
  <c r="J144" i="2"/>
  <c r="AJ143" i="2"/>
  <c r="AI143" i="2"/>
  <c r="AH143" i="2"/>
  <c r="AG143" i="2"/>
  <c r="AD143" i="2"/>
  <c r="AC143" i="2"/>
  <c r="Y143" i="2"/>
  <c r="Z143" i="2" s="1"/>
  <c r="U143" i="2"/>
  <c r="T143" i="2"/>
  <c r="V143" i="2" s="1"/>
  <c r="S143" i="2"/>
  <c r="R143" i="2"/>
  <c r="O143" i="2"/>
  <c r="N143" i="2"/>
  <c r="K143" i="2"/>
  <c r="J143" i="2"/>
  <c r="AJ142" i="2"/>
  <c r="AI142" i="2"/>
  <c r="AH142" i="2"/>
  <c r="AG142" i="2"/>
  <c r="AD142" i="2"/>
  <c r="AC142" i="2"/>
  <c r="Y142" i="2"/>
  <c r="Z142" i="2" s="1"/>
  <c r="U142" i="2"/>
  <c r="T142" i="2"/>
  <c r="V142" i="2" s="1"/>
  <c r="S142" i="2"/>
  <c r="R142" i="2"/>
  <c r="O142" i="2"/>
  <c r="N142" i="2"/>
  <c r="K142" i="2"/>
  <c r="J142" i="2"/>
  <c r="AJ141" i="2"/>
  <c r="AI141" i="2"/>
  <c r="AH141" i="2"/>
  <c r="AG141" i="2"/>
  <c r="AD141" i="2"/>
  <c r="AC141" i="2"/>
  <c r="Y141" i="2"/>
  <c r="Z141" i="2" s="1"/>
  <c r="U141" i="2"/>
  <c r="T141" i="2"/>
  <c r="V141" i="2" s="1"/>
  <c r="S141" i="2"/>
  <c r="R141" i="2"/>
  <c r="O141" i="2"/>
  <c r="N141" i="2"/>
  <c r="K141" i="2"/>
  <c r="J141" i="2"/>
  <c r="AJ140" i="2"/>
  <c r="AI140" i="2"/>
  <c r="AH140" i="2"/>
  <c r="AG140" i="2"/>
  <c r="AD140" i="2"/>
  <c r="AC140" i="2"/>
  <c r="Y140" i="2"/>
  <c r="Z140" i="2" s="1"/>
  <c r="U140" i="2"/>
  <c r="T140" i="2"/>
  <c r="V140" i="2" s="1"/>
  <c r="S140" i="2"/>
  <c r="R140" i="2"/>
  <c r="O140" i="2"/>
  <c r="N140" i="2"/>
  <c r="K140" i="2"/>
  <c r="J140" i="2"/>
  <c r="AJ139" i="2"/>
  <c r="AI139" i="2"/>
  <c r="AH139" i="2"/>
  <c r="AG139" i="2"/>
  <c r="AD139" i="2"/>
  <c r="AC139" i="2"/>
  <c r="Y139" i="2"/>
  <c r="Z139" i="2" s="1"/>
  <c r="U139" i="2"/>
  <c r="T139" i="2"/>
  <c r="V139" i="2" s="1"/>
  <c r="S139" i="2"/>
  <c r="R139" i="2"/>
  <c r="O139" i="2"/>
  <c r="N139" i="2"/>
  <c r="K139" i="2"/>
  <c r="J139" i="2"/>
  <c r="AJ138" i="2"/>
  <c r="AI138" i="2"/>
  <c r="AH138" i="2"/>
  <c r="AG138" i="2"/>
  <c r="AD138" i="2"/>
  <c r="AC138" i="2"/>
  <c r="Y138" i="2"/>
  <c r="Z138" i="2" s="1"/>
  <c r="U138" i="2"/>
  <c r="T138" i="2"/>
  <c r="V138" i="2" s="1"/>
  <c r="S138" i="2"/>
  <c r="R138" i="2"/>
  <c r="O138" i="2"/>
  <c r="N138" i="2"/>
  <c r="K138" i="2"/>
  <c r="J138" i="2"/>
  <c r="AJ137" i="2"/>
  <c r="AI137" i="2"/>
  <c r="AH137" i="2"/>
  <c r="AG137" i="2"/>
  <c r="AD137" i="2"/>
  <c r="AC137" i="2"/>
  <c r="Y137" i="2"/>
  <c r="Z137" i="2" s="1"/>
  <c r="U137" i="2"/>
  <c r="T137" i="2"/>
  <c r="V137" i="2" s="1"/>
  <c r="S137" i="2"/>
  <c r="R137" i="2"/>
  <c r="O137" i="2"/>
  <c r="N137" i="2"/>
  <c r="K137" i="2"/>
  <c r="J137" i="2"/>
  <c r="AJ136" i="2"/>
  <c r="AI136" i="2"/>
  <c r="AH136" i="2"/>
  <c r="AG136" i="2"/>
  <c r="AD136" i="2"/>
  <c r="AC136" i="2"/>
  <c r="Y136" i="2"/>
  <c r="Z136" i="2" s="1"/>
  <c r="U136" i="2"/>
  <c r="T136" i="2"/>
  <c r="V136" i="2" s="1"/>
  <c r="S136" i="2"/>
  <c r="R136" i="2"/>
  <c r="O136" i="2"/>
  <c r="N136" i="2"/>
  <c r="K136" i="2"/>
  <c r="J136" i="2"/>
  <c r="AJ135" i="2"/>
  <c r="AI135" i="2"/>
  <c r="AH135" i="2"/>
  <c r="AG135" i="2"/>
  <c r="AD135" i="2"/>
  <c r="AC135" i="2"/>
  <c r="Y135" i="2"/>
  <c r="Z135" i="2" s="1"/>
  <c r="U135" i="2"/>
  <c r="T135" i="2"/>
  <c r="V135" i="2" s="1"/>
  <c r="S135" i="2"/>
  <c r="R135" i="2"/>
  <c r="O135" i="2"/>
  <c r="N135" i="2"/>
  <c r="K135" i="2"/>
  <c r="J135" i="2"/>
  <c r="AJ133" i="2"/>
  <c r="AI133" i="2"/>
  <c r="AH133" i="2"/>
  <c r="AG133" i="2"/>
  <c r="AD133" i="2"/>
  <c r="AC133" i="2"/>
  <c r="Y133" i="2"/>
  <c r="Z133" i="2" s="1"/>
  <c r="U133" i="2"/>
  <c r="T133" i="2"/>
  <c r="V133" i="2" s="1"/>
  <c r="S133" i="2"/>
  <c r="R133" i="2"/>
  <c r="O133" i="2"/>
  <c r="N133" i="2"/>
  <c r="K133" i="2"/>
  <c r="J133" i="2"/>
  <c r="AJ132" i="2"/>
  <c r="AI132" i="2"/>
  <c r="AH132" i="2"/>
  <c r="AG132" i="2"/>
  <c r="AD132" i="2"/>
  <c r="AC132" i="2"/>
  <c r="Y132" i="2"/>
  <c r="Z132" i="2" s="1"/>
  <c r="U132" i="2"/>
  <c r="T132" i="2"/>
  <c r="V132" i="2" s="1"/>
  <c r="S132" i="2"/>
  <c r="R132" i="2"/>
  <c r="O132" i="2"/>
  <c r="N132" i="2"/>
  <c r="K132" i="2"/>
  <c r="J132" i="2"/>
  <c r="AJ131" i="2"/>
  <c r="AI131" i="2"/>
  <c r="AH131" i="2"/>
  <c r="AG131" i="2"/>
  <c r="AD131" i="2"/>
  <c r="AC131" i="2"/>
  <c r="Y131" i="2"/>
  <c r="Z131" i="2" s="1"/>
  <c r="U131" i="2"/>
  <c r="T131" i="2"/>
  <c r="V131" i="2" s="1"/>
  <c r="S131" i="2"/>
  <c r="R131" i="2"/>
  <c r="O131" i="2"/>
  <c r="N131" i="2"/>
  <c r="K131" i="2"/>
  <c r="J131" i="2"/>
  <c r="AJ130" i="2"/>
  <c r="AI130" i="2"/>
  <c r="AH130" i="2"/>
  <c r="AG130" i="2"/>
  <c r="AD130" i="2"/>
  <c r="AC130" i="2"/>
  <c r="Y130" i="2"/>
  <c r="Z130" i="2" s="1"/>
  <c r="U130" i="2"/>
  <c r="T130" i="2"/>
  <c r="V130" i="2" s="1"/>
  <c r="S130" i="2"/>
  <c r="R130" i="2"/>
  <c r="O130" i="2"/>
  <c r="N130" i="2"/>
  <c r="K130" i="2"/>
  <c r="J130" i="2"/>
  <c r="AJ129" i="2"/>
  <c r="AI129" i="2"/>
  <c r="AH129" i="2"/>
  <c r="AG129" i="2"/>
  <c r="AD129" i="2"/>
  <c r="AC129" i="2"/>
  <c r="Y129" i="2"/>
  <c r="Z129" i="2" s="1"/>
  <c r="U129" i="2"/>
  <c r="T129" i="2"/>
  <c r="V129" i="2" s="1"/>
  <c r="S129" i="2"/>
  <c r="R129" i="2"/>
  <c r="O129" i="2"/>
  <c r="N129" i="2"/>
  <c r="K129" i="2"/>
  <c r="J129" i="2"/>
  <c r="AJ128" i="2"/>
  <c r="AI128" i="2"/>
  <c r="AH128" i="2"/>
  <c r="AG128" i="2"/>
  <c r="AD128" i="2"/>
  <c r="AC128" i="2"/>
  <c r="Y128" i="2"/>
  <c r="Z128" i="2" s="1"/>
  <c r="U128" i="2"/>
  <c r="T128" i="2"/>
  <c r="V128" i="2" s="1"/>
  <c r="S128" i="2"/>
  <c r="R128" i="2"/>
  <c r="O128" i="2"/>
  <c r="N128" i="2"/>
  <c r="K128" i="2"/>
  <c r="J128" i="2"/>
  <c r="AJ127" i="2"/>
  <c r="AI127" i="2"/>
  <c r="AH127" i="2"/>
  <c r="AG127" i="2"/>
  <c r="AD127" i="2"/>
  <c r="AC127" i="2"/>
  <c r="Y127" i="2"/>
  <c r="Z127" i="2" s="1"/>
  <c r="U127" i="2"/>
  <c r="T127" i="2"/>
  <c r="V127" i="2" s="1"/>
  <c r="S127" i="2"/>
  <c r="R127" i="2"/>
  <c r="O127" i="2"/>
  <c r="N127" i="2"/>
  <c r="K127" i="2"/>
  <c r="J127" i="2"/>
  <c r="AJ126" i="2"/>
  <c r="AI126" i="2"/>
  <c r="AH126" i="2"/>
  <c r="AG126" i="2"/>
  <c r="AD126" i="2"/>
  <c r="AC126" i="2"/>
  <c r="Y126" i="2"/>
  <c r="Z126" i="2" s="1"/>
  <c r="U126" i="2"/>
  <c r="T126" i="2"/>
  <c r="V126" i="2" s="1"/>
  <c r="S126" i="2"/>
  <c r="R126" i="2"/>
  <c r="O126" i="2"/>
  <c r="N126" i="2"/>
  <c r="K126" i="2"/>
  <c r="J126" i="2"/>
  <c r="AJ125" i="2"/>
  <c r="AI125" i="2"/>
  <c r="AH125" i="2"/>
  <c r="AG125" i="2"/>
  <c r="AD125" i="2"/>
  <c r="AC125" i="2"/>
  <c r="Y125" i="2"/>
  <c r="Z125" i="2" s="1"/>
  <c r="U125" i="2"/>
  <c r="T125" i="2"/>
  <c r="V125" i="2" s="1"/>
  <c r="S125" i="2"/>
  <c r="R125" i="2"/>
  <c r="O125" i="2"/>
  <c r="N125" i="2"/>
  <c r="K125" i="2"/>
  <c r="J125" i="2"/>
  <c r="AJ123" i="2"/>
  <c r="AI123" i="2"/>
  <c r="AH123" i="2"/>
  <c r="AG123" i="2"/>
  <c r="AD123" i="2"/>
  <c r="AC123" i="2"/>
  <c r="Y123" i="2"/>
  <c r="Z123" i="2" s="1"/>
  <c r="U123" i="2"/>
  <c r="T123" i="2"/>
  <c r="V123" i="2" s="1"/>
  <c r="S123" i="2"/>
  <c r="R123" i="2"/>
  <c r="O123" i="2"/>
  <c r="N123" i="2"/>
  <c r="K123" i="2"/>
  <c r="J123" i="2"/>
  <c r="AJ122" i="2"/>
  <c r="AI122" i="2"/>
  <c r="AH122" i="2"/>
  <c r="AG122" i="2"/>
  <c r="AD122" i="2"/>
  <c r="AC122" i="2"/>
  <c r="Y122" i="2"/>
  <c r="Z122" i="2" s="1"/>
  <c r="V122" i="2"/>
  <c r="U122" i="2"/>
  <c r="T122" i="2"/>
  <c r="S122" i="2"/>
  <c r="R122" i="2"/>
  <c r="O122" i="2"/>
  <c r="N122" i="2"/>
  <c r="K122" i="2"/>
  <c r="J122" i="2"/>
  <c r="AJ121" i="2"/>
  <c r="AI121" i="2"/>
  <c r="AH121" i="2"/>
  <c r="AG121" i="2"/>
  <c r="AD121" i="2"/>
  <c r="AC121" i="2"/>
  <c r="Y121" i="2"/>
  <c r="Z121" i="2" s="1"/>
  <c r="U121" i="2"/>
  <c r="T121" i="2"/>
  <c r="V121" i="2" s="1"/>
  <c r="S121" i="2"/>
  <c r="R121" i="2"/>
  <c r="O121" i="2"/>
  <c r="N121" i="2"/>
  <c r="K121" i="2"/>
  <c r="J121" i="2"/>
  <c r="AJ120" i="2"/>
  <c r="AI120" i="2"/>
  <c r="AH120" i="2"/>
  <c r="AG120" i="2"/>
  <c r="AD120" i="2"/>
  <c r="AC120" i="2"/>
  <c r="Y120" i="2"/>
  <c r="Z120" i="2" s="1"/>
  <c r="U120" i="2"/>
  <c r="T120" i="2"/>
  <c r="V120" i="2" s="1"/>
  <c r="S120" i="2"/>
  <c r="R120" i="2"/>
  <c r="O120" i="2"/>
  <c r="N120" i="2"/>
  <c r="K120" i="2"/>
  <c r="J120" i="2"/>
  <c r="AJ119" i="2"/>
  <c r="AI119" i="2"/>
  <c r="AH119" i="2"/>
  <c r="AG119" i="2"/>
  <c r="AD119" i="2"/>
  <c r="AC119" i="2"/>
  <c r="Y119" i="2"/>
  <c r="Z119" i="2" s="1"/>
  <c r="U119" i="2"/>
  <c r="T119" i="2"/>
  <c r="V119" i="2" s="1"/>
  <c r="S119" i="2"/>
  <c r="R119" i="2"/>
  <c r="O119" i="2"/>
  <c r="N119" i="2"/>
  <c r="K119" i="2"/>
  <c r="J119" i="2"/>
  <c r="AJ118" i="2"/>
  <c r="AI118" i="2"/>
  <c r="AH118" i="2"/>
  <c r="AG118" i="2"/>
  <c r="AD118" i="2"/>
  <c r="AC118" i="2"/>
  <c r="Y118" i="2"/>
  <c r="Z118" i="2" s="1"/>
  <c r="U118" i="2"/>
  <c r="T118" i="2"/>
  <c r="V118" i="2" s="1"/>
  <c r="S118" i="2"/>
  <c r="R118" i="2"/>
  <c r="O118" i="2"/>
  <c r="N118" i="2"/>
  <c r="K118" i="2"/>
  <c r="J118" i="2"/>
  <c r="AJ117" i="2"/>
  <c r="AI117" i="2"/>
  <c r="AH117" i="2"/>
  <c r="AG117" i="2"/>
  <c r="AD117" i="2"/>
  <c r="AC117" i="2"/>
  <c r="Y117" i="2"/>
  <c r="Z117" i="2" s="1"/>
  <c r="U117" i="2"/>
  <c r="T117" i="2"/>
  <c r="V117" i="2" s="1"/>
  <c r="S117" i="2"/>
  <c r="R117" i="2"/>
  <c r="O117" i="2"/>
  <c r="N117" i="2"/>
  <c r="K117" i="2"/>
  <c r="J117" i="2"/>
  <c r="AJ116" i="2"/>
  <c r="AI116" i="2"/>
  <c r="AH116" i="2"/>
  <c r="AG116" i="2"/>
  <c r="AD116" i="2"/>
  <c r="AC116" i="2"/>
  <c r="Y116" i="2"/>
  <c r="Z116" i="2" s="1"/>
  <c r="U116" i="2"/>
  <c r="T116" i="2"/>
  <c r="V116" i="2" s="1"/>
  <c r="S116" i="2"/>
  <c r="R116" i="2"/>
  <c r="O116" i="2"/>
  <c r="N116" i="2"/>
  <c r="K116" i="2"/>
  <c r="J116" i="2"/>
  <c r="AJ115" i="2"/>
  <c r="AI115" i="2"/>
  <c r="AH115" i="2"/>
  <c r="AG115" i="2"/>
  <c r="AD115" i="2"/>
  <c r="AC115" i="2"/>
  <c r="Y115" i="2"/>
  <c r="Z115" i="2" s="1"/>
  <c r="U115" i="2"/>
  <c r="T115" i="2"/>
  <c r="V115" i="2" s="1"/>
  <c r="S115" i="2"/>
  <c r="R115" i="2"/>
  <c r="O115" i="2"/>
  <c r="N115" i="2"/>
  <c r="K115" i="2"/>
  <c r="J115" i="2"/>
  <c r="AJ113" i="2"/>
  <c r="AI113" i="2"/>
  <c r="AH113" i="2"/>
  <c r="AG113" i="2"/>
  <c r="AD113" i="2"/>
  <c r="AC113" i="2"/>
  <c r="Y113" i="2"/>
  <c r="Z113" i="2" s="1"/>
  <c r="U113" i="2"/>
  <c r="T113" i="2"/>
  <c r="V113" i="2" s="1"/>
  <c r="S113" i="2"/>
  <c r="R113" i="2"/>
  <c r="O113" i="2"/>
  <c r="N113" i="2"/>
  <c r="K113" i="2"/>
  <c r="J113" i="2"/>
  <c r="AJ112" i="2"/>
  <c r="AI112" i="2"/>
  <c r="AH112" i="2"/>
  <c r="AG112" i="2"/>
  <c r="AD112" i="2"/>
  <c r="AC112" i="2"/>
  <c r="Y112" i="2"/>
  <c r="Z112" i="2" s="1"/>
  <c r="U112" i="2"/>
  <c r="T112" i="2"/>
  <c r="V112" i="2" s="1"/>
  <c r="S112" i="2"/>
  <c r="R112" i="2"/>
  <c r="O112" i="2"/>
  <c r="N112" i="2"/>
  <c r="K112" i="2"/>
  <c r="J112" i="2"/>
  <c r="AJ110" i="2"/>
  <c r="AI110" i="2"/>
  <c r="AH110" i="2"/>
  <c r="AG110" i="2"/>
  <c r="AD110" i="2"/>
  <c r="AC110" i="2"/>
  <c r="Y110" i="2"/>
  <c r="Z110" i="2" s="1"/>
  <c r="U110" i="2"/>
  <c r="T110" i="2"/>
  <c r="V110" i="2" s="1"/>
  <c r="S110" i="2"/>
  <c r="R110" i="2"/>
  <c r="O110" i="2"/>
  <c r="N110" i="2"/>
  <c r="K110" i="2"/>
  <c r="J110" i="2"/>
  <c r="AJ109" i="2"/>
  <c r="AI109" i="2"/>
  <c r="AH109" i="2"/>
  <c r="AG109" i="2"/>
  <c r="AD109" i="2"/>
  <c r="AC109" i="2"/>
  <c r="Y109" i="2"/>
  <c r="Z109" i="2" s="1"/>
  <c r="U109" i="2"/>
  <c r="T109" i="2"/>
  <c r="V109" i="2" s="1"/>
  <c r="S109" i="2"/>
  <c r="R109" i="2"/>
  <c r="O109" i="2"/>
  <c r="N109" i="2"/>
  <c r="K109" i="2"/>
  <c r="J109" i="2"/>
  <c r="AJ108" i="2"/>
  <c r="AI108" i="2"/>
  <c r="AH108" i="2"/>
  <c r="AG108" i="2"/>
  <c r="AD108" i="2"/>
  <c r="AC108" i="2"/>
  <c r="Y108" i="2"/>
  <c r="Z108" i="2" s="1"/>
  <c r="U108" i="2"/>
  <c r="T108" i="2"/>
  <c r="V108" i="2" s="1"/>
  <c r="S108" i="2"/>
  <c r="R108" i="2"/>
  <c r="O108" i="2"/>
  <c r="N108" i="2"/>
  <c r="K108" i="2"/>
  <c r="J108" i="2"/>
  <c r="AJ107" i="2"/>
  <c r="AI107" i="2"/>
  <c r="AH107" i="2"/>
  <c r="AG107" i="2"/>
  <c r="AD107" i="2"/>
  <c r="AC107" i="2"/>
  <c r="Y107" i="2"/>
  <c r="Z107" i="2" s="1"/>
  <c r="U107" i="2"/>
  <c r="T107" i="2"/>
  <c r="V107" i="2" s="1"/>
  <c r="S107" i="2"/>
  <c r="R107" i="2"/>
  <c r="O107" i="2"/>
  <c r="N107" i="2"/>
  <c r="K107" i="2"/>
  <c r="J107" i="2"/>
  <c r="AJ105" i="2"/>
  <c r="AI105" i="2"/>
  <c r="AH105" i="2"/>
  <c r="AG105" i="2"/>
  <c r="AD105" i="2"/>
  <c r="AC105" i="2"/>
  <c r="Y105" i="2"/>
  <c r="Z105" i="2" s="1"/>
  <c r="U105" i="2"/>
  <c r="T105" i="2"/>
  <c r="V105" i="2" s="1"/>
  <c r="S105" i="2"/>
  <c r="R105" i="2"/>
  <c r="O105" i="2"/>
  <c r="N105" i="2"/>
  <c r="K105" i="2"/>
  <c r="J105" i="2"/>
  <c r="AJ104" i="2"/>
  <c r="AI104" i="2"/>
  <c r="AH104" i="2"/>
  <c r="AG104" i="2"/>
  <c r="AD104" i="2"/>
  <c r="AC104" i="2"/>
  <c r="Y104" i="2"/>
  <c r="Z104" i="2" s="1"/>
  <c r="U104" i="2"/>
  <c r="T104" i="2"/>
  <c r="V104" i="2" s="1"/>
  <c r="S104" i="2"/>
  <c r="R104" i="2"/>
  <c r="O104" i="2"/>
  <c r="N104" i="2"/>
  <c r="K104" i="2"/>
  <c r="J104" i="2"/>
  <c r="AJ103" i="2"/>
  <c r="AI103" i="2"/>
  <c r="AH103" i="2"/>
  <c r="AG103" i="2"/>
  <c r="AD103" i="2"/>
  <c r="AC103" i="2"/>
  <c r="Y103" i="2"/>
  <c r="Z103" i="2" s="1"/>
  <c r="U103" i="2"/>
  <c r="T103" i="2"/>
  <c r="V103" i="2" s="1"/>
  <c r="S103" i="2"/>
  <c r="R103" i="2"/>
  <c r="O103" i="2"/>
  <c r="N103" i="2"/>
  <c r="K103" i="2"/>
  <c r="J103" i="2"/>
  <c r="AJ102" i="2"/>
  <c r="AI102" i="2"/>
  <c r="AH102" i="2"/>
  <c r="AG102" i="2"/>
  <c r="AD102" i="2"/>
  <c r="AC102" i="2"/>
  <c r="Y102" i="2"/>
  <c r="Z102" i="2" s="1"/>
  <c r="U102" i="2"/>
  <c r="T102" i="2"/>
  <c r="V102" i="2" s="1"/>
  <c r="S102" i="2"/>
  <c r="R102" i="2"/>
  <c r="O102" i="2"/>
  <c r="N102" i="2"/>
  <c r="K102" i="2"/>
  <c r="J102" i="2"/>
  <c r="AJ101" i="2"/>
  <c r="AI101" i="2"/>
  <c r="AH101" i="2"/>
  <c r="AG101" i="2"/>
  <c r="AD101" i="2"/>
  <c r="AC101" i="2"/>
  <c r="Y101" i="2"/>
  <c r="Z101" i="2" s="1"/>
  <c r="U101" i="2"/>
  <c r="T101" i="2"/>
  <c r="V101" i="2" s="1"/>
  <c r="S101" i="2"/>
  <c r="R101" i="2"/>
  <c r="O101" i="2"/>
  <c r="N101" i="2"/>
  <c r="K101" i="2"/>
  <c r="J101" i="2"/>
  <c r="AJ100" i="2"/>
  <c r="AI100" i="2"/>
  <c r="AH100" i="2"/>
  <c r="AG100" i="2"/>
  <c r="AD100" i="2"/>
  <c r="AC100" i="2"/>
  <c r="Z100" i="2"/>
  <c r="Y100" i="2"/>
  <c r="U100" i="2"/>
  <c r="T100" i="2"/>
  <c r="V100" i="2" s="1"/>
  <c r="S100" i="2"/>
  <c r="R100" i="2"/>
  <c r="O100" i="2"/>
  <c r="N100" i="2"/>
  <c r="K100" i="2"/>
  <c r="J100" i="2"/>
  <c r="AJ99" i="2"/>
  <c r="AI99" i="2"/>
  <c r="AH99" i="2"/>
  <c r="AG99" i="2"/>
  <c r="AD99" i="2"/>
  <c r="AC99" i="2"/>
  <c r="Y99" i="2"/>
  <c r="Z99" i="2" s="1"/>
  <c r="U99" i="2"/>
  <c r="T99" i="2"/>
  <c r="V99" i="2" s="1"/>
  <c r="S99" i="2"/>
  <c r="R99" i="2"/>
  <c r="O99" i="2"/>
  <c r="N99" i="2"/>
  <c r="K99" i="2"/>
  <c r="J99" i="2"/>
  <c r="AJ98" i="2"/>
  <c r="AI98" i="2"/>
  <c r="AH98" i="2"/>
  <c r="AG98" i="2"/>
  <c r="AD98" i="2"/>
  <c r="AC98" i="2"/>
  <c r="Y98" i="2"/>
  <c r="Z98" i="2" s="1"/>
  <c r="U98" i="2"/>
  <c r="T98" i="2"/>
  <c r="V98" i="2" s="1"/>
  <c r="S98" i="2"/>
  <c r="R98" i="2"/>
  <c r="O98" i="2"/>
  <c r="N98" i="2"/>
  <c r="K98" i="2"/>
  <c r="J98" i="2"/>
  <c r="AJ97" i="2"/>
  <c r="AI97" i="2"/>
  <c r="AH97" i="2"/>
  <c r="AG97" i="2"/>
  <c r="AD97" i="2"/>
  <c r="AC97" i="2"/>
  <c r="Y97" i="2"/>
  <c r="Z97" i="2" s="1"/>
  <c r="U97" i="2"/>
  <c r="T97" i="2"/>
  <c r="V97" i="2" s="1"/>
  <c r="S97" i="2"/>
  <c r="R97" i="2"/>
  <c r="O97" i="2"/>
  <c r="N97" i="2"/>
  <c r="K97" i="2"/>
  <c r="J97" i="2"/>
  <c r="AJ96" i="2"/>
  <c r="AI96" i="2"/>
  <c r="AH96" i="2"/>
  <c r="AG96" i="2"/>
  <c r="AD96" i="2"/>
  <c r="AC96" i="2"/>
  <c r="Y96" i="2"/>
  <c r="Z96" i="2" s="1"/>
  <c r="U96" i="2"/>
  <c r="T96" i="2"/>
  <c r="V96" i="2" s="1"/>
  <c r="S96" i="2"/>
  <c r="R96" i="2"/>
  <c r="O96" i="2"/>
  <c r="N96" i="2"/>
  <c r="K96" i="2"/>
  <c r="J96" i="2"/>
  <c r="AJ95" i="2"/>
  <c r="AI95" i="2"/>
  <c r="AH95" i="2"/>
  <c r="AG95" i="2"/>
  <c r="AD95" i="2"/>
  <c r="AC95" i="2"/>
  <c r="Y95" i="2"/>
  <c r="Z95" i="2" s="1"/>
  <c r="U95" i="2"/>
  <c r="T95" i="2"/>
  <c r="V95" i="2" s="1"/>
  <c r="S95" i="2"/>
  <c r="R95" i="2"/>
  <c r="O95" i="2"/>
  <c r="N95" i="2"/>
  <c r="K95" i="2"/>
  <c r="J95" i="2"/>
  <c r="AJ94" i="2"/>
  <c r="AI94" i="2"/>
  <c r="AH94" i="2"/>
  <c r="AG94" i="2"/>
  <c r="AD94" i="2"/>
  <c r="AC94" i="2"/>
  <c r="Y94" i="2"/>
  <c r="Z94" i="2" s="1"/>
  <c r="U94" i="2"/>
  <c r="T94" i="2"/>
  <c r="V94" i="2" s="1"/>
  <c r="S94" i="2"/>
  <c r="R94" i="2"/>
  <c r="O94" i="2"/>
  <c r="N94" i="2"/>
  <c r="K94" i="2"/>
  <c r="J94" i="2"/>
  <c r="AJ93" i="2"/>
  <c r="AI93" i="2"/>
  <c r="AH93" i="2"/>
  <c r="AG93" i="2"/>
  <c r="AD93" i="2"/>
  <c r="AC93" i="2"/>
  <c r="Y93" i="2"/>
  <c r="Z93" i="2" s="1"/>
  <c r="U93" i="2"/>
  <c r="T93" i="2"/>
  <c r="V93" i="2" s="1"/>
  <c r="S93" i="2"/>
  <c r="R93" i="2"/>
  <c r="O93" i="2"/>
  <c r="N93" i="2"/>
  <c r="K93" i="2"/>
  <c r="J93" i="2"/>
  <c r="AJ92" i="2"/>
  <c r="AI92" i="2"/>
  <c r="AH92" i="2"/>
  <c r="AG92" i="2"/>
  <c r="AD92" i="2"/>
  <c r="AC92" i="2"/>
  <c r="Y92" i="2"/>
  <c r="Z92" i="2" s="1"/>
  <c r="U92" i="2"/>
  <c r="T92" i="2"/>
  <c r="V92" i="2" s="1"/>
  <c r="S92" i="2"/>
  <c r="R92" i="2"/>
  <c r="O92" i="2"/>
  <c r="N92" i="2"/>
  <c r="K92" i="2"/>
  <c r="J92" i="2"/>
  <c r="AJ91" i="2"/>
  <c r="AI91" i="2"/>
  <c r="AH91" i="2"/>
  <c r="AG91" i="2"/>
  <c r="AD91" i="2"/>
  <c r="AC91" i="2"/>
  <c r="Y91" i="2"/>
  <c r="Z91" i="2" s="1"/>
  <c r="U91" i="2"/>
  <c r="T91" i="2"/>
  <c r="V91" i="2" s="1"/>
  <c r="S91" i="2"/>
  <c r="R91" i="2"/>
  <c r="O91" i="2"/>
  <c r="N91" i="2"/>
  <c r="K91" i="2"/>
  <c r="J91" i="2"/>
  <c r="AJ89" i="2"/>
  <c r="AI89" i="2"/>
  <c r="AH89" i="2"/>
  <c r="AG89" i="2"/>
  <c r="AD89" i="2"/>
  <c r="AC89" i="2"/>
  <c r="Y89" i="2"/>
  <c r="Z89" i="2" s="1"/>
  <c r="U89" i="2"/>
  <c r="T89" i="2"/>
  <c r="V89" i="2" s="1"/>
  <c r="S89" i="2"/>
  <c r="R89" i="2"/>
  <c r="O89" i="2"/>
  <c r="N89" i="2"/>
  <c r="K89" i="2"/>
  <c r="J89" i="2"/>
  <c r="AJ88" i="2"/>
  <c r="AI88" i="2"/>
  <c r="AH88" i="2"/>
  <c r="AG88" i="2"/>
  <c r="AD88" i="2"/>
  <c r="AC88" i="2"/>
  <c r="Y88" i="2"/>
  <c r="Z88" i="2" s="1"/>
  <c r="U88" i="2"/>
  <c r="T88" i="2"/>
  <c r="V88" i="2" s="1"/>
  <c r="S88" i="2"/>
  <c r="R88" i="2"/>
  <c r="O88" i="2"/>
  <c r="N88" i="2"/>
  <c r="K88" i="2"/>
  <c r="J88" i="2"/>
  <c r="AJ87" i="2"/>
  <c r="AI87" i="2"/>
  <c r="AH87" i="2"/>
  <c r="AG87" i="2"/>
  <c r="AD87" i="2"/>
  <c r="AC87" i="2"/>
  <c r="Y87" i="2"/>
  <c r="Z87" i="2" s="1"/>
  <c r="U87" i="2"/>
  <c r="T87" i="2"/>
  <c r="V87" i="2" s="1"/>
  <c r="S87" i="2"/>
  <c r="R87" i="2"/>
  <c r="O87" i="2"/>
  <c r="N87" i="2"/>
  <c r="K87" i="2"/>
  <c r="J87" i="2"/>
  <c r="AJ86" i="2"/>
  <c r="AI86" i="2"/>
  <c r="AH86" i="2"/>
  <c r="AG86" i="2"/>
  <c r="AD86" i="2"/>
  <c r="AC86" i="2"/>
  <c r="Y86" i="2"/>
  <c r="Z86" i="2" s="1"/>
  <c r="V86" i="2"/>
  <c r="U86" i="2"/>
  <c r="T86" i="2"/>
  <c r="S86" i="2"/>
  <c r="R86" i="2"/>
  <c r="O86" i="2"/>
  <c r="N86" i="2"/>
  <c r="K86" i="2"/>
  <c r="J86" i="2"/>
  <c r="AJ85" i="2"/>
  <c r="AI85" i="2"/>
  <c r="AH85" i="2"/>
  <c r="AG85" i="2"/>
  <c r="AD85" i="2"/>
  <c r="AC85" i="2"/>
  <c r="Y85" i="2"/>
  <c r="Z85" i="2" s="1"/>
  <c r="U85" i="2"/>
  <c r="T85" i="2"/>
  <c r="V85" i="2" s="1"/>
  <c r="S85" i="2"/>
  <c r="R85" i="2"/>
  <c r="O85" i="2"/>
  <c r="N85" i="2"/>
  <c r="K85" i="2"/>
  <c r="J85" i="2"/>
  <c r="AJ84" i="2"/>
  <c r="AI84" i="2"/>
  <c r="AH84" i="2"/>
  <c r="AG84" i="2"/>
  <c r="AD84" i="2"/>
  <c r="AC84" i="2"/>
  <c r="Y84" i="2"/>
  <c r="Z84" i="2" s="1"/>
  <c r="U84" i="2"/>
  <c r="T84" i="2"/>
  <c r="V84" i="2" s="1"/>
  <c r="S84" i="2"/>
  <c r="R84" i="2"/>
  <c r="O84" i="2"/>
  <c r="N84" i="2"/>
  <c r="K84" i="2"/>
  <c r="J84" i="2"/>
  <c r="AJ83" i="2"/>
  <c r="AI83" i="2"/>
  <c r="AH83" i="2"/>
  <c r="AG83" i="2"/>
  <c r="AD83" i="2"/>
  <c r="AC83" i="2"/>
  <c r="Y83" i="2"/>
  <c r="Z83" i="2" s="1"/>
  <c r="U83" i="2"/>
  <c r="T83" i="2"/>
  <c r="V83" i="2" s="1"/>
  <c r="S83" i="2"/>
  <c r="R83" i="2"/>
  <c r="O83" i="2"/>
  <c r="N83" i="2"/>
  <c r="K83" i="2"/>
  <c r="J83" i="2"/>
  <c r="AJ82" i="2"/>
  <c r="AI82" i="2"/>
  <c r="AH82" i="2"/>
  <c r="AG82" i="2"/>
  <c r="AD82" i="2"/>
  <c r="AC82" i="2"/>
  <c r="Y82" i="2"/>
  <c r="Z82" i="2" s="1"/>
  <c r="U82" i="2"/>
  <c r="T82" i="2"/>
  <c r="V82" i="2" s="1"/>
  <c r="S82" i="2"/>
  <c r="R82" i="2"/>
  <c r="O82" i="2"/>
  <c r="N82" i="2"/>
  <c r="K82" i="2"/>
  <c r="J82" i="2"/>
  <c r="AJ81" i="2"/>
  <c r="AI81" i="2"/>
  <c r="AH81" i="2"/>
  <c r="AG81" i="2"/>
  <c r="AD81" i="2"/>
  <c r="AC81" i="2"/>
  <c r="Y81" i="2"/>
  <c r="Z81" i="2" s="1"/>
  <c r="U81" i="2"/>
  <c r="T81" i="2"/>
  <c r="V81" i="2" s="1"/>
  <c r="S81" i="2"/>
  <c r="R81" i="2"/>
  <c r="O81" i="2"/>
  <c r="N81" i="2"/>
  <c r="K81" i="2"/>
  <c r="J81" i="2"/>
  <c r="AJ80" i="2"/>
  <c r="AI80" i="2"/>
  <c r="AH80" i="2"/>
  <c r="AG80" i="2"/>
  <c r="AD80" i="2"/>
  <c r="AC80" i="2"/>
  <c r="Y80" i="2"/>
  <c r="Z80" i="2" s="1"/>
  <c r="U80" i="2"/>
  <c r="T80" i="2"/>
  <c r="V80" i="2" s="1"/>
  <c r="S80" i="2"/>
  <c r="R80" i="2"/>
  <c r="O80" i="2"/>
  <c r="N80" i="2"/>
  <c r="K80" i="2"/>
  <c r="J80" i="2"/>
  <c r="AJ79" i="2"/>
  <c r="AI79" i="2"/>
  <c r="AH79" i="2"/>
  <c r="AG79" i="2"/>
  <c r="AD79" i="2"/>
  <c r="AC79" i="2"/>
  <c r="Y79" i="2"/>
  <c r="Z79" i="2" s="1"/>
  <c r="U79" i="2"/>
  <c r="T79" i="2"/>
  <c r="V79" i="2" s="1"/>
  <c r="S79" i="2"/>
  <c r="R79" i="2"/>
  <c r="O79" i="2"/>
  <c r="N79" i="2"/>
  <c r="K79" i="2"/>
  <c r="J79" i="2"/>
  <c r="AJ78" i="2"/>
  <c r="AI78" i="2"/>
  <c r="AH78" i="2"/>
  <c r="AG78" i="2"/>
  <c r="AD78" i="2"/>
  <c r="AC78" i="2"/>
  <c r="Y78" i="2"/>
  <c r="Z78" i="2" s="1"/>
  <c r="U78" i="2"/>
  <c r="T78" i="2"/>
  <c r="V78" i="2" s="1"/>
  <c r="S78" i="2"/>
  <c r="R78" i="2"/>
  <c r="O78" i="2"/>
  <c r="N78" i="2"/>
  <c r="K78" i="2"/>
  <c r="J78" i="2"/>
  <c r="AJ77" i="2"/>
  <c r="AI77" i="2"/>
  <c r="AH77" i="2"/>
  <c r="AG77" i="2"/>
  <c r="AD77" i="2"/>
  <c r="AC77" i="2"/>
  <c r="Y77" i="2"/>
  <c r="Z77" i="2" s="1"/>
  <c r="U77" i="2"/>
  <c r="T77" i="2"/>
  <c r="V77" i="2" s="1"/>
  <c r="S77" i="2"/>
  <c r="R77" i="2"/>
  <c r="O77" i="2"/>
  <c r="N77" i="2"/>
  <c r="K77" i="2"/>
  <c r="J77" i="2"/>
  <c r="AJ76" i="2"/>
  <c r="AI76" i="2"/>
  <c r="AH76" i="2"/>
  <c r="AG76" i="2"/>
  <c r="AD76" i="2"/>
  <c r="AC76" i="2"/>
  <c r="Y76" i="2"/>
  <c r="Z76" i="2" s="1"/>
  <c r="U76" i="2"/>
  <c r="T76" i="2"/>
  <c r="V76" i="2" s="1"/>
  <c r="S76" i="2"/>
  <c r="R76" i="2"/>
  <c r="O76" i="2"/>
  <c r="N76" i="2"/>
  <c r="K76" i="2"/>
  <c r="J76" i="2"/>
  <c r="AJ75" i="2"/>
  <c r="AI75" i="2"/>
  <c r="AH75" i="2"/>
  <c r="AG75" i="2"/>
  <c r="AD75" i="2"/>
  <c r="AC75" i="2"/>
  <c r="Y75" i="2"/>
  <c r="Z75" i="2" s="1"/>
  <c r="U75" i="2"/>
  <c r="T75" i="2"/>
  <c r="V75" i="2" s="1"/>
  <c r="S75" i="2"/>
  <c r="R75" i="2"/>
  <c r="O75" i="2"/>
  <c r="N75" i="2"/>
  <c r="K75" i="2"/>
  <c r="J75" i="2"/>
  <c r="AJ73" i="2"/>
  <c r="AI73" i="2"/>
  <c r="AH73" i="2"/>
  <c r="AG73" i="2"/>
  <c r="AD73" i="2"/>
  <c r="AC73" i="2"/>
  <c r="Y73" i="2"/>
  <c r="Z73" i="2" s="1"/>
  <c r="U73" i="2"/>
  <c r="T73" i="2"/>
  <c r="V73" i="2" s="1"/>
  <c r="S73" i="2"/>
  <c r="R73" i="2"/>
  <c r="O73" i="2"/>
  <c r="N73" i="2"/>
  <c r="K73" i="2"/>
  <c r="J73" i="2"/>
  <c r="AJ72" i="2"/>
  <c r="AI72" i="2"/>
  <c r="AH72" i="2"/>
  <c r="AG72" i="2"/>
  <c r="AD72" i="2"/>
  <c r="AC72" i="2"/>
  <c r="Y72" i="2"/>
  <c r="Z72" i="2" s="1"/>
  <c r="U72" i="2"/>
  <c r="T72" i="2"/>
  <c r="V72" i="2" s="1"/>
  <c r="S72" i="2"/>
  <c r="R72" i="2"/>
  <c r="O72" i="2"/>
  <c r="N72" i="2"/>
  <c r="K72" i="2"/>
  <c r="J72" i="2"/>
  <c r="AJ71" i="2"/>
  <c r="AI71" i="2"/>
  <c r="AH71" i="2"/>
  <c r="AG71" i="2"/>
  <c r="AD71" i="2"/>
  <c r="AC71" i="2"/>
  <c r="Y71" i="2"/>
  <c r="Z71" i="2" s="1"/>
  <c r="U71" i="2"/>
  <c r="T71" i="2"/>
  <c r="V71" i="2" s="1"/>
  <c r="S71" i="2"/>
  <c r="R71" i="2"/>
  <c r="O71" i="2"/>
  <c r="N71" i="2"/>
  <c r="K71" i="2"/>
  <c r="J71" i="2"/>
  <c r="AJ70" i="2"/>
  <c r="AI70" i="2"/>
  <c r="AH70" i="2"/>
  <c r="AG70" i="2"/>
  <c r="AD70" i="2"/>
  <c r="AC70" i="2"/>
  <c r="Z70" i="2"/>
  <c r="Y70" i="2"/>
  <c r="U70" i="2"/>
  <c r="T70" i="2"/>
  <c r="V70" i="2" s="1"/>
  <c r="S70" i="2"/>
  <c r="R70" i="2"/>
  <c r="O70" i="2"/>
  <c r="N70" i="2"/>
  <c r="K70" i="2"/>
  <c r="J70" i="2"/>
  <c r="AJ69" i="2"/>
  <c r="AI69" i="2"/>
  <c r="AH69" i="2"/>
  <c r="AG69" i="2"/>
  <c r="AD69" i="2"/>
  <c r="AC69" i="2"/>
  <c r="Y69" i="2"/>
  <c r="Z69" i="2" s="1"/>
  <c r="U69" i="2"/>
  <c r="T69" i="2"/>
  <c r="V69" i="2" s="1"/>
  <c r="S69" i="2"/>
  <c r="R69" i="2"/>
  <c r="O69" i="2"/>
  <c r="N69" i="2"/>
  <c r="K69" i="2"/>
  <c r="J69" i="2"/>
  <c r="AJ68" i="2"/>
  <c r="AI68" i="2"/>
  <c r="AH68" i="2"/>
  <c r="AG68" i="2"/>
  <c r="AD68" i="2"/>
  <c r="AC68" i="2"/>
  <c r="Y68" i="2"/>
  <c r="Z68" i="2" s="1"/>
  <c r="U68" i="2"/>
  <c r="T68" i="2"/>
  <c r="V68" i="2" s="1"/>
  <c r="S68" i="2"/>
  <c r="R68" i="2"/>
  <c r="O68" i="2"/>
  <c r="N68" i="2"/>
  <c r="K68" i="2"/>
  <c r="J68" i="2"/>
  <c r="AJ67" i="2"/>
  <c r="AI67" i="2"/>
  <c r="AH67" i="2"/>
  <c r="AG67" i="2"/>
  <c r="AD67" i="2"/>
  <c r="AC67" i="2"/>
  <c r="Y67" i="2"/>
  <c r="Z67" i="2" s="1"/>
  <c r="U67" i="2"/>
  <c r="T67" i="2"/>
  <c r="V67" i="2" s="1"/>
  <c r="S67" i="2"/>
  <c r="R67" i="2"/>
  <c r="O67" i="2"/>
  <c r="N67" i="2"/>
  <c r="K67" i="2"/>
  <c r="J67" i="2"/>
  <c r="AJ66" i="2"/>
  <c r="AI66" i="2"/>
  <c r="AH66" i="2"/>
  <c r="AG66" i="2"/>
  <c r="AD66" i="2"/>
  <c r="AC66" i="2"/>
  <c r="Y66" i="2"/>
  <c r="Z66" i="2" s="1"/>
  <c r="U66" i="2"/>
  <c r="T66" i="2"/>
  <c r="V66" i="2" s="1"/>
  <c r="S66" i="2"/>
  <c r="R66" i="2"/>
  <c r="O66" i="2"/>
  <c r="N66" i="2"/>
  <c r="K66" i="2"/>
  <c r="J66" i="2"/>
  <c r="AJ65" i="2"/>
  <c r="AI65" i="2"/>
  <c r="AH65" i="2"/>
  <c r="AG65" i="2"/>
  <c r="AD65" i="2"/>
  <c r="AC65" i="2"/>
  <c r="Y65" i="2"/>
  <c r="Z65" i="2" s="1"/>
  <c r="U65" i="2"/>
  <c r="T65" i="2"/>
  <c r="V65" i="2" s="1"/>
  <c r="S65" i="2"/>
  <c r="R65" i="2"/>
  <c r="O65" i="2"/>
  <c r="N65" i="2"/>
  <c r="K65" i="2"/>
  <c r="J65" i="2"/>
  <c r="AJ64" i="2"/>
  <c r="AI64" i="2"/>
  <c r="AH64" i="2"/>
  <c r="AG64" i="2"/>
  <c r="AD64" i="2"/>
  <c r="AC64" i="2"/>
  <c r="Y64" i="2"/>
  <c r="Z64" i="2" s="1"/>
  <c r="U64" i="2"/>
  <c r="T64" i="2"/>
  <c r="V64" i="2" s="1"/>
  <c r="S64" i="2"/>
  <c r="R64" i="2"/>
  <c r="O64" i="2"/>
  <c r="N64" i="2"/>
  <c r="K64" i="2"/>
  <c r="J64" i="2"/>
  <c r="AJ63" i="2"/>
  <c r="AI63" i="2"/>
  <c r="AH63" i="2"/>
  <c r="AG63" i="2"/>
  <c r="AD63" i="2"/>
  <c r="AC63" i="2"/>
  <c r="Y63" i="2"/>
  <c r="Z63" i="2" s="1"/>
  <c r="U63" i="2"/>
  <c r="T63" i="2"/>
  <c r="V63" i="2" s="1"/>
  <c r="S63" i="2"/>
  <c r="R63" i="2"/>
  <c r="O63" i="2"/>
  <c r="N63" i="2"/>
  <c r="K63" i="2"/>
  <c r="J63" i="2"/>
  <c r="AJ62" i="2"/>
  <c r="AI62" i="2"/>
  <c r="AH62" i="2"/>
  <c r="AG62" i="2"/>
  <c r="AD62" i="2"/>
  <c r="AC62" i="2"/>
  <c r="Y62" i="2"/>
  <c r="Z62" i="2" s="1"/>
  <c r="V62" i="2"/>
  <c r="U62" i="2"/>
  <c r="T62" i="2"/>
  <c r="S62" i="2"/>
  <c r="R62" i="2"/>
  <c r="O62" i="2"/>
  <c r="N62" i="2"/>
  <c r="K62" i="2"/>
  <c r="J62" i="2"/>
  <c r="AJ61" i="2"/>
  <c r="AI61" i="2"/>
  <c r="AH61" i="2"/>
  <c r="AG61" i="2"/>
  <c r="AD61" i="2"/>
  <c r="AC61" i="2"/>
  <c r="Y61" i="2"/>
  <c r="Z61" i="2" s="1"/>
  <c r="U61" i="2"/>
  <c r="T61" i="2"/>
  <c r="V61" i="2" s="1"/>
  <c r="S61" i="2"/>
  <c r="R61" i="2"/>
  <c r="O61" i="2"/>
  <c r="N61" i="2"/>
  <c r="K61" i="2"/>
  <c r="J61" i="2"/>
  <c r="AJ60" i="2"/>
  <c r="AI60" i="2"/>
  <c r="AH60" i="2"/>
  <c r="AG60" i="2"/>
  <c r="AD60" i="2"/>
  <c r="AC60" i="2"/>
  <c r="Y60" i="2"/>
  <c r="Z60" i="2" s="1"/>
  <c r="U60" i="2"/>
  <c r="T60" i="2"/>
  <c r="V60" i="2" s="1"/>
  <c r="S60" i="2"/>
  <c r="R60" i="2"/>
  <c r="O60" i="2"/>
  <c r="N60" i="2"/>
  <c r="K60" i="2"/>
  <c r="J60" i="2"/>
  <c r="AJ59" i="2"/>
  <c r="AI59" i="2"/>
  <c r="AH59" i="2"/>
  <c r="AG59" i="2"/>
  <c r="AD59" i="2"/>
  <c r="AC59" i="2"/>
  <c r="Y59" i="2"/>
  <c r="Z59" i="2" s="1"/>
  <c r="U59" i="2"/>
  <c r="T59" i="2"/>
  <c r="V59" i="2" s="1"/>
  <c r="S59" i="2"/>
  <c r="R59" i="2"/>
  <c r="O59" i="2"/>
  <c r="N59" i="2"/>
  <c r="K59" i="2"/>
  <c r="J59" i="2"/>
  <c r="AJ58" i="2"/>
  <c r="AI58" i="2"/>
  <c r="AH58" i="2"/>
  <c r="AG58" i="2"/>
  <c r="AD58" i="2"/>
  <c r="AC58" i="2"/>
  <c r="Y58" i="2"/>
  <c r="Z58" i="2" s="1"/>
  <c r="U58" i="2"/>
  <c r="T58" i="2"/>
  <c r="V58" i="2" s="1"/>
  <c r="S58" i="2"/>
  <c r="R58" i="2"/>
  <c r="O58" i="2"/>
  <c r="N58" i="2"/>
  <c r="K58" i="2"/>
  <c r="J58" i="2"/>
  <c r="AJ57" i="2"/>
  <c r="AI57" i="2"/>
  <c r="AH57" i="2"/>
  <c r="AG57" i="2"/>
  <c r="AD57" i="2"/>
  <c r="AC57" i="2"/>
  <c r="Y57" i="2"/>
  <c r="Z57" i="2" s="1"/>
  <c r="U57" i="2"/>
  <c r="T57" i="2"/>
  <c r="V57" i="2" s="1"/>
  <c r="S57" i="2"/>
  <c r="R57" i="2"/>
  <c r="O57" i="2"/>
  <c r="N57" i="2"/>
  <c r="K57" i="2"/>
  <c r="J57" i="2"/>
  <c r="AJ56" i="2"/>
  <c r="AI56" i="2"/>
  <c r="AH56" i="2"/>
  <c r="AG56" i="2"/>
  <c r="AD56" i="2"/>
  <c r="AC56" i="2"/>
  <c r="Y56" i="2"/>
  <c r="Z56" i="2" s="1"/>
  <c r="U56" i="2"/>
  <c r="T56" i="2"/>
  <c r="V56" i="2" s="1"/>
  <c r="S56" i="2"/>
  <c r="R56" i="2"/>
  <c r="O56" i="2"/>
  <c r="N56" i="2"/>
  <c r="K56" i="2"/>
  <c r="J56" i="2"/>
  <c r="AJ55" i="2"/>
  <c r="AI55" i="2"/>
  <c r="AH55" i="2"/>
  <c r="AG55" i="2"/>
  <c r="AD55" i="2"/>
  <c r="AC55" i="2"/>
  <c r="Y55" i="2"/>
  <c r="Z55" i="2" s="1"/>
  <c r="U55" i="2"/>
  <c r="T55" i="2"/>
  <c r="V55" i="2" s="1"/>
  <c r="S55" i="2"/>
  <c r="R55" i="2"/>
  <c r="O55" i="2"/>
  <c r="N55" i="2"/>
  <c r="K55" i="2"/>
  <c r="J55" i="2"/>
  <c r="AJ54" i="2"/>
  <c r="AI54" i="2"/>
  <c r="AH54" i="2"/>
  <c r="AG54" i="2"/>
  <c r="AD54" i="2"/>
  <c r="AC54" i="2"/>
  <c r="Y54" i="2"/>
  <c r="Z54" i="2" s="1"/>
  <c r="U54" i="2"/>
  <c r="T54" i="2"/>
  <c r="V54" i="2" s="1"/>
  <c r="S54" i="2"/>
  <c r="R54" i="2"/>
  <c r="O54" i="2"/>
  <c r="N54" i="2"/>
  <c r="K54" i="2"/>
  <c r="J54" i="2"/>
  <c r="AJ53" i="2"/>
  <c r="AI53" i="2"/>
  <c r="AH53" i="2"/>
  <c r="AG53" i="2"/>
  <c r="AD53" i="2"/>
  <c r="Y53" i="2"/>
  <c r="Z53" i="2" s="1"/>
  <c r="U53" i="2"/>
  <c r="T53" i="2"/>
  <c r="V53" i="2" s="1"/>
  <c r="S53" i="2"/>
  <c r="R53" i="2"/>
  <c r="O53" i="2"/>
  <c r="N53" i="2"/>
  <c r="K53" i="2"/>
  <c r="J53" i="2"/>
  <c r="AJ52" i="2"/>
  <c r="AI52" i="2"/>
  <c r="AH52" i="2"/>
  <c r="AG52" i="2"/>
  <c r="AD52" i="2"/>
  <c r="AC52" i="2"/>
  <c r="Y52" i="2"/>
  <c r="Z52" i="2" s="1"/>
  <c r="U52" i="2"/>
  <c r="T52" i="2"/>
  <c r="V52" i="2" s="1"/>
  <c r="S52" i="2"/>
  <c r="R52" i="2"/>
  <c r="O52" i="2"/>
  <c r="N52" i="2"/>
  <c r="K52" i="2"/>
  <c r="J52" i="2"/>
  <c r="AJ51" i="2"/>
  <c r="AI51" i="2"/>
  <c r="AH51" i="2"/>
  <c r="AG51" i="2"/>
  <c r="AD51" i="2"/>
  <c r="AC51" i="2"/>
  <c r="Y51" i="2"/>
  <c r="Z51" i="2" s="1"/>
  <c r="U51" i="2"/>
  <c r="T51" i="2"/>
  <c r="V51" i="2" s="1"/>
  <c r="S51" i="2"/>
  <c r="R51" i="2"/>
  <c r="O51" i="2"/>
  <c r="N51" i="2"/>
  <c r="K51" i="2"/>
  <c r="J51" i="2"/>
  <c r="AJ50" i="2"/>
  <c r="AI50" i="2"/>
  <c r="AH50" i="2"/>
  <c r="AG50" i="2"/>
  <c r="AD50" i="2"/>
  <c r="AC50" i="2"/>
  <c r="Y50" i="2"/>
  <c r="Z50" i="2" s="1"/>
  <c r="U50" i="2"/>
  <c r="T50" i="2"/>
  <c r="V50" i="2" s="1"/>
  <c r="S50" i="2"/>
  <c r="R50" i="2"/>
  <c r="O50" i="2"/>
  <c r="N50" i="2"/>
  <c r="K50" i="2"/>
  <c r="J50" i="2"/>
  <c r="AJ49" i="2"/>
  <c r="AI49" i="2"/>
  <c r="AH49" i="2"/>
  <c r="AG49" i="2"/>
  <c r="AD49" i="2"/>
  <c r="AC49" i="2"/>
  <c r="Y49" i="2"/>
  <c r="Z49" i="2" s="1"/>
  <c r="U49" i="2"/>
  <c r="T49" i="2"/>
  <c r="V49" i="2" s="1"/>
  <c r="S49" i="2"/>
  <c r="R49" i="2"/>
  <c r="O49" i="2"/>
  <c r="N49" i="2"/>
  <c r="K49" i="2"/>
  <c r="J49" i="2"/>
  <c r="AJ48" i="2"/>
  <c r="AI48" i="2"/>
  <c r="AH48" i="2"/>
  <c r="AG48" i="2"/>
  <c r="AD48" i="2"/>
  <c r="AC48" i="2"/>
  <c r="Y48" i="2"/>
  <c r="Z48" i="2" s="1"/>
  <c r="U48" i="2"/>
  <c r="T48" i="2"/>
  <c r="V48" i="2" s="1"/>
  <c r="S48" i="2"/>
  <c r="R48" i="2"/>
  <c r="O48" i="2"/>
  <c r="N48" i="2"/>
  <c r="K48" i="2"/>
  <c r="J48" i="2"/>
  <c r="AJ47" i="2"/>
  <c r="AI47" i="2"/>
  <c r="AH47" i="2"/>
  <c r="AG47" i="2"/>
  <c r="AD47" i="2"/>
  <c r="AC47" i="2"/>
  <c r="Y47" i="2"/>
  <c r="Z47" i="2" s="1"/>
  <c r="U47" i="2"/>
  <c r="T47" i="2"/>
  <c r="V47" i="2" s="1"/>
  <c r="S47" i="2"/>
  <c r="R47" i="2"/>
  <c r="O47" i="2"/>
  <c r="N47" i="2"/>
  <c r="K47" i="2"/>
  <c r="J47" i="2"/>
  <c r="AJ46" i="2"/>
  <c r="AI46" i="2"/>
  <c r="AH46" i="2"/>
  <c r="AG46" i="2"/>
  <c r="AD46" i="2"/>
  <c r="AC46" i="2"/>
  <c r="Y46" i="2"/>
  <c r="Z46" i="2" s="1"/>
  <c r="U46" i="2"/>
  <c r="T46" i="2"/>
  <c r="V46" i="2" s="1"/>
  <c r="S46" i="2"/>
  <c r="R46" i="2"/>
  <c r="O46" i="2"/>
  <c r="N46" i="2"/>
  <c r="K46" i="2"/>
  <c r="J46" i="2"/>
  <c r="AJ44" i="2"/>
  <c r="AI44" i="2"/>
  <c r="AH44" i="2"/>
  <c r="AG44" i="2"/>
  <c r="AD44" i="2"/>
  <c r="AC44" i="2"/>
  <c r="Y44" i="2"/>
  <c r="Z44" i="2" s="1"/>
  <c r="U44" i="2"/>
  <c r="T44" i="2"/>
  <c r="V44" i="2" s="1"/>
  <c r="S44" i="2"/>
  <c r="R44" i="2"/>
  <c r="O44" i="2"/>
  <c r="N44" i="2"/>
  <c r="K44" i="2"/>
  <c r="J44" i="2"/>
  <c r="AJ42" i="2"/>
  <c r="AI42" i="2"/>
  <c r="AH42" i="2"/>
  <c r="AG42" i="2"/>
  <c r="AD42" i="2"/>
  <c r="AC42" i="2"/>
  <c r="Y42" i="2"/>
  <c r="Z42" i="2" s="1"/>
  <c r="V42" i="2"/>
  <c r="U42" i="2"/>
  <c r="T42" i="2"/>
  <c r="S42" i="2"/>
  <c r="R42" i="2"/>
  <c r="O42" i="2"/>
  <c r="N42" i="2"/>
  <c r="K42" i="2"/>
  <c r="J42" i="2"/>
  <c r="AJ40" i="2"/>
  <c r="AI40" i="2"/>
  <c r="AH40" i="2"/>
  <c r="AG40" i="2"/>
  <c r="AD40" i="2"/>
  <c r="AC40" i="2"/>
  <c r="Y40" i="2"/>
  <c r="Z40" i="2" s="1"/>
  <c r="U40" i="2"/>
  <c r="T40" i="2"/>
  <c r="V40" i="2" s="1"/>
  <c r="S40" i="2"/>
  <c r="R40" i="2"/>
  <c r="O40" i="2"/>
  <c r="N40" i="2"/>
  <c r="AJ39" i="2"/>
  <c r="AI39" i="2"/>
  <c r="AH39" i="2"/>
  <c r="AG39" i="2"/>
  <c r="AD39" i="2"/>
  <c r="AC39" i="2"/>
  <c r="Y39" i="2"/>
  <c r="Z39" i="2" s="1"/>
  <c r="U39" i="2"/>
  <c r="T39" i="2"/>
  <c r="V39" i="2" s="1"/>
  <c r="S39" i="2"/>
  <c r="R39" i="2"/>
  <c r="O39" i="2"/>
  <c r="N39" i="2"/>
  <c r="AJ38" i="2"/>
  <c r="AI38" i="2"/>
  <c r="AH38" i="2"/>
  <c r="AG38" i="2"/>
  <c r="AD38" i="2"/>
  <c r="AC38" i="2"/>
  <c r="Z38" i="2"/>
  <c r="Y38" i="2"/>
  <c r="U38" i="2"/>
  <c r="T38" i="2"/>
  <c r="V38" i="2" s="1"/>
  <c r="S38" i="2"/>
  <c r="R38" i="2"/>
  <c r="O38" i="2"/>
  <c r="N38" i="2"/>
  <c r="AJ37" i="2"/>
  <c r="AI37" i="2"/>
  <c r="AH37" i="2"/>
  <c r="AG37" i="2"/>
  <c r="AD37" i="2"/>
  <c r="AC37" i="2"/>
  <c r="Y37" i="2"/>
  <c r="Z37" i="2" s="1"/>
  <c r="U37" i="2"/>
  <c r="T37" i="2"/>
  <c r="V37" i="2" s="1"/>
  <c r="S37" i="2"/>
  <c r="R37" i="2"/>
  <c r="O37" i="2"/>
  <c r="N37" i="2"/>
  <c r="AJ36" i="2"/>
  <c r="AI36" i="2"/>
  <c r="AH36" i="2"/>
  <c r="AG36" i="2"/>
  <c r="AD36" i="2"/>
  <c r="AC36" i="2"/>
  <c r="Y36" i="2"/>
  <c r="Z36" i="2" s="1"/>
  <c r="U36" i="2"/>
  <c r="T36" i="2"/>
  <c r="V36" i="2" s="1"/>
  <c r="S36" i="2"/>
  <c r="R36" i="2"/>
  <c r="O36" i="2"/>
  <c r="N36" i="2"/>
  <c r="AJ34" i="2"/>
  <c r="AI34" i="2"/>
  <c r="AH34" i="2"/>
  <c r="AG34" i="2"/>
  <c r="AD34" i="2"/>
  <c r="AC34" i="2"/>
  <c r="Y34" i="2"/>
  <c r="Z34" i="2" s="1"/>
  <c r="U34" i="2"/>
  <c r="T34" i="2"/>
  <c r="V34" i="2" s="1"/>
  <c r="S34" i="2"/>
  <c r="R34" i="2"/>
  <c r="O34" i="2"/>
  <c r="N34" i="2"/>
  <c r="AJ33" i="2"/>
  <c r="AI33" i="2"/>
  <c r="AH33" i="2"/>
  <c r="AG33" i="2"/>
  <c r="AD33" i="2"/>
  <c r="AC33" i="2"/>
  <c r="Y33" i="2"/>
  <c r="Z33" i="2" s="1"/>
  <c r="U33" i="2"/>
  <c r="T33" i="2"/>
  <c r="V33" i="2" s="1"/>
  <c r="S33" i="2"/>
  <c r="R33" i="2"/>
  <c r="O33" i="2"/>
  <c r="N33" i="2"/>
  <c r="AJ32" i="2"/>
  <c r="AI32" i="2"/>
  <c r="AH32" i="2"/>
  <c r="AG32" i="2"/>
  <c r="AD32" i="2"/>
  <c r="AC32" i="2"/>
  <c r="Y32" i="2"/>
  <c r="Z32" i="2" s="1"/>
  <c r="U32" i="2"/>
  <c r="T32" i="2"/>
  <c r="V32" i="2" s="1"/>
  <c r="S32" i="2"/>
  <c r="R32" i="2"/>
  <c r="O32" i="2"/>
  <c r="N32" i="2"/>
  <c r="AJ31" i="2"/>
  <c r="AI31" i="2"/>
  <c r="AH31" i="2"/>
  <c r="AG31" i="2"/>
  <c r="AD31" i="2"/>
  <c r="AC31" i="2"/>
  <c r="Y31" i="2"/>
  <c r="Z31" i="2" s="1"/>
  <c r="U31" i="2"/>
  <c r="T31" i="2"/>
  <c r="V31" i="2" s="1"/>
  <c r="S31" i="2"/>
  <c r="R31" i="2"/>
  <c r="O31" i="2"/>
  <c r="N31" i="2"/>
  <c r="AJ30" i="2"/>
  <c r="AI30" i="2"/>
  <c r="AH30" i="2"/>
  <c r="AG30" i="2"/>
  <c r="AD30" i="2"/>
  <c r="AC30" i="2"/>
  <c r="Y30" i="2"/>
  <c r="Z30" i="2" s="1"/>
  <c r="U30" i="2"/>
  <c r="T30" i="2"/>
  <c r="V30" i="2" s="1"/>
  <c r="S30" i="2"/>
  <c r="R30" i="2"/>
  <c r="O30" i="2"/>
  <c r="N30" i="2"/>
  <c r="AJ29" i="2"/>
  <c r="AI29" i="2"/>
  <c r="AH29" i="2"/>
  <c r="AG29" i="2"/>
  <c r="AD29" i="2"/>
  <c r="AC29" i="2"/>
  <c r="Y29" i="2"/>
  <c r="Z29" i="2" s="1"/>
  <c r="U29" i="2"/>
  <c r="T29" i="2"/>
  <c r="V29" i="2" s="1"/>
  <c r="S29" i="2"/>
  <c r="R29" i="2"/>
  <c r="O29" i="2"/>
  <c r="N29" i="2"/>
  <c r="AJ28" i="2"/>
  <c r="AI28" i="2"/>
  <c r="AH28" i="2"/>
  <c r="AG28" i="2"/>
  <c r="AD28" i="2"/>
  <c r="AC28" i="2"/>
  <c r="Y28" i="2"/>
  <c r="Z28" i="2" s="1"/>
  <c r="U28" i="2"/>
  <c r="T28" i="2"/>
  <c r="V28" i="2" s="1"/>
  <c r="S28" i="2"/>
  <c r="R28" i="2"/>
  <c r="O28" i="2"/>
  <c r="N28" i="2"/>
  <c r="AJ27" i="2"/>
  <c r="AI27" i="2"/>
  <c r="AH27" i="2"/>
  <c r="AG27" i="2"/>
  <c r="AD27" i="2"/>
  <c r="AC27" i="2"/>
  <c r="Y27" i="2"/>
  <c r="Z27" i="2" s="1"/>
  <c r="U27" i="2"/>
  <c r="T27" i="2"/>
  <c r="V27" i="2" s="1"/>
  <c r="S27" i="2"/>
  <c r="R27" i="2"/>
  <c r="O27" i="2"/>
  <c r="N27" i="2"/>
  <c r="AJ26" i="2"/>
  <c r="AI26" i="2"/>
  <c r="AH26" i="2"/>
  <c r="AG26" i="2"/>
  <c r="AD26" i="2"/>
  <c r="AC26" i="2"/>
  <c r="Y26" i="2"/>
  <c r="Z26" i="2" s="1"/>
  <c r="U26" i="2"/>
  <c r="T26" i="2"/>
  <c r="V26" i="2" s="1"/>
  <c r="S26" i="2"/>
  <c r="R26" i="2"/>
  <c r="O26" i="2"/>
  <c r="N26" i="2"/>
  <c r="AJ24" i="2"/>
  <c r="AI24" i="2"/>
  <c r="AH24" i="2"/>
  <c r="AG24" i="2"/>
  <c r="AD24" i="2"/>
  <c r="AC24" i="2"/>
  <c r="Y24" i="2"/>
  <c r="Z24" i="2" s="1"/>
  <c r="U24" i="2"/>
  <c r="T24" i="2"/>
  <c r="V24" i="2" s="1"/>
  <c r="S24" i="2"/>
  <c r="R24" i="2"/>
  <c r="O24" i="2"/>
  <c r="N24" i="2"/>
  <c r="AJ23" i="2"/>
  <c r="AI23" i="2"/>
  <c r="AH23" i="2"/>
  <c r="AG23" i="2"/>
  <c r="AD23" i="2"/>
  <c r="AC23" i="2"/>
  <c r="Y23" i="2"/>
  <c r="Z23" i="2" s="1"/>
  <c r="U23" i="2"/>
  <c r="T23" i="2"/>
  <c r="V23" i="2" s="1"/>
  <c r="S23" i="2"/>
  <c r="R23" i="2"/>
  <c r="O23" i="2"/>
  <c r="N23" i="2"/>
  <c r="AJ22" i="2"/>
  <c r="AI22" i="2"/>
  <c r="AH22" i="2"/>
  <c r="AG22" i="2"/>
  <c r="AD22" i="2"/>
  <c r="AC22" i="2"/>
  <c r="Y22" i="2"/>
  <c r="Z22" i="2" s="1"/>
  <c r="U22" i="2"/>
  <c r="T22" i="2"/>
  <c r="V22" i="2" s="1"/>
  <c r="S22" i="2"/>
  <c r="R22" i="2"/>
  <c r="O22" i="2"/>
  <c r="N22" i="2"/>
  <c r="AJ21" i="2"/>
  <c r="AI21" i="2"/>
  <c r="AH21" i="2"/>
  <c r="AG21" i="2"/>
  <c r="AD21" i="2"/>
  <c r="AC21" i="2"/>
  <c r="Y21" i="2"/>
  <c r="Z21" i="2" s="1"/>
  <c r="U21" i="2"/>
  <c r="T21" i="2"/>
  <c r="V21" i="2" s="1"/>
  <c r="S21" i="2"/>
  <c r="R21" i="2"/>
  <c r="O21" i="2"/>
  <c r="N21" i="2"/>
  <c r="AJ20" i="2"/>
  <c r="AI20" i="2"/>
  <c r="AH20" i="2"/>
  <c r="AG20" i="2"/>
  <c r="AD20" i="2"/>
  <c r="AC20" i="2"/>
  <c r="Y20" i="2"/>
  <c r="Z20" i="2" s="1"/>
  <c r="U20" i="2"/>
  <c r="T20" i="2"/>
  <c r="V20" i="2" s="1"/>
  <c r="S20" i="2"/>
  <c r="R20" i="2"/>
  <c r="O20" i="2"/>
  <c r="N20" i="2"/>
  <c r="AJ19" i="2"/>
  <c r="AI19" i="2"/>
  <c r="AH19" i="2"/>
  <c r="AG19" i="2"/>
  <c r="AD19" i="2"/>
  <c r="AC19" i="2"/>
  <c r="Z19" i="2"/>
  <c r="Y19" i="2"/>
  <c r="U19" i="2"/>
  <c r="T19" i="2"/>
  <c r="V19" i="2" s="1"/>
  <c r="S19" i="2"/>
  <c r="R19" i="2"/>
  <c r="O19" i="2"/>
  <c r="N19" i="2"/>
  <c r="AJ18" i="2"/>
  <c r="AI18" i="2"/>
  <c r="AH18" i="2"/>
  <c r="AG18" i="2"/>
  <c r="AD18" i="2"/>
  <c r="AC18" i="2"/>
  <c r="Y18" i="2"/>
  <c r="Z18" i="2" s="1"/>
  <c r="U18" i="2"/>
  <c r="T18" i="2"/>
  <c r="V18" i="2" s="1"/>
  <c r="S18" i="2"/>
  <c r="R18" i="2"/>
  <c r="O18" i="2"/>
  <c r="N18" i="2"/>
  <c r="AJ17" i="2"/>
  <c r="AI17" i="2"/>
  <c r="AH17" i="2"/>
  <c r="AG17" i="2"/>
  <c r="AD17" i="2"/>
  <c r="AC17" i="2"/>
  <c r="Y17" i="2"/>
  <c r="Z17" i="2" s="1"/>
  <c r="U17" i="2"/>
  <c r="T17" i="2"/>
  <c r="V17" i="2" s="1"/>
  <c r="S17" i="2"/>
  <c r="R17" i="2"/>
  <c r="O17" i="2"/>
  <c r="N17" i="2"/>
  <c r="AJ16" i="2"/>
  <c r="AI16" i="2"/>
  <c r="AH16" i="2"/>
  <c r="AG16" i="2"/>
  <c r="AD16" i="2"/>
  <c r="AC16" i="2"/>
  <c r="Y16" i="2"/>
  <c r="Z16" i="2" s="1"/>
  <c r="U16" i="2"/>
  <c r="T16" i="2"/>
  <c r="V16" i="2" s="1"/>
  <c r="S16" i="2"/>
  <c r="R16" i="2"/>
  <c r="O16" i="2"/>
  <c r="N16" i="2"/>
  <c r="AJ15" i="2"/>
  <c r="AI15" i="2"/>
  <c r="AH15" i="2"/>
  <c r="AG15" i="2"/>
  <c r="AD15" i="2"/>
  <c r="AC15" i="2"/>
  <c r="Y15" i="2"/>
  <c r="Z15" i="2" s="1"/>
  <c r="U15" i="2"/>
  <c r="T15" i="2"/>
  <c r="V15" i="2" s="1"/>
  <c r="S15" i="2"/>
  <c r="R15" i="2"/>
  <c r="O15" i="2"/>
  <c r="N15" i="2"/>
  <c r="AJ14" i="2"/>
  <c r="AI14" i="2"/>
  <c r="AH14" i="2"/>
  <c r="AG14" i="2"/>
  <c r="AD14" i="2"/>
  <c r="AC14" i="2"/>
  <c r="Y14" i="2"/>
  <c r="Z14" i="2" s="1"/>
  <c r="U14" i="2"/>
  <c r="T14" i="2"/>
  <c r="V14" i="2" s="1"/>
  <c r="S14" i="2"/>
  <c r="R14" i="2"/>
  <c r="O14" i="2"/>
  <c r="N14" i="2"/>
  <c r="AJ13" i="2"/>
  <c r="AI13" i="2"/>
  <c r="AH13" i="2"/>
  <c r="AG13" i="2"/>
  <c r="AD13" i="2"/>
  <c r="AC13" i="2"/>
  <c r="Y13" i="2"/>
  <c r="Z13" i="2" s="1"/>
  <c r="U13" i="2"/>
  <c r="T13" i="2"/>
  <c r="V13" i="2" s="1"/>
  <c r="S13" i="2"/>
  <c r="R13" i="2"/>
  <c r="O13" i="2"/>
  <c r="N13" i="2"/>
  <c r="AJ12" i="2"/>
  <c r="AI12" i="2"/>
  <c r="AH12" i="2"/>
  <c r="AG12" i="2"/>
  <c r="AD12" i="2"/>
  <c r="AC12" i="2"/>
  <c r="Y12" i="2"/>
  <c r="Z12" i="2" s="1"/>
  <c r="U12" i="2"/>
  <c r="T12" i="2"/>
  <c r="V12" i="2" s="1"/>
  <c r="S12" i="2"/>
  <c r="R12" i="2"/>
  <c r="O12" i="2"/>
  <c r="N12" i="2"/>
  <c r="AJ11" i="2"/>
  <c r="AI11" i="2"/>
  <c r="AH11" i="2"/>
  <c r="AG11" i="2"/>
  <c r="AD11" i="2"/>
  <c r="AC11" i="2"/>
  <c r="Y11" i="2"/>
  <c r="Z11" i="2" s="1"/>
  <c r="U11" i="2"/>
  <c r="T11" i="2"/>
  <c r="V11" i="2" s="1"/>
  <c r="S11" i="2"/>
  <c r="R11" i="2"/>
  <c r="O11" i="2"/>
  <c r="N11" i="2"/>
  <c r="AJ10" i="2"/>
  <c r="AI10" i="2"/>
  <c r="AH10" i="2"/>
  <c r="AG10" i="2"/>
  <c r="AD10" i="2"/>
  <c r="AC10" i="2"/>
  <c r="Y10" i="2"/>
  <c r="Z10" i="2" s="1"/>
  <c r="V10" i="2"/>
  <c r="U10" i="2"/>
  <c r="T10" i="2"/>
  <c r="S10" i="2"/>
  <c r="R10" i="2"/>
  <c r="O10" i="2"/>
  <c r="N10" i="2"/>
  <c r="AJ9" i="2"/>
  <c r="AI9" i="2"/>
  <c r="AH9" i="2"/>
  <c r="AG9" i="2"/>
  <c r="AD9" i="2"/>
  <c r="AC9" i="2"/>
  <c r="Y9" i="2"/>
  <c r="Z9" i="2" s="1"/>
  <c r="U9" i="2"/>
  <c r="T9" i="2"/>
  <c r="V9" i="2" s="1"/>
  <c r="S9" i="2"/>
  <c r="R9" i="2"/>
  <c r="O9" i="2"/>
  <c r="N9" i="2"/>
  <c r="AJ8" i="2"/>
  <c r="AI8" i="2"/>
  <c r="AH8" i="2"/>
  <c r="AG8" i="2"/>
  <c r="AD8" i="2"/>
  <c r="AC8" i="2"/>
  <c r="Y8" i="2"/>
  <c r="Z8" i="2" s="1"/>
  <c r="U8" i="2"/>
  <c r="T8" i="2"/>
  <c r="V8" i="2" s="1"/>
  <c r="S8" i="2"/>
  <c r="R8" i="2"/>
  <c r="O8" i="2"/>
  <c r="N8" i="2"/>
  <c r="AJ7" i="2"/>
  <c r="AI7" i="2"/>
  <c r="AH7" i="2"/>
  <c r="AG7" i="2"/>
  <c r="AD7" i="2"/>
  <c r="AC7" i="2"/>
  <c r="Y7" i="2"/>
  <c r="Z7" i="2" s="1"/>
  <c r="U7" i="2"/>
  <c r="T7" i="2"/>
  <c r="V7" i="2" s="1"/>
  <c r="S7" i="2"/>
  <c r="R7" i="2"/>
  <c r="O7" i="2"/>
  <c r="N7" i="2"/>
  <c r="AJ6" i="2"/>
  <c r="AI6" i="2"/>
  <c r="AH6" i="2"/>
  <c r="AG6" i="2"/>
  <c r="AD6" i="2"/>
  <c r="AC6" i="2"/>
  <c r="Y6" i="2"/>
  <c r="Z6" i="2" s="1"/>
  <c r="U6" i="2"/>
  <c r="T6" i="2"/>
  <c r="V6" i="2" s="1"/>
  <c r="S6" i="2"/>
  <c r="R6" i="2"/>
  <c r="O6" i="2"/>
  <c r="N6" i="2"/>
  <c r="AE97" i="1" l="1"/>
  <c r="AD97" i="1"/>
  <c r="AC97" i="1"/>
  <c r="AB97" i="1"/>
  <c r="Y97" i="1"/>
  <c r="X97" i="1"/>
  <c r="R97" i="1"/>
  <c r="Q97" i="1"/>
  <c r="P97" i="1"/>
  <c r="O97" i="1"/>
  <c r="L97" i="1"/>
  <c r="K97" i="1"/>
  <c r="AE96" i="1"/>
  <c r="AD96" i="1"/>
  <c r="AC96" i="1"/>
  <c r="AB96" i="1"/>
  <c r="Y96" i="1"/>
  <c r="X96" i="1"/>
  <c r="R96" i="1"/>
  <c r="Q96" i="1"/>
  <c r="P96" i="1"/>
  <c r="O96" i="1"/>
  <c r="L96" i="1"/>
  <c r="K96" i="1"/>
  <c r="AE95" i="1"/>
  <c r="AD95" i="1"/>
  <c r="AC95" i="1"/>
  <c r="AB95" i="1"/>
  <c r="Y95" i="1"/>
  <c r="X95" i="1"/>
  <c r="R95" i="1"/>
  <c r="Q95" i="1"/>
  <c r="P95" i="1"/>
  <c r="O95" i="1"/>
  <c r="L95" i="1"/>
  <c r="K95" i="1"/>
  <c r="AE94" i="1"/>
  <c r="AD94" i="1"/>
  <c r="AC94" i="1"/>
  <c r="AB94" i="1"/>
  <c r="Y94" i="1"/>
  <c r="X94" i="1"/>
  <c r="R94" i="1"/>
  <c r="Q94" i="1"/>
  <c r="P94" i="1"/>
  <c r="O94" i="1"/>
  <c r="L94" i="1"/>
  <c r="K94" i="1"/>
  <c r="AE93" i="1"/>
  <c r="AD93" i="1"/>
  <c r="AC93" i="1"/>
  <c r="AB93" i="1"/>
  <c r="Y93" i="1"/>
  <c r="X93" i="1"/>
  <c r="R93" i="1"/>
  <c r="Q93" i="1"/>
  <c r="P93" i="1"/>
  <c r="O93" i="1"/>
  <c r="L93" i="1"/>
  <c r="K93" i="1"/>
  <c r="AE92" i="1"/>
  <c r="AD92" i="1"/>
  <c r="AC92" i="1"/>
  <c r="AB92" i="1"/>
  <c r="Y92" i="1"/>
  <c r="X92" i="1"/>
  <c r="R92" i="1"/>
  <c r="Q92" i="1"/>
  <c r="P92" i="1"/>
  <c r="O92" i="1"/>
  <c r="L92" i="1"/>
  <c r="K92" i="1"/>
  <c r="AE90" i="1"/>
  <c r="AD90" i="1"/>
  <c r="AC90" i="1"/>
  <c r="AB90" i="1"/>
  <c r="Y90" i="1"/>
  <c r="X90" i="1"/>
  <c r="U90" i="1"/>
  <c r="R90" i="1"/>
  <c r="Q90" i="1"/>
  <c r="P90" i="1"/>
  <c r="O90" i="1"/>
  <c r="L90" i="1"/>
  <c r="K90" i="1"/>
  <c r="AE89" i="1"/>
  <c r="AD89" i="1"/>
  <c r="AC89" i="1"/>
  <c r="AB89" i="1"/>
  <c r="Y89" i="1"/>
  <c r="X89" i="1"/>
  <c r="U89" i="1"/>
  <c r="R89" i="1"/>
  <c r="Q89" i="1"/>
  <c r="P89" i="1"/>
  <c r="O89" i="1"/>
  <c r="L89" i="1"/>
  <c r="K89" i="1"/>
  <c r="AE88" i="1"/>
  <c r="AD88" i="1"/>
  <c r="AC88" i="1"/>
  <c r="AB88" i="1"/>
  <c r="Y88" i="1"/>
  <c r="X88" i="1"/>
  <c r="U88" i="1"/>
  <c r="R88" i="1"/>
  <c r="Q88" i="1"/>
  <c r="P88" i="1"/>
  <c r="O88" i="1"/>
  <c r="L88" i="1"/>
  <c r="K88" i="1"/>
  <c r="AE87" i="1"/>
  <c r="AD87" i="1"/>
  <c r="AC87" i="1"/>
  <c r="AB87" i="1"/>
  <c r="Y87" i="1"/>
  <c r="X87" i="1"/>
  <c r="U87" i="1"/>
  <c r="R87" i="1"/>
  <c r="Q87" i="1"/>
  <c r="P87" i="1"/>
  <c r="O87" i="1"/>
  <c r="L87" i="1"/>
  <c r="K87" i="1"/>
  <c r="AE86" i="1"/>
  <c r="AD86" i="1"/>
  <c r="AC86" i="1"/>
  <c r="AB86" i="1"/>
  <c r="Y86" i="1"/>
  <c r="X86" i="1"/>
  <c r="U86" i="1"/>
  <c r="R86" i="1"/>
  <c r="Q86" i="1"/>
  <c r="P86" i="1"/>
  <c r="O86" i="1"/>
  <c r="L86" i="1"/>
  <c r="K86" i="1"/>
  <c r="AE85" i="1"/>
  <c r="AD85" i="1"/>
  <c r="AC85" i="1"/>
  <c r="AB85" i="1"/>
  <c r="Y85" i="1"/>
  <c r="X85" i="1"/>
  <c r="U85" i="1"/>
  <c r="R85" i="1"/>
  <c r="Q85" i="1"/>
  <c r="P85" i="1"/>
  <c r="O85" i="1"/>
  <c r="L85" i="1"/>
  <c r="K85" i="1"/>
  <c r="AE84" i="1"/>
  <c r="AD84" i="1"/>
  <c r="AC84" i="1"/>
  <c r="AB84" i="1"/>
  <c r="Y84" i="1"/>
  <c r="X84" i="1"/>
  <c r="U84" i="1"/>
  <c r="R84" i="1"/>
  <c r="Q84" i="1"/>
  <c r="P84" i="1"/>
  <c r="O84" i="1"/>
  <c r="L84" i="1"/>
  <c r="K84" i="1"/>
  <c r="AE83" i="1"/>
  <c r="AD83" i="1"/>
  <c r="AC83" i="1"/>
  <c r="AB83" i="1"/>
  <c r="Y83" i="1"/>
  <c r="X83" i="1"/>
  <c r="U83" i="1"/>
  <c r="R83" i="1"/>
  <c r="Q83" i="1"/>
  <c r="P83" i="1"/>
  <c r="O83" i="1"/>
  <c r="L83" i="1"/>
  <c r="K83" i="1"/>
  <c r="AE82" i="1"/>
  <c r="AD82" i="1"/>
  <c r="AC82" i="1"/>
  <c r="AB82" i="1"/>
  <c r="Y82" i="1"/>
  <c r="X82" i="1"/>
  <c r="U82" i="1"/>
  <c r="R82" i="1"/>
  <c r="Q82" i="1"/>
  <c r="P82" i="1"/>
  <c r="O82" i="1"/>
  <c r="L82" i="1"/>
  <c r="K82" i="1"/>
  <c r="AE81" i="1"/>
  <c r="AD81" i="1"/>
  <c r="AC81" i="1"/>
  <c r="AB81" i="1"/>
  <c r="Y81" i="1"/>
  <c r="X81" i="1"/>
  <c r="U81" i="1"/>
  <c r="R81" i="1"/>
  <c r="Q81" i="1"/>
  <c r="P81" i="1"/>
  <c r="O81" i="1"/>
  <c r="L81" i="1"/>
  <c r="K81" i="1"/>
  <c r="AE80" i="1"/>
  <c r="AD80" i="1"/>
  <c r="AC80" i="1"/>
  <c r="AB80" i="1"/>
  <c r="Y80" i="1"/>
  <c r="X80" i="1"/>
  <c r="U80" i="1"/>
  <c r="R80" i="1"/>
  <c r="Q80" i="1"/>
  <c r="P80" i="1"/>
  <c r="O80" i="1"/>
  <c r="L80" i="1"/>
  <c r="K80" i="1"/>
  <c r="AE79" i="1"/>
  <c r="AD79" i="1"/>
  <c r="AC79" i="1"/>
  <c r="AB79" i="1"/>
  <c r="Y79" i="1"/>
  <c r="X79" i="1"/>
  <c r="U79" i="1"/>
  <c r="R79" i="1"/>
  <c r="Q79" i="1"/>
  <c r="P79" i="1"/>
  <c r="O79" i="1"/>
  <c r="L79" i="1"/>
  <c r="K79" i="1"/>
  <c r="AE78" i="1"/>
  <c r="AD78" i="1"/>
  <c r="AC78" i="1"/>
  <c r="AB78" i="1"/>
  <c r="Y78" i="1"/>
  <c r="X78" i="1"/>
  <c r="U78" i="1"/>
  <c r="R78" i="1"/>
  <c r="Q78" i="1"/>
  <c r="P78" i="1"/>
  <c r="O78" i="1"/>
  <c r="L78" i="1"/>
  <c r="K78" i="1"/>
  <c r="AE77" i="1"/>
  <c r="AD77" i="1"/>
  <c r="AC77" i="1"/>
  <c r="AB77" i="1"/>
  <c r="Y77" i="1"/>
  <c r="X77" i="1"/>
  <c r="U77" i="1"/>
  <c r="R77" i="1"/>
  <c r="Q77" i="1"/>
  <c r="P77" i="1"/>
  <c r="O77" i="1"/>
  <c r="L77" i="1"/>
  <c r="K77" i="1"/>
  <c r="AE76" i="1"/>
  <c r="AD76" i="1"/>
  <c r="AC76" i="1"/>
  <c r="AB76" i="1"/>
  <c r="Y76" i="1"/>
  <c r="X76" i="1"/>
  <c r="U76" i="1"/>
  <c r="R76" i="1"/>
  <c r="Q76" i="1"/>
  <c r="P76" i="1"/>
  <c r="O76" i="1"/>
  <c r="L76" i="1"/>
  <c r="K76" i="1"/>
  <c r="AE74" i="1"/>
  <c r="AD74" i="1"/>
  <c r="AC74" i="1"/>
  <c r="AB74" i="1"/>
  <c r="Y74" i="1"/>
  <c r="X74" i="1"/>
  <c r="U74" i="1"/>
  <c r="R74" i="1"/>
  <c r="Q74" i="1"/>
  <c r="P74" i="1"/>
  <c r="O74" i="1"/>
  <c r="L74" i="1"/>
  <c r="K74" i="1"/>
  <c r="AE73" i="1"/>
  <c r="AD73" i="1"/>
  <c r="AC73" i="1"/>
  <c r="AB73" i="1"/>
  <c r="Y73" i="1"/>
  <c r="X73" i="1"/>
  <c r="U73" i="1"/>
  <c r="R73" i="1"/>
  <c r="Q73" i="1"/>
  <c r="P73" i="1"/>
  <c r="O73" i="1"/>
  <c r="L73" i="1"/>
  <c r="K73" i="1"/>
  <c r="AE72" i="1"/>
  <c r="AD72" i="1"/>
  <c r="AC72" i="1"/>
  <c r="AB72" i="1"/>
  <c r="Y72" i="1"/>
  <c r="X72" i="1"/>
  <c r="U72" i="1"/>
  <c r="R72" i="1"/>
  <c r="Q72" i="1"/>
  <c r="P72" i="1"/>
  <c r="O72" i="1"/>
  <c r="L72" i="1"/>
  <c r="K72" i="1"/>
  <c r="AE71" i="1"/>
  <c r="AD71" i="1"/>
  <c r="AC71" i="1"/>
  <c r="AB71" i="1"/>
  <c r="Y71" i="1"/>
  <c r="X71" i="1"/>
  <c r="U71" i="1"/>
  <c r="R71" i="1"/>
  <c r="Q71" i="1"/>
  <c r="P71" i="1"/>
  <c r="O71" i="1"/>
  <c r="L71" i="1"/>
  <c r="K71" i="1"/>
  <c r="AE70" i="1"/>
  <c r="AD70" i="1"/>
  <c r="AC70" i="1"/>
  <c r="AB70" i="1"/>
  <c r="Y70" i="1"/>
  <c r="X70" i="1"/>
  <c r="U70" i="1"/>
  <c r="R70" i="1"/>
  <c r="Q70" i="1"/>
  <c r="P70" i="1"/>
  <c r="O70" i="1"/>
  <c r="L70" i="1"/>
  <c r="K70" i="1"/>
  <c r="AE69" i="1"/>
  <c r="AD69" i="1"/>
  <c r="AC69" i="1"/>
  <c r="AB69" i="1"/>
  <c r="Y69" i="1"/>
  <c r="X69" i="1"/>
  <c r="U69" i="1"/>
  <c r="R69" i="1"/>
  <c r="Q69" i="1"/>
  <c r="P69" i="1"/>
  <c r="O69" i="1"/>
  <c r="L69" i="1"/>
  <c r="K69" i="1"/>
  <c r="AE68" i="1"/>
  <c r="AD68" i="1"/>
  <c r="AC68" i="1"/>
  <c r="AB68" i="1"/>
  <c r="Y68" i="1"/>
  <c r="X68" i="1"/>
  <c r="U68" i="1"/>
  <c r="R68" i="1"/>
  <c r="Q68" i="1"/>
  <c r="P68" i="1"/>
  <c r="O68" i="1"/>
  <c r="L68" i="1"/>
  <c r="K68" i="1"/>
  <c r="AE67" i="1"/>
  <c r="AD67" i="1"/>
  <c r="AC67" i="1"/>
  <c r="AB67" i="1"/>
  <c r="Y67" i="1"/>
  <c r="X67" i="1"/>
  <c r="U67" i="1"/>
  <c r="R67" i="1"/>
  <c r="Q67" i="1"/>
  <c r="P67" i="1"/>
  <c r="O67" i="1"/>
  <c r="L67" i="1"/>
  <c r="K67" i="1"/>
  <c r="AE66" i="1"/>
  <c r="AD66" i="1"/>
  <c r="AC66" i="1"/>
  <c r="AB66" i="1"/>
  <c r="Y66" i="1"/>
  <c r="X66" i="1"/>
  <c r="U66" i="1"/>
  <c r="R66" i="1"/>
  <c r="Q66" i="1"/>
  <c r="P66" i="1"/>
  <c r="O66" i="1"/>
  <c r="L66" i="1"/>
  <c r="K66" i="1"/>
  <c r="AE65" i="1"/>
  <c r="AD65" i="1"/>
  <c r="AC65" i="1"/>
  <c r="AB65" i="1"/>
  <c r="Y65" i="1"/>
  <c r="X65" i="1"/>
  <c r="U65" i="1"/>
  <c r="R65" i="1"/>
  <c r="Q65" i="1"/>
  <c r="P65" i="1"/>
  <c r="O65" i="1"/>
  <c r="L65" i="1"/>
  <c r="K65" i="1"/>
  <c r="AE64" i="1"/>
  <c r="AD64" i="1"/>
  <c r="AC64" i="1"/>
  <c r="AB64" i="1"/>
  <c r="Y64" i="1"/>
  <c r="X64" i="1"/>
  <c r="U64" i="1"/>
  <c r="R64" i="1"/>
  <c r="Q64" i="1"/>
  <c r="P64" i="1"/>
  <c r="O64" i="1"/>
  <c r="L64" i="1"/>
  <c r="K64" i="1"/>
  <c r="AE63" i="1"/>
  <c r="AD63" i="1"/>
  <c r="AC63" i="1"/>
  <c r="AB63" i="1"/>
  <c r="Y63" i="1"/>
  <c r="X63" i="1"/>
  <c r="U63" i="1"/>
  <c r="R63" i="1"/>
  <c r="Q63" i="1"/>
  <c r="P63" i="1"/>
  <c r="O63" i="1"/>
  <c r="L63" i="1"/>
  <c r="K63" i="1"/>
  <c r="AE62" i="1"/>
  <c r="AD62" i="1"/>
  <c r="AC62" i="1"/>
  <c r="AB62" i="1"/>
  <c r="Y62" i="1"/>
  <c r="X62" i="1"/>
  <c r="U62" i="1"/>
  <c r="R62" i="1"/>
  <c r="Q62" i="1"/>
  <c r="P62" i="1"/>
  <c r="O62" i="1"/>
  <c r="L62" i="1"/>
  <c r="K62" i="1"/>
  <c r="AE61" i="1"/>
  <c r="AD61" i="1"/>
  <c r="AC61" i="1"/>
  <c r="AB61" i="1"/>
  <c r="Y61" i="1"/>
  <c r="X61" i="1"/>
  <c r="U61" i="1"/>
  <c r="R61" i="1"/>
  <c r="Q61" i="1"/>
  <c r="P61" i="1"/>
  <c r="O61" i="1"/>
  <c r="L61" i="1"/>
  <c r="K61" i="1"/>
  <c r="AE60" i="1"/>
  <c r="AD60" i="1"/>
  <c r="AC60" i="1"/>
  <c r="AB60" i="1"/>
  <c r="Y60" i="1"/>
  <c r="X60" i="1"/>
  <c r="U60" i="1"/>
  <c r="R60" i="1"/>
  <c r="Q60" i="1"/>
  <c r="P60" i="1"/>
  <c r="O60" i="1"/>
  <c r="L60" i="1"/>
  <c r="K60" i="1"/>
  <c r="AE59" i="1"/>
  <c r="AD59" i="1"/>
  <c r="AC59" i="1"/>
  <c r="AB59" i="1"/>
  <c r="Y59" i="1"/>
  <c r="X59" i="1"/>
  <c r="U59" i="1"/>
  <c r="R59" i="1"/>
  <c r="Q59" i="1"/>
  <c r="P59" i="1"/>
  <c r="O59" i="1"/>
  <c r="L59" i="1"/>
  <c r="K59" i="1"/>
  <c r="AE58" i="1"/>
  <c r="AD58" i="1"/>
  <c r="AC58" i="1"/>
  <c r="AB58" i="1"/>
  <c r="Y58" i="1"/>
  <c r="X58" i="1"/>
  <c r="U58" i="1"/>
  <c r="R58" i="1"/>
  <c r="Q58" i="1"/>
  <c r="P58" i="1"/>
  <c r="O58" i="1"/>
  <c r="L58" i="1"/>
  <c r="K58" i="1"/>
  <c r="AE57" i="1"/>
  <c r="AD57" i="1"/>
  <c r="AC57" i="1"/>
  <c r="AB57" i="1"/>
  <c r="Y57" i="1"/>
  <c r="X57" i="1"/>
  <c r="U57" i="1"/>
  <c r="R57" i="1"/>
  <c r="Q57" i="1"/>
  <c r="P57" i="1"/>
  <c r="O57" i="1"/>
  <c r="L57" i="1"/>
  <c r="K57" i="1"/>
  <c r="AE56" i="1"/>
  <c r="AD56" i="1"/>
  <c r="AC56" i="1"/>
  <c r="AB56" i="1"/>
  <c r="Y56" i="1"/>
  <c r="X56" i="1"/>
  <c r="U56" i="1"/>
  <c r="R56" i="1"/>
  <c r="Q56" i="1"/>
  <c r="P56" i="1"/>
  <c r="O56" i="1"/>
  <c r="L56" i="1"/>
  <c r="K56" i="1"/>
  <c r="AE55" i="1"/>
  <c r="AD55" i="1"/>
  <c r="AC55" i="1"/>
  <c r="AB55" i="1"/>
  <c r="Y55" i="1"/>
  <c r="X55" i="1"/>
  <c r="U55" i="1"/>
  <c r="R55" i="1"/>
  <c r="Q55" i="1"/>
  <c r="P55" i="1"/>
  <c r="O55" i="1"/>
  <c r="L55" i="1"/>
  <c r="K55" i="1"/>
  <c r="AE54" i="1"/>
  <c r="AD54" i="1"/>
  <c r="AC54" i="1"/>
  <c r="AB54" i="1"/>
  <c r="Y54" i="1"/>
  <c r="X54" i="1"/>
  <c r="U54" i="1"/>
  <c r="R54" i="1"/>
  <c r="Q54" i="1"/>
  <c r="P54" i="1"/>
  <c r="O54" i="1"/>
  <c r="L54" i="1"/>
  <c r="K54" i="1"/>
  <c r="AE53" i="1"/>
  <c r="AD53" i="1"/>
  <c r="AC53" i="1"/>
  <c r="AB53" i="1"/>
  <c r="Y53" i="1"/>
  <c r="X53" i="1"/>
  <c r="U53" i="1"/>
  <c r="R53" i="1"/>
  <c r="Q53" i="1"/>
  <c r="P53" i="1"/>
  <c r="O53" i="1"/>
  <c r="L53" i="1"/>
  <c r="K53" i="1"/>
  <c r="AE52" i="1"/>
  <c r="AD52" i="1"/>
  <c r="AC52" i="1"/>
  <c r="AB52" i="1"/>
  <c r="Y52" i="1"/>
  <c r="X52" i="1"/>
  <c r="U52" i="1"/>
  <c r="R52" i="1"/>
  <c r="Q52" i="1"/>
  <c r="P52" i="1"/>
  <c r="O52" i="1"/>
  <c r="L52" i="1"/>
  <c r="K52" i="1"/>
  <c r="AE51" i="1"/>
  <c r="AD51" i="1"/>
  <c r="AC51" i="1"/>
  <c r="AB51" i="1"/>
  <c r="Y51" i="1"/>
  <c r="X51" i="1"/>
  <c r="U51" i="1"/>
  <c r="R51" i="1"/>
  <c r="Q51" i="1"/>
  <c r="P51" i="1"/>
  <c r="O51" i="1"/>
  <c r="L51" i="1"/>
  <c r="K51" i="1"/>
  <c r="AE50" i="1"/>
  <c r="AD50" i="1"/>
  <c r="AC50" i="1"/>
  <c r="AB50" i="1"/>
  <c r="Y50" i="1"/>
  <c r="X50" i="1"/>
  <c r="U50" i="1"/>
  <c r="R50" i="1"/>
  <c r="Q50" i="1"/>
  <c r="P50" i="1"/>
  <c r="O50" i="1"/>
  <c r="L50" i="1"/>
  <c r="K50" i="1"/>
  <c r="AE49" i="1"/>
  <c r="AD49" i="1"/>
  <c r="AC49" i="1"/>
  <c r="AB49" i="1"/>
  <c r="Y49" i="1"/>
  <c r="X49" i="1"/>
  <c r="U49" i="1"/>
  <c r="R49" i="1"/>
  <c r="Q49" i="1"/>
  <c r="P49" i="1"/>
  <c r="O49" i="1"/>
  <c r="L49" i="1"/>
  <c r="K49" i="1"/>
  <c r="AE48" i="1"/>
  <c r="AD48" i="1"/>
  <c r="AC48" i="1"/>
  <c r="AB48" i="1"/>
  <c r="Y48" i="1"/>
  <c r="X48" i="1"/>
  <c r="U48" i="1"/>
  <c r="R48" i="1"/>
  <c r="Q48" i="1"/>
  <c r="P48" i="1"/>
  <c r="O48" i="1"/>
  <c r="L48" i="1"/>
  <c r="K48" i="1"/>
  <c r="AE47" i="1"/>
  <c r="AD47" i="1"/>
  <c r="AC47" i="1"/>
  <c r="AB47" i="1"/>
  <c r="Y47" i="1"/>
  <c r="X47" i="1"/>
  <c r="U47" i="1"/>
  <c r="R47" i="1"/>
  <c r="Q47" i="1"/>
  <c r="P47" i="1"/>
  <c r="O47" i="1"/>
  <c r="L47" i="1"/>
  <c r="K47" i="1"/>
  <c r="AE46" i="1"/>
  <c r="AD46" i="1"/>
  <c r="AC46" i="1"/>
  <c r="AB46" i="1"/>
  <c r="Y46" i="1"/>
  <c r="X46" i="1"/>
  <c r="U46" i="1"/>
  <c r="R46" i="1"/>
  <c r="Q46" i="1"/>
  <c r="P46" i="1"/>
  <c r="O46" i="1"/>
  <c r="L46" i="1"/>
  <c r="K46" i="1"/>
  <c r="AE45" i="1"/>
  <c r="AD45" i="1"/>
  <c r="AC45" i="1"/>
  <c r="AB45" i="1"/>
  <c r="Y45" i="1"/>
  <c r="X45" i="1"/>
  <c r="U45" i="1"/>
  <c r="R45" i="1"/>
  <c r="Q45" i="1"/>
  <c r="P45" i="1"/>
  <c r="O45" i="1"/>
  <c r="L45" i="1"/>
  <c r="K45" i="1"/>
  <c r="AE44" i="1"/>
  <c r="AD44" i="1"/>
  <c r="AC44" i="1"/>
  <c r="AB44" i="1"/>
  <c r="Y44" i="1"/>
  <c r="X44" i="1"/>
  <c r="U44" i="1"/>
  <c r="R44" i="1"/>
  <c r="Q44" i="1"/>
  <c r="P44" i="1"/>
  <c r="O44" i="1"/>
  <c r="L44" i="1"/>
  <c r="K44" i="1"/>
  <c r="AE43" i="1"/>
  <c r="AD43" i="1"/>
  <c r="AC43" i="1"/>
  <c r="AB43" i="1"/>
  <c r="Y43" i="1"/>
  <c r="X43" i="1"/>
  <c r="U43" i="1"/>
  <c r="R43" i="1"/>
  <c r="Q43" i="1"/>
  <c r="P43" i="1"/>
  <c r="O43" i="1"/>
  <c r="L43" i="1"/>
  <c r="K43" i="1"/>
  <c r="AE42" i="1"/>
  <c r="AD42" i="1"/>
  <c r="AC42" i="1"/>
  <c r="AB42" i="1"/>
  <c r="Y42" i="1"/>
  <c r="X42" i="1"/>
  <c r="U42" i="1"/>
  <c r="R42" i="1"/>
  <c r="Q42" i="1"/>
  <c r="P42" i="1"/>
  <c r="O42" i="1"/>
  <c r="L42" i="1"/>
  <c r="K42" i="1"/>
  <c r="AE41" i="1"/>
  <c r="AD41" i="1"/>
  <c r="AC41" i="1"/>
  <c r="AB41" i="1"/>
  <c r="Y41" i="1"/>
  <c r="X41" i="1"/>
  <c r="U41" i="1"/>
  <c r="R41" i="1"/>
  <c r="Q41" i="1"/>
  <c r="P41" i="1"/>
  <c r="O41" i="1"/>
  <c r="L41" i="1"/>
  <c r="K41" i="1"/>
  <c r="AE40" i="1"/>
  <c r="AD40" i="1"/>
  <c r="AC40" i="1"/>
  <c r="AB40" i="1"/>
  <c r="Y40" i="1"/>
  <c r="X40" i="1"/>
  <c r="U40" i="1"/>
  <c r="R40" i="1"/>
  <c r="Q40" i="1"/>
  <c r="P40" i="1"/>
  <c r="O40" i="1"/>
  <c r="L40" i="1"/>
  <c r="K40" i="1"/>
  <c r="AE38" i="1"/>
  <c r="AD38" i="1"/>
  <c r="AC38" i="1"/>
  <c r="AB38" i="1"/>
  <c r="Y38" i="1"/>
  <c r="X38" i="1"/>
  <c r="U38" i="1"/>
  <c r="R38" i="1"/>
  <c r="Q38" i="1"/>
  <c r="P38" i="1"/>
  <c r="O38" i="1"/>
  <c r="L38" i="1"/>
  <c r="K38" i="1"/>
  <c r="AE37" i="1"/>
  <c r="AD37" i="1"/>
  <c r="AC37" i="1"/>
  <c r="AB37" i="1"/>
  <c r="Y37" i="1"/>
  <c r="X37" i="1"/>
  <c r="U37" i="1"/>
  <c r="R37" i="1"/>
  <c r="Q37" i="1"/>
  <c r="P37" i="1"/>
  <c r="O37" i="1"/>
  <c r="L37" i="1"/>
  <c r="K37" i="1"/>
  <c r="AE36" i="1"/>
  <c r="AD36" i="1"/>
  <c r="AC36" i="1"/>
  <c r="AB36" i="1"/>
  <c r="Y36" i="1"/>
  <c r="X36" i="1"/>
  <c r="U36" i="1"/>
  <c r="R36" i="1"/>
  <c r="Q36" i="1"/>
  <c r="P36" i="1"/>
  <c r="O36" i="1"/>
  <c r="L36" i="1"/>
  <c r="K36" i="1"/>
  <c r="AE35" i="1"/>
  <c r="AD35" i="1"/>
  <c r="AC35" i="1"/>
  <c r="AB35" i="1"/>
  <c r="Y35" i="1"/>
  <c r="X35" i="1"/>
  <c r="U35" i="1"/>
  <c r="R35" i="1"/>
  <c r="Q35" i="1"/>
  <c r="P35" i="1"/>
  <c r="O35" i="1"/>
  <c r="L35" i="1"/>
  <c r="K35" i="1"/>
  <c r="AE34" i="1"/>
  <c r="AD34" i="1"/>
  <c r="AC34" i="1"/>
  <c r="AB34" i="1"/>
  <c r="Y34" i="1"/>
  <c r="X34" i="1"/>
  <c r="U34" i="1"/>
  <c r="R34" i="1"/>
  <c r="Q34" i="1"/>
  <c r="P34" i="1"/>
  <c r="O34" i="1"/>
  <c r="L34" i="1"/>
  <c r="K34" i="1"/>
  <c r="AE33" i="1"/>
  <c r="AD33" i="1"/>
  <c r="AC33" i="1"/>
  <c r="AB33" i="1"/>
  <c r="Y33" i="1"/>
  <c r="X33" i="1"/>
  <c r="U33" i="1"/>
  <c r="R33" i="1"/>
  <c r="Q33" i="1"/>
  <c r="P33" i="1"/>
  <c r="O33" i="1"/>
  <c r="L33" i="1"/>
  <c r="K33" i="1"/>
  <c r="AE32" i="1"/>
  <c r="AD32" i="1"/>
  <c r="AC32" i="1"/>
  <c r="AB32" i="1"/>
  <c r="Y32" i="1"/>
  <c r="X32" i="1"/>
  <c r="U32" i="1"/>
  <c r="R32" i="1"/>
  <c r="Q32" i="1"/>
  <c r="P32" i="1"/>
  <c r="O32" i="1"/>
  <c r="L32" i="1"/>
  <c r="K32" i="1"/>
  <c r="AE31" i="1"/>
  <c r="AD31" i="1"/>
  <c r="AC31" i="1"/>
  <c r="AB31" i="1"/>
  <c r="Y31" i="1"/>
  <c r="X31" i="1"/>
  <c r="U31" i="1"/>
  <c r="R31" i="1"/>
  <c r="Q31" i="1"/>
  <c r="P31" i="1"/>
  <c r="O31" i="1"/>
  <c r="L31" i="1"/>
  <c r="K31" i="1"/>
  <c r="AE30" i="1"/>
  <c r="AD30" i="1"/>
  <c r="AC30" i="1"/>
  <c r="AB30" i="1"/>
  <c r="Y30" i="1"/>
  <c r="X30" i="1"/>
  <c r="U30" i="1"/>
  <c r="R30" i="1"/>
  <c r="Q30" i="1"/>
  <c r="P30" i="1"/>
  <c r="O30" i="1"/>
  <c r="L30" i="1"/>
  <c r="K30" i="1"/>
  <c r="AE29" i="1"/>
  <c r="AD29" i="1"/>
  <c r="AC29" i="1"/>
  <c r="AB29" i="1"/>
  <c r="Y29" i="1"/>
  <c r="X29" i="1"/>
  <c r="U29" i="1"/>
  <c r="R29" i="1"/>
  <c r="Q29" i="1"/>
  <c r="P29" i="1"/>
  <c r="O29" i="1"/>
  <c r="L29" i="1"/>
  <c r="K29" i="1"/>
  <c r="AE28" i="1"/>
  <c r="AD28" i="1"/>
  <c r="AC28" i="1"/>
  <c r="AB28" i="1"/>
  <c r="Y28" i="1"/>
  <c r="X28" i="1"/>
  <c r="U28" i="1"/>
  <c r="R28" i="1"/>
  <c r="Q28" i="1"/>
  <c r="P28" i="1"/>
  <c r="O28" i="1"/>
  <c r="L28" i="1"/>
  <c r="K28" i="1"/>
  <c r="AE27" i="1"/>
  <c r="AD27" i="1"/>
  <c r="AC27" i="1"/>
  <c r="AB27" i="1"/>
  <c r="Y27" i="1"/>
  <c r="X27" i="1"/>
  <c r="U27" i="1"/>
  <c r="R27" i="1"/>
  <c r="Q27" i="1"/>
  <c r="P27" i="1"/>
  <c r="O27" i="1"/>
  <c r="L27" i="1"/>
  <c r="K27" i="1"/>
  <c r="AE26" i="1"/>
  <c r="AD26" i="1"/>
  <c r="AC26" i="1"/>
  <c r="AB26" i="1"/>
  <c r="Y26" i="1"/>
  <c r="X26" i="1"/>
  <c r="U26" i="1"/>
  <c r="R26" i="1"/>
  <c r="Q26" i="1"/>
  <c r="P26" i="1"/>
  <c r="O26" i="1"/>
  <c r="L26" i="1"/>
  <c r="K26" i="1"/>
  <c r="AE25" i="1"/>
  <c r="AD25" i="1"/>
  <c r="AC25" i="1"/>
  <c r="AB25" i="1"/>
  <c r="Y25" i="1"/>
  <c r="X25" i="1"/>
  <c r="U25" i="1"/>
  <c r="R25" i="1"/>
  <c r="Q25" i="1"/>
  <c r="P25" i="1"/>
  <c r="O25" i="1"/>
  <c r="L25" i="1"/>
  <c r="K25" i="1"/>
  <c r="AE24" i="1"/>
  <c r="AD24" i="1"/>
  <c r="AC24" i="1"/>
  <c r="AB24" i="1"/>
  <c r="Y24" i="1"/>
  <c r="X24" i="1"/>
  <c r="U24" i="1"/>
  <c r="R24" i="1"/>
  <c r="Q24" i="1"/>
  <c r="P24" i="1"/>
  <c r="O24" i="1"/>
  <c r="L24" i="1"/>
  <c r="K24" i="1"/>
  <c r="AE23" i="1"/>
  <c r="AD23" i="1"/>
  <c r="AC23" i="1"/>
  <c r="AB23" i="1"/>
  <c r="Y23" i="1"/>
  <c r="X23" i="1"/>
  <c r="U23" i="1"/>
  <c r="R23" i="1"/>
  <c r="Q23" i="1"/>
  <c r="P23" i="1"/>
  <c r="O23" i="1"/>
  <c r="L23" i="1"/>
  <c r="K23" i="1"/>
  <c r="AE22" i="1"/>
  <c r="AD22" i="1"/>
  <c r="AC22" i="1"/>
  <c r="AB22" i="1"/>
  <c r="Y22" i="1"/>
  <c r="X22" i="1"/>
  <c r="U22" i="1"/>
  <c r="R22" i="1"/>
  <c r="Q22" i="1"/>
  <c r="P22" i="1"/>
  <c r="O22" i="1"/>
  <c r="L22" i="1"/>
  <c r="K22" i="1"/>
  <c r="AE21" i="1"/>
  <c r="AD21" i="1"/>
  <c r="AC21" i="1"/>
  <c r="AB21" i="1"/>
  <c r="Y21" i="1"/>
  <c r="X21" i="1"/>
  <c r="U21" i="1"/>
  <c r="R21" i="1"/>
  <c r="Q21" i="1"/>
  <c r="P21" i="1"/>
  <c r="O21" i="1"/>
  <c r="L21" i="1"/>
  <c r="K21" i="1"/>
  <c r="AE19" i="1"/>
  <c r="AD19" i="1"/>
  <c r="AC19" i="1"/>
  <c r="AB19" i="1"/>
  <c r="Y19" i="1"/>
  <c r="X19" i="1"/>
  <c r="U19" i="1"/>
  <c r="R19" i="1"/>
  <c r="Q19" i="1"/>
  <c r="P19" i="1"/>
  <c r="O19" i="1"/>
  <c r="L19" i="1"/>
  <c r="K19" i="1"/>
  <c r="AE18" i="1"/>
  <c r="AD18" i="1"/>
  <c r="AC18" i="1"/>
  <c r="AB18" i="1"/>
  <c r="Y18" i="1"/>
  <c r="X18" i="1"/>
  <c r="U18" i="1"/>
  <c r="R18" i="1"/>
  <c r="Q18" i="1"/>
  <c r="P18" i="1"/>
  <c r="O18" i="1"/>
  <c r="L18" i="1"/>
  <c r="K18" i="1"/>
  <c r="AE17" i="1"/>
  <c r="AD17" i="1"/>
  <c r="AC17" i="1"/>
  <c r="AB17" i="1"/>
  <c r="Y17" i="1"/>
  <c r="X17" i="1"/>
  <c r="U17" i="1"/>
  <c r="R17" i="1"/>
  <c r="Q17" i="1"/>
  <c r="P17" i="1"/>
  <c r="O17" i="1"/>
  <c r="L17" i="1"/>
  <c r="K17" i="1"/>
  <c r="AE16" i="1"/>
  <c r="AD16" i="1"/>
  <c r="AC16" i="1"/>
  <c r="AB16" i="1"/>
  <c r="Y16" i="1"/>
  <c r="X16" i="1"/>
  <c r="U16" i="1"/>
  <c r="R16" i="1"/>
  <c r="Q16" i="1"/>
  <c r="P16" i="1"/>
  <c r="O16" i="1"/>
  <c r="L16" i="1"/>
  <c r="K16" i="1"/>
  <c r="AE15" i="1"/>
  <c r="AD15" i="1"/>
  <c r="AC15" i="1"/>
  <c r="AB15" i="1"/>
  <c r="Y15" i="1"/>
  <c r="X15" i="1"/>
  <c r="U15" i="1"/>
  <c r="R15" i="1"/>
  <c r="Q15" i="1"/>
  <c r="P15" i="1"/>
  <c r="O15" i="1"/>
  <c r="L15" i="1"/>
  <c r="K15" i="1"/>
  <c r="AE14" i="1"/>
  <c r="AD14" i="1"/>
  <c r="AC14" i="1"/>
  <c r="AB14" i="1"/>
  <c r="Y14" i="1"/>
  <c r="X14" i="1"/>
  <c r="U14" i="1"/>
  <c r="R14" i="1"/>
  <c r="Q14" i="1"/>
  <c r="P14" i="1"/>
  <c r="O14" i="1"/>
  <c r="L14" i="1"/>
  <c r="K14" i="1"/>
  <c r="AE13" i="1"/>
  <c r="AD13" i="1"/>
  <c r="AC13" i="1"/>
  <c r="AB13" i="1"/>
  <c r="Y13" i="1"/>
  <c r="X13" i="1"/>
  <c r="U13" i="1"/>
  <c r="R13" i="1"/>
  <c r="Q13" i="1"/>
  <c r="P13" i="1"/>
  <c r="O13" i="1"/>
  <c r="L13" i="1"/>
  <c r="K13" i="1"/>
  <c r="AE12" i="1"/>
  <c r="AD12" i="1"/>
  <c r="AC12" i="1"/>
  <c r="AB12" i="1"/>
  <c r="Y12" i="1"/>
  <c r="X12" i="1"/>
  <c r="U12" i="1"/>
  <c r="R12" i="1"/>
  <c r="Q12" i="1"/>
  <c r="P12" i="1"/>
  <c r="O12" i="1"/>
  <c r="L12" i="1"/>
  <c r="K12" i="1"/>
  <c r="AE11" i="1"/>
  <c r="AD11" i="1"/>
  <c r="AC11" i="1"/>
  <c r="AB11" i="1"/>
  <c r="Y11" i="1"/>
  <c r="X11" i="1"/>
  <c r="U11" i="1"/>
  <c r="R11" i="1"/>
  <c r="Q11" i="1"/>
  <c r="P11" i="1"/>
  <c r="O11" i="1"/>
  <c r="L11" i="1"/>
  <c r="K11" i="1"/>
  <c r="AE10" i="1"/>
  <c r="AD10" i="1"/>
  <c r="AC10" i="1"/>
  <c r="AB10" i="1"/>
  <c r="Y10" i="1"/>
  <c r="X10" i="1"/>
  <c r="U10" i="1"/>
  <c r="R10" i="1"/>
  <c r="Q10" i="1"/>
  <c r="P10" i="1"/>
  <c r="O10" i="1"/>
  <c r="L10" i="1"/>
  <c r="K10" i="1"/>
  <c r="AE9" i="1"/>
  <c r="AD9" i="1"/>
  <c r="AC9" i="1"/>
  <c r="AB9" i="1"/>
  <c r="Y9" i="1"/>
  <c r="X9" i="1"/>
  <c r="U9" i="1"/>
  <c r="R9" i="1"/>
  <c r="Q9" i="1"/>
  <c r="P9" i="1"/>
  <c r="O9" i="1"/>
  <c r="L9" i="1"/>
  <c r="K9" i="1"/>
  <c r="AE8" i="1"/>
  <c r="AD8" i="1"/>
  <c r="AC8" i="1"/>
  <c r="AB8" i="1"/>
  <c r="Y8" i="1"/>
  <c r="X8" i="1"/>
  <c r="U8" i="1"/>
  <c r="R8" i="1"/>
  <c r="Q8" i="1"/>
  <c r="P8" i="1"/>
  <c r="O8" i="1"/>
  <c r="L8" i="1"/>
  <c r="K8" i="1"/>
  <c r="AE7" i="1"/>
  <c r="AD7" i="1"/>
  <c r="AC7" i="1"/>
  <c r="AB7" i="1"/>
  <c r="Y7" i="1"/>
  <c r="X7" i="1"/>
  <c r="U7" i="1"/>
  <c r="R7" i="1"/>
  <c r="Q7" i="1"/>
  <c r="P7" i="1"/>
  <c r="O7" i="1"/>
  <c r="L7" i="1"/>
  <c r="K7" i="1"/>
  <c r="AE6" i="1"/>
  <c r="AD6" i="1"/>
  <c r="AC6" i="1"/>
  <c r="AB6" i="1"/>
  <c r="Y6" i="1"/>
  <c r="X6" i="1"/>
  <c r="U6" i="1"/>
  <c r="R6" i="1"/>
  <c r="Q6" i="1"/>
  <c r="P6" i="1"/>
  <c r="O6" i="1"/>
  <c r="L6" i="1"/>
  <c r="K6" i="1"/>
  <c r="AE5" i="1"/>
  <c r="AD5" i="1"/>
  <c r="AC5" i="1"/>
  <c r="AB5" i="1"/>
  <c r="Y5" i="1"/>
  <c r="X5" i="1"/>
  <c r="U5" i="1"/>
  <c r="R5" i="1"/>
  <c r="Q5" i="1"/>
  <c r="P5" i="1"/>
  <c r="O5" i="1"/>
  <c r="L5" i="1"/>
  <c r="K5" i="1"/>
  <c r="AE4" i="1"/>
  <c r="AD4" i="1"/>
  <c r="AC4" i="1"/>
  <c r="AB4" i="1"/>
  <c r="Y4" i="1"/>
  <c r="X4" i="1"/>
  <c r="U4" i="1"/>
  <c r="R4" i="1"/>
  <c r="Q4" i="1"/>
  <c r="P4" i="1"/>
  <c r="O4" i="1"/>
  <c r="L4" i="1"/>
  <c r="K4" i="1"/>
</calcChain>
</file>

<file path=xl/sharedStrings.xml><?xml version="1.0" encoding="utf-8"?>
<sst xmlns="http://schemas.openxmlformats.org/spreadsheetml/2006/main" count="668" uniqueCount="494">
  <si>
    <t>T uncorrected</t>
  </si>
  <si>
    <t>T correction</t>
  </si>
  <si>
    <t>T corrected</t>
  </si>
  <si>
    <t>Matsui</t>
  </si>
  <si>
    <t>Tange Vinet</t>
  </si>
  <si>
    <t>Tange BM3</t>
  </si>
  <si>
    <t>T+</t>
  </si>
  <si>
    <t>T-</t>
  </si>
  <si>
    <t>T (K)</t>
  </si>
  <si>
    <t>Load (MN)</t>
  </si>
  <si>
    <t>P (GPa)</t>
  </si>
  <si>
    <t>σP (GPa)</t>
  </si>
  <si>
    <t>V/V0</t>
  </si>
  <si>
    <t>V/V0-</t>
  </si>
  <si>
    <t>V/V0+</t>
  </si>
  <si>
    <t>P+ (GPa)</t>
  </si>
  <si>
    <t>P- (GPa)</t>
  </si>
  <si>
    <t>AveP (GPa)</t>
  </si>
  <si>
    <t>StdP (GPa)</t>
  </si>
  <si>
    <t>σV/V0</t>
  </si>
  <si>
    <t>M306028</t>
  </si>
  <si>
    <t>M306030</t>
  </si>
  <si>
    <t>M306033</t>
  </si>
  <si>
    <t>M306041</t>
  </si>
  <si>
    <t>M306044</t>
  </si>
  <si>
    <t>M306047</t>
  </si>
  <si>
    <t>M306050</t>
  </si>
  <si>
    <t>M306053</t>
  </si>
  <si>
    <t>M306056</t>
  </si>
  <si>
    <t>M306059</t>
  </si>
  <si>
    <t>M306062</t>
  </si>
  <si>
    <t>M306065</t>
  </si>
  <si>
    <t>M306068</t>
  </si>
  <si>
    <t>M306071</t>
  </si>
  <si>
    <t>M306073</t>
  </si>
  <si>
    <t>M306078</t>
  </si>
  <si>
    <t>M307010</t>
  </si>
  <si>
    <t>M307013</t>
  </si>
  <si>
    <t>M307016</t>
  </si>
  <si>
    <t>M307019</t>
  </si>
  <si>
    <t>M307022</t>
  </si>
  <si>
    <t>M307025</t>
  </si>
  <si>
    <t>M307028</t>
  </si>
  <si>
    <t>M307031</t>
  </si>
  <si>
    <t>M307034</t>
  </si>
  <si>
    <t>M307039</t>
  </si>
  <si>
    <t>M307042</t>
  </si>
  <si>
    <t>M307045</t>
  </si>
  <si>
    <t>M307048</t>
  </si>
  <si>
    <t>M307051</t>
  </si>
  <si>
    <t>M307054</t>
  </si>
  <si>
    <t>M307057</t>
  </si>
  <si>
    <t>M307060</t>
  </si>
  <si>
    <t>M307063</t>
  </si>
  <si>
    <t>M308012</t>
  </si>
  <si>
    <t>M308014</t>
  </si>
  <si>
    <t>M308043</t>
  </si>
  <si>
    <t>M308046</t>
  </si>
  <si>
    <t>M308050</t>
  </si>
  <si>
    <t>M308054</t>
  </si>
  <si>
    <t>M308057</t>
  </si>
  <si>
    <t>M308060</t>
  </si>
  <si>
    <t>M308063</t>
  </si>
  <si>
    <t>M308066</t>
  </si>
  <si>
    <t>M308069</t>
  </si>
  <si>
    <t>M308072</t>
  </si>
  <si>
    <t>M308075</t>
  </si>
  <si>
    <t>M308078</t>
  </si>
  <si>
    <t>M308081</t>
  </si>
  <si>
    <t>M308084</t>
  </si>
  <si>
    <t>M308087</t>
  </si>
  <si>
    <t>M308090</t>
  </si>
  <si>
    <t>M308093</t>
  </si>
  <si>
    <t>M308096</t>
  </si>
  <si>
    <t>M308098</t>
  </si>
  <si>
    <t>M308101</t>
  </si>
  <si>
    <t>M308104</t>
  </si>
  <si>
    <t>M308107</t>
  </si>
  <si>
    <t>M308110</t>
  </si>
  <si>
    <t>M308113</t>
  </si>
  <si>
    <t>M308117</t>
  </si>
  <si>
    <t>M462033</t>
  </si>
  <si>
    <t>M462036</t>
  </si>
  <si>
    <t>M462038</t>
  </si>
  <si>
    <t>M462042</t>
  </si>
  <si>
    <t>M462045</t>
  </si>
  <si>
    <t>M462048</t>
  </si>
  <si>
    <t>M462051</t>
  </si>
  <si>
    <t>M462054</t>
  </si>
  <si>
    <t>M462057</t>
  </si>
  <si>
    <t>M457060</t>
  </si>
  <si>
    <t>M462063</t>
  </si>
  <si>
    <t>M462078</t>
  </si>
  <si>
    <t>M462082</t>
  </si>
  <si>
    <t>M462085</t>
  </si>
  <si>
    <t>M462-R1</t>
  </si>
  <si>
    <t>M463019</t>
  </si>
  <si>
    <t>M463021</t>
  </si>
  <si>
    <t>M462024</t>
  </si>
  <si>
    <t>M462025</t>
  </si>
  <si>
    <t>M462028</t>
  </si>
  <si>
    <t>M463-R1</t>
  </si>
  <si>
    <t>M308017</t>
    <phoneticPr fontId="3"/>
  </si>
  <si>
    <t>M308020</t>
    <phoneticPr fontId="3"/>
  </si>
  <si>
    <t>M308025</t>
    <phoneticPr fontId="3"/>
  </si>
  <si>
    <t>M308028</t>
    <phoneticPr fontId="3"/>
  </si>
  <si>
    <t>M308031</t>
    <phoneticPr fontId="3"/>
  </si>
  <si>
    <t>M308034</t>
    <phoneticPr fontId="3"/>
  </si>
  <si>
    <t>M308037</t>
    <phoneticPr fontId="3"/>
  </si>
  <si>
    <t>M308040</t>
    <phoneticPr fontId="3"/>
  </si>
  <si>
    <t>Ringwoodite</t>
  </si>
  <si>
    <t>MgO</t>
  </si>
  <si>
    <t>Average</t>
  </si>
  <si>
    <t>File</t>
  </si>
  <si>
    <t>Diff-Matsui</t>
  </si>
  <si>
    <t>T-300</t>
  </si>
  <si>
    <t>M038090</t>
  </si>
  <si>
    <t>M038092</t>
  </si>
  <si>
    <t>M038094</t>
  </si>
  <si>
    <t>M038096</t>
  </si>
  <si>
    <t>M038098</t>
  </si>
  <si>
    <t>M038100</t>
  </si>
  <si>
    <t>M038102</t>
  </si>
  <si>
    <t>M038104</t>
  </si>
  <si>
    <t>M038106</t>
  </si>
  <si>
    <t>M038108</t>
  </si>
  <si>
    <t>M038111</t>
  </si>
  <si>
    <t>M038113</t>
  </si>
  <si>
    <t>M038115</t>
  </si>
  <si>
    <t>M038117</t>
  </si>
  <si>
    <t>M038119</t>
  </si>
  <si>
    <t>M038121</t>
  </si>
  <si>
    <t>M038123</t>
  </si>
  <si>
    <t>M038125</t>
  </si>
  <si>
    <t>M038127</t>
  </si>
  <si>
    <t>M038129</t>
  </si>
  <si>
    <t>M038130</t>
  </si>
  <si>
    <t>M038132</t>
  </si>
  <si>
    <t>M038134</t>
  </si>
  <si>
    <t>M038136</t>
  </si>
  <si>
    <t>M038138</t>
  </si>
  <si>
    <t>M038140</t>
  </si>
  <si>
    <t>M038142</t>
  </si>
  <si>
    <t>M038144</t>
  </si>
  <si>
    <t>M038146</t>
  </si>
  <si>
    <t>M038148</t>
  </si>
  <si>
    <t>M038150</t>
  </si>
  <si>
    <t>M038154</t>
  </si>
  <si>
    <t>M038156</t>
  </si>
  <si>
    <t>M087012</t>
  </si>
  <si>
    <t>M087014</t>
  </si>
  <si>
    <t>M087016</t>
  </si>
  <si>
    <t>M087017</t>
  </si>
  <si>
    <t>M087019</t>
  </si>
  <si>
    <t>M087018</t>
  </si>
  <si>
    <t>M087021</t>
  </si>
  <si>
    <t>M087020</t>
  </si>
  <si>
    <t>M087023</t>
  </si>
  <si>
    <t>M087022</t>
  </si>
  <si>
    <t>M087025</t>
  </si>
  <si>
    <t>M087024</t>
  </si>
  <si>
    <t>M087027</t>
  </si>
  <si>
    <t>M087026</t>
  </si>
  <si>
    <t>M087029</t>
  </si>
  <si>
    <t>M087028</t>
  </si>
  <si>
    <t>M087032</t>
  </si>
  <si>
    <t>M087030</t>
  </si>
  <si>
    <t>M087033</t>
  </si>
  <si>
    <t>M087031</t>
  </si>
  <si>
    <t>M087035</t>
  </si>
  <si>
    <t>M087034</t>
  </si>
  <si>
    <t>M087037</t>
  </si>
  <si>
    <t>M087036</t>
  </si>
  <si>
    <t>M087039</t>
  </si>
  <si>
    <t>M087038</t>
  </si>
  <si>
    <t>M087041</t>
  </si>
  <si>
    <t>M087040</t>
  </si>
  <si>
    <t>M087043</t>
  </si>
  <si>
    <t>M087042</t>
  </si>
  <si>
    <t>M087045</t>
  </si>
  <si>
    <t>M087044</t>
  </si>
  <si>
    <t>M087047</t>
  </si>
  <si>
    <t>M087046</t>
  </si>
  <si>
    <t>M087049</t>
  </si>
  <si>
    <t>M087048</t>
  </si>
  <si>
    <t>M087051</t>
  </si>
  <si>
    <t>M087050</t>
  </si>
  <si>
    <t>M087053</t>
  </si>
  <si>
    <t>M087052</t>
  </si>
  <si>
    <t>M087055</t>
  </si>
  <si>
    <t>M087054</t>
  </si>
  <si>
    <t>M087057</t>
  </si>
  <si>
    <t>M087056</t>
  </si>
  <si>
    <t>M087059</t>
  </si>
  <si>
    <t>M087058</t>
  </si>
  <si>
    <t>M087061</t>
  </si>
  <si>
    <t>M087060</t>
  </si>
  <si>
    <t>M087063</t>
  </si>
  <si>
    <t>M087062</t>
  </si>
  <si>
    <t>M087065</t>
  </si>
  <si>
    <t>M087064</t>
  </si>
  <si>
    <t>M087067</t>
  </si>
  <si>
    <t>M087066</t>
  </si>
  <si>
    <t>M087069</t>
  </si>
  <si>
    <t>M087068</t>
  </si>
  <si>
    <t>M087071</t>
  </si>
  <si>
    <t>M087070</t>
  </si>
  <si>
    <t>M087073</t>
  </si>
  <si>
    <t>M087072</t>
  </si>
  <si>
    <t>M087075</t>
  </si>
  <si>
    <t>M087074</t>
  </si>
  <si>
    <t>M087077</t>
  </si>
  <si>
    <t>M087076</t>
  </si>
  <si>
    <t>M087079</t>
  </si>
  <si>
    <t>M087078</t>
  </si>
  <si>
    <t>M087081</t>
  </si>
  <si>
    <t>M087080</t>
  </si>
  <si>
    <t>M087083</t>
  </si>
  <si>
    <t>M087082</t>
  </si>
  <si>
    <t>M087085</t>
  </si>
  <si>
    <t>M087084</t>
  </si>
  <si>
    <t>M087087</t>
  </si>
  <si>
    <t>M087086</t>
  </si>
  <si>
    <t>M087089</t>
  </si>
  <si>
    <t>M087088</t>
  </si>
  <si>
    <t>M087091</t>
  </si>
  <si>
    <t>M087090</t>
  </si>
  <si>
    <t>M087093</t>
  </si>
  <si>
    <t>M087092</t>
  </si>
  <si>
    <t>M087096</t>
  </si>
  <si>
    <t>M087095</t>
  </si>
  <si>
    <t>M087098</t>
  </si>
  <si>
    <t>M087097</t>
  </si>
  <si>
    <t>M087100</t>
  </si>
  <si>
    <t>M087099</t>
  </si>
  <si>
    <t>M087102</t>
  </si>
  <si>
    <t>M087101</t>
  </si>
  <si>
    <t>M087104</t>
  </si>
  <si>
    <t>M087103</t>
  </si>
  <si>
    <t>M087106</t>
  </si>
  <si>
    <t>M087105</t>
  </si>
  <si>
    <t>M087109</t>
  </si>
  <si>
    <t>M087108</t>
  </si>
  <si>
    <t>M087111</t>
  </si>
  <si>
    <t>M087110</t>
  </si>
  <si>
    <t>M087113</t>
  </si>
  <si>
    <t>M087112</t>
  </si>
  <si>
    <t>M087115</t>
  </si>
  <si>
    <t>M087114</t>
  </si>
  <si>
    <t>M087117</t>
  </si>
  <si>
    <t>M087116</t>
  </si>
  <si>
    <t>M087119</t>
  </si>
  <si>
    <t>M087118</t>
  </si>
  <si>
    <t>M087121</t>
  </si>
  <si>
    <t>M087120</t>
  </si>
  <si>
    <t>M087123</t>
  </si>
  <si>
    <t>M087122</t>
  </si>
  <si>
    <t>M087125</t>
  </si>
  <si>
    <t>M087124</t>
  </si>
  <si>
    <t>M087127</t>
  </si>
  <si>
    <t>M087126</t>
  </si>
  <si>
    <t>M087129</t>
  </si>
  <si>
    <t>M087128</t>
  </si>
  <si>
    <t>M087131</t>
  </si>
  <si>
    <t>M087130</t>
  </si>
  <si>
    <t>M087133</t>
  </si>
  <si>
    <t>M087132</t>
  </si>
  <si>
    <t>M087135</t>
  </si>
  <si>
    <t>M087134</t>
  </si>
  <si>
    <t>M087137</t>
  </si>
  <si>
    <t>M087136</t>
  </si>
  <si>
    <t>M087139</t>
  </si>
  <si>
    <t>M087138</t>
  </si>
  <si>
    <t>M087141</t>
  </si>
  <si>
    <t>M087140</t>
  </si>
  <si>
    <t>M087143</t>
  </si>
  <si>
    <t>M087142</t>
  </si>
  <si>
    <t>M087153</t>
  </si>
  <si>
    <t>M087152</t>
  </si>
  <si>
    <t>M087155</t>
  </si>
  <si>
    <t>M087154</t>
  </si>
  <si>
    <t>M087158</t>
  </si>
  <si>
    <t>M087157</t>
  </si>
  <si>
    <t>M087160</t>
  </si>
  <si>
    <t>M087159</t>
  </si>
  <si>
    <t>M087162</t>
  </si>
  <si>
    <t>M087161</t>
  </si>
  <si>
    <t>M087164</t>
  </si>
  <si>
    <t>M087163</t>
  </si>
  <si>
    <t>M087166</t>
  </si>
  <si>
    <t>M087165</t>
  </si>
  <si>
    <t>M087168</t>
  </si>
  <si>
    <t>M087167</t>
  </si>
  <si>
    <t>M087170</t>
  </si>
  <si>
    <t>M087169</t>
  </si>
  <si>
    <t>M087172</t>
  </si>
  <si>
    <t>M087171</t>
  </si>
  <si>
    <t>M087174</t>
  </si>
  <si>
    <t>M087173</t>
  </si>
  <si>
    <t>M087176</t>
  </si>
  <si>
    <t>M087175</t>
  </si>
  <si>
    <t>M087178</t>
  </si>
  <si>
    <t>M087177</t>
  </si>
  <si>
    <t>M087180</t>
  </si>
  <si>
    <t>M087179</t>
  </si>
  <si>
    <t>M087182</t>
  </si>
  <si>
    <t>M087181</t>
  </si>
  <si>
    <t>M087184</t>
  </si>
  <si>
    <t>M087183</t>
  </si>
  <si>
    <t>M087189</t>
  </si>
  <si>
    <t>M087188</t>
  </si>
  <si>
    <t>M087191</t>
  </si>
  <si>
    <t>M087190</t>
  </si>
  <si>
    <t>M087194</t>
  </si>
  <si>
    <t>M087193</t>
  </si>
  <si>
    <t>M087196</t>
  </si>
  <si>
    <t>M087195</t>
  </si>
  <si>
    <t>M092019</t>
  </si>
  <si>
    <t>M092018</t>
  </si>
  <si>
    <t>M092021</t>
  </si>
  <si>
    <t>M092020</t>
  </si>
  <si>
    <t>M092023</t>
  </si>
  <si>
    <t>M092022</t>
  </si>
  <si>
    <t>M092025</t>
  </si>
  <si>
    <t>M092024</t>
  </si>
  <si>
    <t>M092028</t>
  </si>
  <si>
    <t>M092026</t>
  </si>
  <si>
    <t>M092030</t>
  </si>
  <si>
    <t>M092029</t>
  </si>
  <si>
    <t>M092032</t>
  </si>
  <si>
    <t>M092031</t>
  </si>
  <si>
    <t>M092034</t>
  </si>
  <si>
    <t>M092033</t>
  </si>
  <si>
    <t>M092036</t>
  </si>
  <si>
    <t>M092035</t>
  </si>
  <si>
    <t>M092038</t>
  </si>
  <si>
    <t>M092037</t>
  </si>
  <si>
    <t>Bridgmanite</t>
  </si>
  <si>
    <t>MgO volume</t>
  </si>
  <si>
    <t>V (Å^3)</t>
  </si>
  <si>
    <t>σV</t>
  </si>
  <si>
    <t>Tange M1</t>
  </si>
  <si>
    <t>Tange M2</t>
  </si>
  <si>
    <t>Tange M3</t>
  </si>
  <si>
    <t>Tange M4</t>
  </si>
  <si>
    <t>M252031</t>
  </si>
  <si>
    <t>M252029</t>
  </si>
  <si>
    <t>M252027</t>
  </si>
  <si>
    <t>M252034</t>
  </si>
  <si>
    <t>M252025</t>
  </si>
  <si>
    <t>M252023</t>
  </si>
  <si>
    <t>M252036</t>
  </si>
  <si>
    <t>M252038</t>
  </si>
  <si>
    <t>M252040</t>
  </si>
  <si>
    <t>M252042</t>
  </si>
  <si>
    <t>M252044</t>
  </si>
  <si>
    <t>M252046</t>
  </si>
  <si>
    <t>M252048</t>
  </si>
  <si>
    <t>M252050</t>
  </si>
  <si>
    <t>M253054</t>
  </si>
  <si>
    <t>M253052</t>
  </si>
  <si>
    <t>M253050</t>
  </si>
  <si>
    <t>M253032</t>
  </si>
  <si>
    <t>M253013</t>
  </si>
  <si>
    <t>M253034</t>
  </si>
  <si>
    <t>M253015</t>
  </si>
  <si>
    <t>M253036</t>
  </si>
  <si>
    <t>M253017</t>
  </si>
  <si>
    <t>M253038</t>
  </si>
  <si>
    <t>M253019</t>
  </si>
  <si>
    <t>M253040</t>
  </si>
  <si>
    <t>M253021</t>
  </si>
  <si>
    <t>M253042</t>
  </si>
  <si>
    <t>M253023</t>
  </si>
  <si>
    <t>M253044</t>
  </si>
  <si>
    <t>M253025</t>
  </si>
  <si>
    <t>M253046</t>
  </si>
  <si>
    <t>M253027</t>
  </si>
  <si>
    <t>M253031</t>
  </si>
  <si>
    <t>M253048</t>
  </si>
  <si>
    <t>M253029</t>
  </si>
  <si>
    <t>M253059</t>
  </si>
  <si>
    <t>M526017</t>
  </si>
  <si>
    <t>M526020</t>
  </si>
  <si>
    <t>M526021</t>
  </si>
  <si>
    <t>M526024</t>
  </si>
  <si>
    <t>M526025</t>
  </si>
  <si>
    <t>M526028</t>
  </si>
  <si>
    <t>M526029</t>
  </si>
  <si>
    <t>M526032</t>
  </si>
  <si>
    <t>M526033</t>
  </si>
  <si>
    <t>M526045</t>
  </si>
  <si>
    <t>M526046</t>
  </si>
  <si>
    <t>M526047</t>
  </si>
  <si>
    <t>M526048</t>
  </si>
  <si>
    <t>M526049</t>
  </si>
  <si>
    <t>M526050</t>
  </si>
  <si>
    <t>M526051</t>
  </si>
  <si>
    <t>M526052</t>
  </si>
  <si>
    <t>M554011</t>
  </si>
  <si>
    <t>M554012</t>
  </si>
  <si>
    <t>M554013</t>
  </si>
  <si>
    <t>M554014</t>
  </si>
  <si>
    <t>M554015</t>
  </si>
  <si>
    <t>M554016</t>
  </si>
  <si>
    <t>M554017</t>
  </si>
  <si>
    <t>M554018</t>
  </si>
  <si>
    <t>M554019</t>
  </si>
  <si>
    <t>M554021</t>
  </si>
  <si>
    <t>M554022</t>
  </si>
  <si>
    <t>M554023</t>
  </si>
  <si>
    <t>M554024</t>
  </si>
  <si>
    <t>M554025</t>
  </si>
  <si>
    <t>M557019</t>
  </si>
  <si>
    <t>M554020</t>
  </si>
  <si>
    <t>M645023</t>
  </si>
  <si>
    <t>M645024</t>
  </si>
  <si>
    <t>M645025</t>
  </si>
  <si>
    <t>M645026</t>
  </si>
  <si>
    <t>M645027</t>
  </si>
  <si>
    <t>M645028</t>
  </si>
  <si>
    <t>M645029</t>
  </si>
  <si>
    <t>M645030</t>
  </si>
  <si>
    <t>M654032</t>
  </si>
  <si>
    <t>M659028</t>
  </si>
  <si>
    <t>M659029</t>
  </si>
  <si>
    <t>M659030</t>
  </si>
  <si>
    <t>M659031</t>
  </si>
  <si>
    <t>M659032</t>
  </si>
  <si>
    <t>M659033</t>
  </si>
  <si>
    <t>M659034</t>
  </si>
  <si>
    <t>M659035</t>
  </si>
  <si>
    <t>M659036</t>
  </si>
  <si>
    <t>M697010</t>
  </si>
  <si>
    <t>Data Label</t>
    <phoneticPr fontId="1"/>
  </si>
  <si>
    <t>Vinet P+</t>
  </si>
  <si>
    <t>Vinet P</t>
  </si>
  <si>
    <t>Vinet P-</t>
  </si>
  <si>
    <t>σP</t>
  </si>
  <si>
    <t>BM3 P+</t>
  </si>
  <si>
    <t>BM P</t>
  </si>
  <si>
    <t>BM P-</t>
  </si>
  <si>
    <t>M371008</t>
  </si>
  <si>
    <t>M371011</t>
  </si>
  <si>
    <t>M371014</t>
  </si>
  <si>
    <t>M371017</t>
  </si>
  <si>
    <t>M371020</t>
  </si>
  <si>
    <t>M371023</t>
  </si>
  <si>
    <t>M371029</t>
  </si>
  <si>
    <t>M371033</t>
  </si>
  <si>
    <t>M371036</t>
  </si>
  <si>
    <t>M371039</t>
  </si>
  <si>
    <t>M375006</t>
  </si>
  <si>
    <t>M375009</t>
  </si>
  <si>
    <t>M375012</t>
  </si>
  <si>
    <t>M375015</t>
  </si>
  <si>
    <t>M375018</t>
  </si>
  <si>
    <t>M375021</t>
  </si>
  <si>
    <t>M375024</t>
  </si>
  <si>
    <t>M375027</t>
  </si>
  <si>
    <t>M375030</t>
  </si>
  <si>
    <t>M375033</t>
  </si>
  <si>
    <t>M375037</t>
  </si>
  <si>
    <t>M375040</t>
  </si>
  <si>
    <t>M375043</t>
  </si>
  <si>
    <t>M375046</t>
  </si>
  <si>
    <t>M375049</t>
  </si>
  <si>
    <t>M375052</t>
  </si>
  <si>
    <t>M375055</t>
  </si>
  <si>
    <t>M375058</t>
  </si>
  <si>
    <t>M375061</t>
  </si>
  <si>
    <t>M375067</t>
  </si>
  <si>
    <t>M375070</t>
  </si>
  <si>
    <t>M375073</t>
  </si>
  <si>
    <t>M375076</t>
  </si>
  <si>
    <t>M375079</t>
  </si>
  <si>
    <t>M375082</t>
  </si>
  <si>
    <t>M375085</t>
  </si>
  <si>
    <t>M375088</t>
  </si>
  <si>
    <t>M375091</t>
  </si>
  <si>
    <t>M375094</t>
  </si>
  <si>
    <t>M375100</t>
  </si>
  <si>
    <t>M375103</t>
  </si>
  <si>
    <t>M375106</t>
  </si>
  <si>
    <t>M375109</t>
  </si>
  <si>
    <t>M375112</t>
  </si>
  <si>
    <t>M375115</t>
  </si>
  <si>
    <t>M375118</t>
  </si>
  <si>
    <t>M375121</t>
  </si>
  <si>
    <t>M375124</t>
  </si>
  <si>
    <t>M375127</t>
  </si>
  <si>
    <t>M375130</t>
  </si>
  <si>
    <t>M375135</t>
  </si>
  <si>
    <t>T (K)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</si>
</sst>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"/>
    <numFmt numFmtId="177" formatCode="0.00_ "/>
    <numFmt numFmtId="178" formatCode="0.0000"/>
    <numFmt numFmtId="181" formatCode="0.000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scheme val="minor"/>
    </font>
    <font>
      <sz val="6"/>
      <name val="ＭＳ Ｐ明朝"/>
      <family val="1"/>
      <charset val="128"/>
    </font>
    <font>
      <sz val="11"/>
      <name val="Arial Unicode MS"/>
      <family val="3"/>
      <charset val="128"/>
    </font>
    <font>
      <sz val="11"/>
      <name val="游ゴシック"/>
      <family val="3"/>
      <charset val="128"/>
      <scheme val="minor"/>
    </font>
    <font>
      <sz val="11"/>
      <color theme="1" tint="0.249977111117893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6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2" fontId="2" fillId="0" borderId="5" xfId="0" applyNumberFormat="1" applyFont="1" applyFill="1" applyBorder="1" applyAlignment="1">
      <alignment vertical="center"/>
    </xf>
    <xf numFmtId="1" fontId="2" fillId="0" borderId="6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" fontId="2" fillId="0" borderId="8" xfId="0" applyNumberFormat="1" applyFont="1" applyFill="1" applyBorder="1" applyAlignment="1">
      <alignment vertical="center"/>
    </xf>
    <xf numFmtId="2" fontId="2" fillId="0" borderId="6" xfId="0" applyNumberFormat="1" applyFont="1" applyFill="1" applyBorder="1" applyAlignment="1">
      <alignment vertical="center"/>
    </xf>
    <xf numFmtId="2" fontId="2" fillId="0" borderId="7" xfId="0" applyNumberFormat="1" applyFont="1" applyFill="1" applyBorder="1" applyAlignment="1">
      <alignment vertical="center"/>
    </xf>
    <xf numFmtId="2" fontId="2" fillId="0" borderId="8" xfId="0" applyNumberFormat="1" applyFont="1" applyFill="1" applyBorder="1" applyAlignment="1">
      <alignment vertical="center"/>
    </xf>
    <xf numFmtId="2" fontId="2" fillId="0" borderId="0" xfId="0" applyNumberFormat="1" applyFont="1" applyFill="1">
      <alignment vertical="center"/>
    </xf>
    <xf numFmtId="176" fontId="2" fillId="0" borderId="0" xfId="0" applyNumberFormat="1" applyFont="1" applyFill="1">
      <alignment vertical="center"/>
    </xf>
    <xf numFmtId="2" fontId="2" fillId="0" borderId="4" xfId="0" applyNumberFormat="1" applyFont="1" applyFill="1" applyBorder="1">
      <alignment vertical="center"/>
    </xf>
    <xf numFmtId="2" fontId="2" fillId="0" borderId="0" xfId="0" applyNumberFormat="1" applyFont="1" applyFill="1" applyBorder="1">
      <alignment vertical="center"/>
    </xf>
    <xf numFmtId="1" fontId="2" fillId="0" borderId="4" xfId="0" applyNumberFormat="1" applyFont="1" applyFill="1" applyBorder="1">
      <alignment vertical="center"/>
    </xf>
    <xf numFmtId="1" fontId="2" fillId="0" borderId="0" xfId="0" applyNumberFormat="1" applyFont="1" applyFill="1" applyBorder="1">
      <alignment vertical="center"/>
    </xf>
    <xf numFmtId="1" fontId="2" fillId="0" borderId="5" xfId="0" applyNumberFormat="1" applyFont="1" applyFill="1" applyBorder="1">
      <alignment vertical="center"/>
    </xf>
    <xf numFmtId="2" fontId="2" fillId="0" borderId="5" xfId="0" applyNumberFormat="1" applyFont="1" applyFill="1" applyBorder="1">
      <alignment vertical="center"/>
    </xf>
    <xf numFmtId="177" fontId="4" fillId="0" borderId="0" xfId="0" applyNumberFormat="1" applyFont="1" applyFill="1" applyBorder="1">
      <alignment vertical="center"/>
    </xf>
    <xf numFmtId="2" fontId="2" fillId="0" borderId="6" xfId="0" applyNumberFormat="1" applyFont="1" applyFill="1" applyBorder="1">
      <alignment vertical="center"/>
    </xf>
    <xf numFmtId="2" fontId="2" fillId="0" borderId="7" xfId="0" applyNumberFormat="1" applyFont="1" applyFill="1" applyBorder="1">
      <alignment vertical="center"/>
    </xf>
    <xf numFmtId="2" fontId="2" fillId="0" borderId="8" xfId="0" applyNumberFormat="1" applyFont="1" applyFill="1" applyBorder="1">
      <alignment vertical="center"/>
    </xf>
    <xf numFmtId="1" fontId="2" fillId="0" borderId="6" xfId="0" applyNumberFormat="1" applyFont="1" applyFill="1" applyBorder="1">
      <alignment vertical="center"/>
    </xf>
    <xf numFmtId="1" fontId="2" fillId="0" borderId="7" xfId="0" applyNumberFormat="1" applyFont="1" applyFill="1" applyBorder="1">
      <alignment vertical="center"/>
    </xf>
    <xf numFmtId="1" fontId="2" fillId="0" borderId="8" xfId="0" applyNumberFormat="1" applyFont="1" applyFill="1" applyBorder="1">
      <alignment vertical="center"/>
    </xf>
    <xf numFmtId="1" fontId="2" fillId="0" borderId="0" xfId="0" applyNumberFormat="1" applyFont="1" applyFill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2" fontId="2" fillId="0" borderId="11" xfId="0" applyNumberFormat="1" applyFont="1" applyFill="1" applyBorder="1" applyAlignment="1">
      <alignment vertical="center"/>
    </xf>
    <xf numFmtId="176" fontId="2" fillId="0" borderId="11" xfId="0" applyNumberFormat="1" applyFont="1" applyFill="1" applyBorder="1" applyAlignment="1">
      <alignment vertical="center"/>
    </xf>
    <xf numFmtId="2" fontId="2" fillId="0" borderId="11" xfId="0" applyNumberFormat="1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0" fontId="2" fillId="0" borderId="4" xfId="0" applyFont="1" applyFill="1" applyBorder="1">
      <alignment vertical="center"/>
    </xf>
    <xf numFmtId="0" fontId="2" fillId="0" borderId="0" xfId="0" applyFont="1" applyFill="1" applyBorder="1">
      <alignment vertical="center"/>
    </xf>
    <xf numFmtId="176" fontId="2" fillId="0" borderId="0" xfId="0" applyNumberFormat="1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>
      <alignment vertical="center"/>
    </xf>
    <xf numFmtId="176" fontId="2" fillId="0" borderId="7" xfId="0" applyNumberFormat="1" applyFont="1" applyFill="1" applyBorder="1">
      <alignment vertical="center"/>
    </xf>
    <xf numFmtId="176" fontId="2" fillId="0" borderId="4" xfId="0" applyNumberFormat="1" applyFont="1" applyFill="1" applyBorder="1" applyAlignment="1">
      <alignment vertical="center"/>
    </xf>
    <xf numFmtId="176" fontId="2" fillId="0" borderId="5" xfId="0" applyNumberFormat="1" applyFont="1" applyFill="1" applyBorder="1" applyAlignment="1">
      <alignment vertical="center"/>
    </xf>
    <xf numFmtId="176" fontId="2" fillId="0" borderId="4" xfId="0" applyNumberFormat="1" applyFont="1" applyFill="1" applyBorder="1">
      <alignment vertical="center"/>
    </xf>
    <xf numFmtId="176" fontId="2" fillId="0" borderId="5" xfId="0" applyNumberFormat="1" applyFont="1" applyFill="1" applyBorder="1">
      <alignment vertical="center"/>
    </xf>
    <xf numFmtId="176" fontId="2" fillId="0" borderId="6" xfId="0" applyNumberFormat="1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vertical="center"/>
    </xf>
    <xf numFmtId="176" fontId="2" fillId="0" borderId="3" xfId="0" applyNumberFormat="1" applyFont="1" applyFill="1" applyBorder="1" applyAlignment="1">
      <alignment vertical="center"/>
    </xf>
    <xf numFmtId="178" fontId="2" fillId="0" borderId="0" xfId="0" applyNumberFormat="1" applyFont="1" applyFill="1">
      <alignment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1" fontId="2" fillId="0" borderId="12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2" fontId="2" fillId="0" borderId="9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horizontal="right" vertical="center"/>
    </xf>
    <xf numFmtId="177" fontId="2" fillId="0" borderId="0" xfId="0" applyNumberFormat="1" applyFont="1" applyFill="1" applyBorder="1" applyAlignment="1">
      <alignment horizontal="right" vertical="center"/>
    </xf>
    <xf numFmtId="0" fontId="2" fillId="0" borderId="10" xfId="0" applyFont="1" applyFill="1" applyBorder="1">
      <alignment vertical="center"/>
    </xf>
    <xf numFmtId="0" fontId="2" fillId="0" borderId="11" xfId="0" applyFont="1" applyFill="1" applyBorder="1">
      <alignment vertical="center"/>
    </xf>
    <xf numFmtId="176" fontId="2" fillId="0" borderId="11" xfId="0" applyNumberFormat="1" applyFont="1" applyFill="1" applyBorder="1">
      <alignment vertical="center"/>
    </xf>
    <xf numFmtId="2" fontId="2" fillId="0" borderId="11" xfId="0" applyNumberFormat="1" applyFont="1" applyFill="1" applyBorder="1">
      <alignment vertical="center"/>
    </xf>
    <xf numFmtId="1" fontId="2" fillId="0" borderId="11" xfId="0" applyNumberFormat="1" applyFont="1" applyFill="1" applyBorder="1">
      <alignment vertical="center"/>
    </xf>
    <xf numFmtId="2" fontId="2" fillId="0" borderId="12" xfId="0" applyNumberFormat="1" applyFont="1" applyFill="1" applyBorder="1">
      <alignment vertical="center"/>
    </xf>
    <xf numFmtId="2" fontId="5" fillId="0" borderId="4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178" fontId="2" fillId="0" borderId="4" xfId="0" applyNumberFormat="1" applyFont="1" applyFill="1" applyBorder="1">
      <alignment vertical="center"/>
    </xf>
    <xf numFmtId="1" fontId="2" fillId="0" borderId="6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181" fontId="2" fillId="0" borderId="4" xfId="0" applyNumberFormat="1" applyFont="1" applyFill="1" applyBorder="1">
      <alignment vertical="center"/>
    </xf>
    <xf numFmtId="181" fontId="2" fillId="0" borderId="5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Fill="1" applyBorder="1">
      <alignment vertical="center"/>
    </xf>
    <xf numFmtId="178" fontId="2" fillId="0" borderId="7" xfId="0" applyNumberFormat="1" applyFont="1" applyFill="1" applyBorder="1">
      <alignment vertical="center"/>
    </xf>
    <xf numFmtId="178" fontId="2" fillId="0" borderId="0" xfId="0" applyNumberFormat="1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2" fillId="0" borderId="8" xfId="0" applyFont="1" applyFill="1" applyBorder="1">
      <alignment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>
      <alignment vertical="center"/>
    </xf>
    <xf numFmtId="2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2" fillId="0" borderId="12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 applyAlignment="1">
      <alignment horizontal="center" vertical="center"/>
    </xf>
    <xf numFmtId="0" fontId="2" fillId="0" borderId="12" xfId="0" applyFont="1" applyFill="1" applyBorder="1">
      <alignment vertical="center"/>
    </xf>
    <xf numFmtId="2" fontId="2" fillId="0" borderId="10" xfId="0" applyNumberFormat="1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6" fontId="2" fillId="0" borderId="12" xfId="0" applyNumberFormat="1" applyFont="1" applyFill="1" applyBorder="1">
      <alignment vertical="center"/>
    </xf>
    <xf numFmtId="181" fontId="2" fillId="0" borderId="10" xfId="0" applyNumberFormat="1" applyFont="1" applyFill="1" applyBorder="1">
      <alignment vertical="center"/>
    </xf>
    <xf numFmtId="181" fontId="2" fillId="0" borderId="12" xfId="0" applyNumberFormat="1" applyFont="1" applyFill="1" applyBorder="1">
      <alignment vertical="center"/>
    </xf>
    <xf numFmtId="178" fontId="2" fillId="0" borderId="10" xfId="0" applyNumberFormat="1" applyFont="1" applyFill="1" applyBorder="1">
      <alignment vertical="center"/>
    </xf>
    <xf numFmtId="178" fontId="2" fillId="0" borderId="11" xfId="0" applyNumberFormat="1" applyFont="1" applyFill="1" applyBorder="1">
      <alignment vertical="center"/>
    </xf>
    <xf numFmtId="1" fontId="2" fillId="0" borderId="10" xfId="0" applyNumberFormat="1" applyFont="1" applyFill="1" applyBorder="1">
      <alignment vertical="center"/>
    </xf>
    <xf numFmtId="1" fontId="2" fillId="0" borderId="12" xfId="0" applyNumberFormat="1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78" fontId="0" fillId="3" borderId="0" xfId="0" applyNumberFormat="1" applyFill="1" applyAlignment="1">
      <alignment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6" xfId="0" applyNumberFormat="1" applyFill="1" applyBorder="1" applyAlignment="1">
      <alignment vertical="center"/>
    </xf>
    <xf numFmtId="2" fontId="0" fillId="2" borderId="8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78" fontId="0" fillId="3" borderId="11" xfId="0" applyNumberFormat="1" applyFill="1" applyBorder="1" applyAlignment="1">
      <alignment vertical="center"/>
    </xf>
    <xf numFmtId="178" fontId="0" fillId="3" borderId="12" xfId="0" applyNumberForma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78" fontId="0" fillId="3" borderId="0" xfId="0" applyNumberFormat="1" applyFill="1" applyBorder="1" applyAlignment="1">
      <alignment vertical="center"/>
    </xf>
    <xf numFmtId="178" fontId="0" fillId="3" borderId="5" xfId="0" applyNumberForma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78" fontId="0" fillId="3" borderId="7" xfId="0" applyNumberFormat="1" applyFill="1" applyBorder="1" applyAlignment="1">
      <alignment vertical="center"/>
    </xf>
    <xf numFmtId="178" fontId="0" fillId="3" borderId="8" xfId="0" applyNumberFormat="1" applyFill="1" applyBorder="1" applyAlignment="1">
      <alignment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vertical="center"/>
    </xf>
    <xf numFmtId="2" fontId="0" fillId="4" borderId="0" xfId="0" applyNumberFormat="1" applyFill="1" applyBorder="1" applyAlignment="1">
      <alignment vertical="center"/>
    </xf>
    <xf numFmtId="2" fontId="0" fillId="4" borderId="5" xfId="0" applyNumberFormat="1" applyFill="1" applyBorder="1" applyAlignment="1">
      <alignment vertical="center"/>
    </xf>
    <xf numFmtId="2" fontId="0" fillId="4" borderId="6" xfId="0" applyNumberFormat="1" applyFill="1" applyBorder="1" applyAlignment="1">
      <alignment vertical="center"/>
    </xf>
    <xf numFmtId="2" fontId="0" fillId="4" borderId="7" xfId="0" applyNumberFormat="1" applyFill="1" applyBorder="1" applyAlignment="1">
      <alignment vertical="center"/>
    </xf>
    <xf numFmtId="2" fontId="0" fillId="4" borderId="8" xfId="0" applyNumberFormat="1" applyFill="1" applyBorder="1" applyAlignment="1">
      <alignment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vertical="center"/>
    </xf>
    <xf numFmtId="1" fontId="0" fillId="5" borderId="0" xfId="0" applyNumberFormat="1" applyFill="1" applyBorder="1" applyAlignment="1">
      <alignment vertical="center"/>
    </xf>
    <xf numFmtId="1" fontId="0" fillId="5" borderId="5" xfId="0" applyNumberFormat="1" applyFill="1" applyBorder="1" applyAlignment="1">
      <alignment vertical="center"/>
    </xf>
    <xf numFmtId="1" fontId="0" fillId="5" borderId="6" xfId="0" applyNumberFormat="1" applyFill="1" applyBorder="1" applyAlignment="1">
      <alignment vertical="center"/>
    </xf>
    <xf numFmtId="1" fontId="0" fillId="5" borderId="7" xfId="0" applyNumberFormat="1" applyFill="1" applyBorder="1" applyAlignment="1">
      <alignment vertical="center"/>
    </xf>
    <xf numFmtId="1" fontId="0" fillId="5" borderId="8" xfId="0" applyNumberFormat="1" applyFill="1" applyBorder="1" applyAlignment="1">
      <alignment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vertical="center"/>
    </xf>
    <xf numFmtId="2" fontId="0" fillId="6" borderId="0" xfId="0" applyNumberFormat="1" applyFill="1" applyBorder="1" applyAlignment="1">
      <alignment vertical="center"/>
    </xf>
    <xf numFmtId="2" fontId="0" fillId="6" borderId="5" xfId="0" applyNumberFormat="1" applyFill="1" applyBorder="1" applyAlignment="1">
      <alignment vertical="center"/>
    </xf>
    <xf numFmtId="2" fontId="0" fillId="6" borderId="6" xfId="0" applyNumberFormat="1" applyFill="1" applyBorder="1" applyAlignment="1">
      <alignment vertical="center"/>
    </xf>
    <xf numFmtId="2" fontId="0" fillId="6" borderId="7" xfId="0" applyNumberFormat="1" applyFill="1" applyBorder="1" applyAlignment="1">
      <alignment vertical="center"/>
    </xf>
    <xf numFmtId="2" fontId="0" fillId="6" borderId="8" xfId="0" applyNumberFormat="1" applyFill="1" applyBorder="1" applyAlignment="1">
      <alignment vertical="center"/>
    </xf>
    <xf numFmtId="2" fontId="0" fillId="7" borderId="10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vertical="center"/>
    </xf>
    <xf numFmtId="2" fontId="0" fillId="7" borderId="5" xfId="0" applyNumberFormat="1" applyFill="1" applyBorder="1" applyAlignment="1">
      <alignment vertical="center"/>
    </xf>
    <xf numFmtId="2" fontId="0" fillId="7" borderId="6" xfId="0" applyNumberFormat="1" applyFill="1" applyBorder="1" applyAlignment="1">
      <alignment vertical="center"/>
    </xf>
    <xf numFmtId="2" fontId="0" fillId="7" borderId="8" xfId="0" applyNumberForma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2" fontId="0" fillId="2" borderId="3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8" fontId="0" fillId="3" borderId="2" xfId="0" applyNumberFormat="1" applyFill="1" applyBorder="1" applyAlignment="1">
      <alignment vertical="center"/>
    </xf>
    <xf numFmtId="178" fontId="0" fillId="3" borderId="3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2" fontId="0" fillId="4" borderId="3" xfId="0" applyNumberFormat="1" applyFill="1" applyBorder="1" applyAlignment="1">
      <alignment vertical="center"/>
    </xf>
    <xf numFmtId="1" fontId="0" fillId="5" borderId="1" xfId="0" applyNumberFormat="1" applyFill="1" applyBorder="1" applyAlignment="1">
      <alignment vertical="center"/>
    </xf>
    <xf numFmtId="1" fontId="0" fillId="5" borderId="2" xfId="0" applyNumberFormat="1" applyFill="1" applyBorder="1" applyAlignment="1">
      <alignment vertical="center"/>
    </xf>
    <xf numFmtId="1" fontId="0" fillId="5" borderId="3" xfId="0" applyNumberFormat="1" applyFill="1" applyBorder="1" applyAlignment="1">
      <alignment vertical="center"/>
    </xf>
    <xf numFmtId="2" fontId="0" fillId="6" borderId="1" xfId="0" applyNumberFormat="1" applyFill="1" applyBorder="1" applyAlignment="1">
      <alignment vertical="center"/>
    </xf>
    <xf numFmtId="2" fontId="0" fillId="6" borderId="2" xfId="0" applyNumberFormat="1" applyFill="1" applyBorder="1" applyAlignment="1">
      <alignment vertical="center"/>
    </xf>
    <xf numFmtId="2" fontId="0" fillId="6" borderId="3" xfId="0" applyNumberForma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2" fontId="0" fillId="7" borderId="3" xfId="0" applyNumberFormat="1" applyFill="1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"/>
  <sheetViews>
    <sheetView tabSelected="1" workbookViewId="0">
      <selection activeCell="I1" sqref="I1:R1"/>
    </sheetView>
  </sheetViews>
  <sheetFormatPr defaultRowHeight="18.75"/>
  <cols>
    <col min="1" max="1" width="10.875" bestFit="1" customWidth="1"/>
    <col min="2" max="2" width="5.875" bestFit="1" customWidth="1"/>
    <col min="3" max="3" width="11" bestFit="1" customWidth="1"/>
    <col min="4" max="4" width="8.375" bestFit="1" customWidth="1"/>
    <col min="5" max="5" width="10.25" bestFit="1" customWidth="1"/>
    <col min="6" max="6" width="8.5" bestFit="1" customWidth="1"/>
    <col min="7" max="7" width="7" bestFit="1" customWidth="1"/>
    <col min="8" max="8" width="7.25" bestFit="1" customWidth="1"/>
    <col min="9" max="9" width="9.75" bestFit="1" customWidth="1"/>
    <col min="10" max="10" width="9.25" bestFit="1" customWidth="1"/>
    <col min="11" max="11" width="8.375" bestFit="1" customWidth="1"/>
    <col min="12" max="12" width="10.25" bestFit="1" customWidth="1"/>
    <col min="13" max="13" width="9.75" bestFit="1" customWidth="1"/>
    <col min="14" max="14" width="9.25" bestFit="1" customWidth="1"/>
    <col min="15" max="15" width="8.375" bestFit="1" customWidth="1"/>
    <col min="16" max="16" width="10.25" bestFit="1" customWidth="1"/>
    <col min="17" max="17" width="11.625" bestFit="1" customWidth="1"/>
    <col min="18" max="18" width="11.375" bestFit="1" customWidth="1"/>
    <col min="19" max="21" width="5.875" bestFit="1" customWidth="1"/>
    <col min="22" max="22" width="9.75" bestFit="1" customWidth="1"/>
    <col min="23" max="23" width="9.25" bestFit="1" customWidth="1"/>
    <col min="24" max="24" width="8.375" bestFit="1" customWidth="1"/>
    <col min="25" max="25" width="10.25" bestFit="1" customWidth="1"/>
    <col min="26" max="26" width="9.75" bestFit="1" customWidth="1"/>
    <col min="27" max="27" width="9.25" bestFit="1" customWidth="1"/>
    <col min="28" max="28" width="8.375" bestFit="1" customWidth="1"/>
    <col min="29" max="29" width="10.25" bestFit="1" customWidth="1"/>
    <col min="30" max="30" width="8.375" bestFit="1" customWidth="1"/>
    <col min="31" max="31" width="10.25" bestFit="1" customWidth="1"/>
    <col min="32" max="34" width="13.75" bestFit="1" customWidth="1"/>
    <col min="35" max="35" width="12.75" bestFit="1" customWidth="1"/>
    <col min="36" max="38" width="13.75" bestFit="1" customWidth="1"/>
    <col min="39" max="41" width="12.75" bestFit="1" customWidth="1"/>
  </cols>
  <sheetData>
    <row r="1" spans="1:41">
      <c r="A1" s="137"/>
      <c r="B1" s="137"/>
      <c r="C1" s="137"/>
      <c r="D1" s="138"/>
      <c r="E1" s="138"/>
      <c r="F1" s="139"/>
      <c r="G1" s="140"/>
      <c r="H1" s="140"/>
      <c r="I1" s="176" t="s">
        <v>0</v>
      </c>
      <c r="J1" s="176"/>
      <c r="K1" s="176"/>
      <c r="L1" s="176"/>
      <c r="M1" s="176"/>
      <c r="N1" s="176"/>
      <c r="O1" s="176"/>
      <c r="P1" s="176"/>
      <c r="Q1" s="176"/>
      <c r="R1" s="177"/>
      <c r="S1" s="167" t="s">
        <v>1</v>
      </c>
      <c r="T1" s="168"/>
      <c r="U1" s="169"/>
      <c r="V1" s="181" t="s">
        <v>2</v>
      </c>
      <c r="W1" s="182"/>
      <c r="X1" s="182"/>
      <c r="Y1" s="182"/>
      <c r="Z1" s="182"/>
      <c r="AA1" s="182"/>
      <c r="AB1" s="182"/>
      <c r="AC1" s="183"/>
      <c r="AD1" s="190"/>
      <c r="AE1" s="191"/>
      <c r="AF1" s="198"/>
      <c r="AG1" s="199"/>
      <c r="AH1" s="199"/>
      <c r="AI1" s="200"/>
      <c r="AJ1" s="198"/>
      <c r="AK1" s="199"/>
      <c r="AL1" s="199"/>
      <c r="AM1" s="200"/>
      <c r="AN1" s="198"/>
      <c r="AO1" s="200"/>
    </row>
    <row r="2" spans="1:41">
      <c r="A2" s="137"/>
      <c r="B2" s="137"/>
      <c r="C2" s="137"/>
      <c r="D2" s="141" t="s">
        <v>3</v>
      </c>
      <c r="E2" s="142"/>
      <c r="F2" s="147"/>
      <c r="G2" s="148"/>
      <c r="H2" s="149"/>
      <c r="I2" s="156" t="s">
        <v>4</v>
      </c>
      <c r="J2" s="157"/>
      <c r="K2" s="157"/>
      <c r="L2" s="158"/>
      <c r="M2" s="156" t="s">
        <v>5</v>
      </c>
      <c r="N2" s="157"/>
      <c r="O2" s="157"/>
      <c r="P2" s="158"/>
      <c r="Q2" s="165"/>
      <c r="R2" s="166"/>
      <c r="S2" s="178" t="s">
        <v>6</v>
      </c>
      <c r="T2" s="179" t="s">
        <v>7</v>
      </c>
      <c r="U2" s="180"/>
      <c r="V2" s="181" t="s">
        <v>4</v>
      </c>
      <c r="W2" s="182"/>
      <c r="X2" s="182"/>
      <c r="Y2" s="183"/>
      <c r="Z2" s="181" t="s">
        <v>5</v>
      </c>
      <c r="AA2" s="182"/>
      <c r="AB2" s="182"/>
      <c r="AC2" s="183"/>
      <c r="AD2" s="192"/>
      <c r="AE2" s="193"/>
      <c r="AF2" s="201"/>
      <c r="AG2" s="202"/>
      <c r="AH2" s="202"/>
      <c r="AI2" s="203"/>
      <c r="AJ2" s="201"/>
      <c r="AK2" s="202"/>
      <c r="AL2" s="202"/>
      <c r="AM2" s="203"/>
      <c r="AN2" s="201"/>
      <c r="AO2" s="203"/>
    </row>
    <row r="3" spans="1:41">
      <c r="A3" s="207" t="s">
        <v>434</v>
      </c>
      <c r="B3" s="208" t="s">
        <v>493</v>
      </c>
      <c r="C3" s="225" t="s">
        <v>9</v>
      </c>
      <c r="D3" s="209" t="s">
        <v>10</v>
      </c>
      <c r="E3" s="210" t="s">
        <v>11</v>
      </c>
      <c r="F3" s="211" t="s">
        <v>12</v>
      </c>
      <c r="G3" s="212" t="s">
        <v>13</v>
      </c>
      <c r="H3" s="213" t="s">
        <v>14</v>
      </c>
      <c r="I3" s="214" t="s">
        <v>15</v>
      </c>
      <c r="J3" s="215" t="s">
        <v>16</v>
      </c>
      <c r="K3" s="215" t="s">
        <v>10</v>
      </c>
      <c r="L3" s="216" t="s">
        <v>11</v>
      </c>
      <c r="M3" s="214" t="s">
        <v>15</v>
      </c>
      <c r="N3" s="215" t="s">
        <v>16</v>
      </c>
      <c r="O3" s="215" t="s">
        <v>10</v>
      </c>
      <c r="P3" s="216" t="s">
        <v>11</v>
      </c>
      <c r="Q3" s="214" t="s">
        <v>17</v>
      </c>
      <c r="R3" s="215" t="s">
        <v>18</v>
      </c>
      <c r="S3" s="217" t="s">
        <v>8</v>
      </c>
      <c r="T3" s="218" t="s">
        <v>8</v>
      </c>
      <c r="U3" s="219" t="s">
        <v>8</v>
      </c>
      <c r="V3" s="220" t="s">
        <v>15</v>
      </c>
      <c r="W3" s="221" t="s">
        <v>16</v>
      </c>
      <c r="X3" s="221" t="s">
        <v>10</v>
      </c>
      <c r="Y3" s="222" t="s">
        <v>11</v>
      </c>
      <c r="Z3" s="220" t="s">
        <v>15</v>
      </c>
      <c r="AA3" s="221" t="s">
        <v>16</v>
      </c>
      <c r="AB3" s="221" t="s">
        <v>10</v>
      </c>
      <c r="AC3" s="222" t="s">
        <v>11</v>
      </c>
      <c r="AD3" s="223" t="s">
        <v>10</v>
      </c>
      <c r="AE3" s="224" t="s">
        <v>11</v>
      </c>
      <c r="AF3" s="207" t="s">
        <v>435</v>
      </c>
      <c r="AG3" s="208" t="s">
        <v>436</v>
      </c>
      <c r="AH3" s="208" t="s">
        <v>437</v>
      </c>
      <c r="AI3" s="225" t="s">
        <v>438</v>
      </c>
      <c r="AJ3" s="207" t="s">
        <v>439</v>
      </c>
      <c r="AK3" s="208" t="s">
        <v>440</v>
      </c>
      <c r="AL3" s="208" t="s">
        <v>441</v>
      </c>
      <c r="AM3" s="225" t="s">
        <v>438</v>
      </c>
      <c r="AN3" s="207" t="s">
        <v>12</v>
      </c>
      <c r="AO3" s="225" t="s">
        <v>19</v>
      </c>
    </row>
    <row r="4" spans="1:41">
      <c r="A4" s="201" t="s">
        <v>442</v>
      </c>
      <c r="B4" s="202">
        <v>1300</v>
      </c>
      <c r="C4" s="203"/>
      <c r="D4" s="143">
        <v>0.82090843806104141</v>
      </c>
      <c r="E4" s="144">
        <v>1.9965595408101389E-2</v>
      </c>
      <c r="F4" s="150">
        <v>1.0370600000000001</v>
      </c>
      <c r="G4" s="151">
        <v>1.03691</v>
      </c>
      <c r="H4" s="152">
        <v>1.03722</v>
      </c>
      <c r="I4" s="159">
        <v>0.58555551204693312</v>
      </c>
      <c r="J4" s="160">
        <v>0.54488628855834964</v>
      </c>
      <c r="K4" s="160">
        <f>(I4+J4)/2</f>
        <v>0.56522090030264138</v>
      </c>
      <c r="L4" s="161">
        <f>(I4-J4)/2</f>
        <v>2.0334611744291742E-2</v>
      </c>
      <c r="M4" s="159">
        <v>0.57701647397396894</v>
      </c>
      <c r="N4" s="160">
        <v>0.53647057030643541</v>
      </c>
      <c r="O4" s="160">
        <f t="shared" ref="O4:O54" si="0">(M4+N4)/2</f>
        <v>0.55674352214020217</v>
      </c>
      <c r="P4" s="161">
        <f t="shared" ref="P4:P54" si="1">(M4-N4)/2</f>
        <v>2.0272951833766761E-2</v>
      </c>
      <c r="Q4" s="159">
        <f>AVERAGE(I4:J4,M4:N4)</f>
        <v>0.56098221122142178</v>
      </c>
      <c r="R4" s="160">
        <f>STDEV(I4:J4,M4:N4)</f>
        <v>2.39502537369971E-2</v>
      </c>
      <c r="S4" s="170">
        <v>1302.2387557536192</v>
      </c>
      <c r="T4" s="171">
        <v>1302.0871709601315</v>
      </c>
      <c r="U4" s="172">
        <f t="shared" ref="U4:U54" si="2">(S4+T4)/2</f>
        <v>1302.1629633568755</v>
      </c>
      <c r="V4" s="184">
        <v>0.59956218789140348</v>
      </c>
      <c r="W4" s="185">
        <v>0.55794426896567106</v>
      </c>
      <c r="X4" s="185">
        <f t="shared" ref="X4:X54" si="3">(V4+W4)/2</f>
        <v>0.57875322842853727</v>
      </c>
      <c r="Y4" s="186">
        <f t="shared" ref="Y4:Y54" si="4">(V4-W4)/2</f>
        <v>2.0808959462866206E-2</v>
      </c>
      <c r="Z4" s="184">
        <v>0.59104297134271366</v>
      </c>
      <c r="AA4" s="185">
        <v>0.54954792337164271</v>
      </c>
      <c r="AB4" s="185">
        <f t="shared" ref="AB4:AB54" si="5">(Z4+AA4)/2</f>
        <v>0.57029544735717819</v>
      </c>
      <c r="AC4" s="186">
        <f t="shared" ref="AC4:AC54" si="6">(Z4-AA4)/2</f>
        <v>2.0747523985535476E-2</v>
      </c>
      <c r="AD4" s="194">
        <f>AVERAGE(V4,W4,Z4,AA4)</f>
        <v>0.57452433789285773</v>
      </c>
      <c r="AE4" s="195">
        <f>STDEV(V4,W4,Z4,AA4)</f>
        <v>2.4484547178211528E-2</v>
      </c>
      <c r="AF4" s="201">
        <v>0.58555551204693312</v>
      </c>
      <c r="AG4" s="202">
        <v>0.56586805975169963</v>
      </c>
      <c r="AH4" s="202">
        <v>0.54488628855834964</v>
      </c>
      <c r="AI4" s="203">
        <v>2.0334611744291742E-2</v>
      </c>
      <c r="AJ4" s="201">
        <v>0.57701647397396894</v>
      </c>
      <c r="AK4" s="202">
        <v>0.55738909086616228</v>
      </c>
      <c r="AL4" s="202">
        <v>0.53647057030643541</v>
      </c>
      <c r="AM4" s="203">
        <v>2.0272951833766761E-2</v>
      </c>
      <c r="AN4" s="201">
        <v>1.0300114906130446</v>
      </c>
      <c r="AO4" s="203">
        <v>6.8359338290958633E-4</v>
      </c>
    </row>
    <row r="5" spans="1:41">
      <c r="A5" s="201" t="s">
        <v>443</v>
      </c>
      <c r="B5" s="202">
        <v>1100</v>
      </c>
      <c r="C5" s="203"/>
      <c r="D5" s="143">
        <v>0.47360456942003515</v>
      </c>
      <c r="E5" s="144">
        <v>2.0919488521472025E-2</v>
      </c>
      <c r="F5" s="150">
        <v>1.0299199999999999</v>
      </c>
      <c r="G5" s="151">
        <v>1.02976</v>
      </c>
      <c r="H5" s="152">
        <v>1.0300800000000001</v>
      </c>
      <c r="I5" s="159">
        <v>0.29488548294096706</v>
      </c>
      <c r="J5" s="160">
        <v>0.2512344486151239</v>
      </c>
      <c r="K5" s="160">
        <f t="shared" ref="K5:K54" si="7">(I5+J5)/2</f>
        <v>0.27305996577804548</v>
      </c>
      <c r="L5" s="161">
        <f t="shared" ref="L5:L54" si="8">(I5-J5)/2</f>
        <v>2.1825517162921582E-2</v>
      </c>
      <c r="M5" s="159">
        <v>0.28287098845734171</v>
      </c>
      <c r="N5" s="160">
        <v>0.23933062931767335</v>
      </c>
      <c r="O5" s="160">
        <f t="shared" si="0"/>
        <v>0.26110080888750753</v>
      </c>
      <c r="P5" s="161">
        <f t="shared" si="1"/>
        <v>2.177017956983418E-2</v>
      </c>
      <c r="Q5" s="159">
        <f t="shared" ref="Q5:Q54" si="9">AVERAGE(I5:J5,M5:N5)</f>
        <v>0.2670803873327765</v>
      </c>
      <c r="R5" s="160">
        <f t="shared" ref="R5:R54" si="10">STDEV(I5:J5,M5:N5)</f>
        <v>2.6099867620329172E-2</v>
      </c>
      <c r="S5" s="170">
        <v>1100.8596147590501</v>
      </c>
      <c r="T5" s="171">
        <v>1100.731749003173</v>
      </c>
      <c r="U5" s="172">
        <f t="shared" si="2"/>
        <v>1100.7956818811117</v>
      </c>
      <c r="V5" s="184">
        <v>0.30023361466591503</v>
      </c>
      <c r="W5" s="185">
        <v>0.2557869299130644</v>
      </c>
      <c r="X5" s="185">
        <f t="shared" si="3"/>
        <v>0.27801027228948971</v>
      </c>
      <c r="Y5" s="186">
        <f t="shared" si="4"/>
        <v>2.2223342376425315E-2</v>
      </c>
      <c r="Z5" s="184">
        <v>0.2882180395992382</v>
      </c>
      <c r="AA5" s="185">
        <v>0.24388252663429189</v>
      </c>
      <c r="AB5" s="185">
        <f t="shared" si="5"/>
        <v>0.26605028311676504</v>
      </c>
      <c r="AC5" s="186">
        <f t="shared" si="6"/>
        <v>2.2167756482473155E-2</v>
      </c>
      <c r="AD5" s="194">
        <f t="shared" ref="AD5:AD54" si="11">AVERAGE(V5,W5,Z5,AA5)</f>
        <v>0.27203027770312738</v>
      </c>
      <c r="AE5" s="195">
        <f t="shared" ref="AE5:AE54" si="12">STDEV(V5,W5,Z5,AA5)</f>
        <v>2.654313526258591E-2</v>
      </c>
      <c r="AF5" s="201">
        <v>0.29488548294096706</v>
      </c>
      <c r="AG5" s="202">
        <v>0.2730503067136425</v>
      </c>
      <c r="AH5" s="202">
        <v>0.2512344486151239</v>
      </c>
      <c r="AI5" s="203">
        <v>2.1825517162921582E-2</v>
      </c>
      <c r="AJ5" s="201">
        <v>0.28287098845734171</v>
      </c>
      <c r="AK5" s="202">
        <v>0.26109154787550004</v>
      </c>
      <c r="AL5" s="202">
        <v>0.23933062931767335</v>
      </c>
      <c r="AM5" s="203">
        <v>2.177017956983418E-2</v>
      </c>
      <c r="AN5" s="201">
        <v>1.025509612532912</v>
      </c>
      <c r="AO5" s="203">
        <v>6.6355441871920971E-4</v>
      </c>
    </row>
    <row r="6" spans="1:41">
      <c r="A6" s="201" t="s">
        <v>444</v>
      </c>
      <c r="B6" s="202">
        <v>900</v>
      </c>
      <c r="C6" s="203"/>
      <c r="D6" s="143">
        <v>0.19543585237258349</v>
      </c>
      <c r="E6" s="144">
        <v>1.7392527130926087E-2</v>
      </c>
      <c r="F6" s="150">
        <v>1.0226599999999999</v>
      </c>
      <c r="G6" s="151">
        <v>1.0225299999999999</v>
      </c>
      <c r="H6" s="152">
        <v>1.02278</v>
      </c>
      <c r="I6" s="159">
        <v>6.2969541947021757E-2</v>
      </c>
      <c r="J6" s="160">
        <v>2.7500078634096425E-2</v>
      </c>
      <c r="K6" s="160">
        <f t="shared" si="7"/>
        <v>4.5234810290559091E-2</v>
      </c>
      <c r="L6" s="161">
        <f t="shared" si="8"/>
        <v>1.7734731656462666E-2</v>
      </c>
      <c r="M6" s="159">
        <v>4.9971423670886583E-2</v>
      </c>
      <c r="N6" s="160">
        <v>1.4570126815757867E-2</v>
      </c>
      <c r="O6" s="160">
        <f t="shared" si="0"/>
        <v>3.2270775243322225E-2</v>
      </c>
      <c r="P6" s="161">
        <f t="shared" si="1"/>
        <v>1.7700648427564358E-2</v>
      </c>
      <c r="Q6" s="159">
        <f t="shared" si="9"/>
        <v>3.8752792766940658E-2</v>
      </c>
      <c r="R6" s="160">
        <f t="shared" si="10"/>
        <v>2.1784807611972285E-2</v>
      </c>
      <c r="S6" s="170">
        <v>900.12392613042198</v>
      </c>
      <c r="T6" s="171">
        <v>900.04626001680754</v>
      </c>
      <c r="U6" s="172">
        <f t="shared" si="2"/>
        <v>900.08509307361476</v>
      </c>
      <c r="V6" s="184">
        <v>6.3732659245433254E-2</v>
      </c>
      <c r="W6" s="185">
        <v>2.7784934273060724E-2</v>
      </c>
      <c r="X6" s="185">
        <f t="shared" si="3"/>
        <v>4.5758796759246989E-2</v>
      </c>
      <c r="Y6" s="186">
        <f t="shared" si="4"/>
        <v>1.7973862486186265E-2</v>
      </c>
      <c r="Z6" s="184">
        <v>5.073308484061867E-2</v>
      </c>
      <c r="AA6" s="185">
        <v>1.4854456004048888E-2</v>
      </c>
      <c r="AB6" s="185">
        <f t="shared" si="5"/>
        <v>3.2793770422333779E-2</v>
      </c>
      <c r="AC6" s="186">
        <f t="shared" si="6"/>
        <v>1.7939314418284891E-2</v>
      </c>
      <c r="AD6" s="194">
        <f t="shared" si="11"/>
        <v>3.9276283590790384E-2</v>
      </c>
      <c r="AE6" s="195">
        <f t="shared" si="12"/>
        <v>2.2044268921556375E-2</v>
      </c>
      <c r="AF6" s="201">
        <v>6.2969541947021757E-2</v>
      </c>
      <c r="AG6" s="202">
        <v>4.4519352991624572E-2</v>
      </c>
      <c r="AH6" s="202">
        <v>2.7500078634096425E-2</v>
      </c>
      <c r="AI6" s="203">
        <v>1.7734731656462666E-2</v>
      </c>
      <c r="AJ6" s="201">
        <v>4.9971423670886583E-2</v>
      </c>
      <c r="AK6" s="202">
        <v>3.1556907610732932E-2</v>
      </c>
      <c r="AL6" s="202">
        <v>1.4570126815757867E-2</v>
      </c>
      <c r="AM6" s="203">
        <v>1.7700648427564358E-2</v>
      </c>
      <c r="AN6" s="201">
        <v>1.0192646668966903</v>
      </c>
      <c r="AO6" s="203">
        <v>6.2862999911547722E-4</v>
      </c>
    </row>
    <row r="7" spans="1:41">
      <c r="A7" s="201" t="s">
        <v>445</v>
      </c>
      <c r="B7" s="202">
        <v>700</v>
      </c>
      <c r="C7" s="203"/>
      <c r="D7" s="143">
        <v>6.4743119266055055E-2</v>
      </c>
      <c r="E7" s="144">
        <v>1.5103807466993214E-2</v>
      </c>
      <c r="F7" s="150">
        <v>1.0148299999999999</v>
      </c>
      <c r="G7" s="151">
        <v>1.0147299999999999</v>
      </c>
      <c r="H7" s="152">
        <v>1.01494</v>
      </c>
      <c r="I7" s="159">
        <v>-2.6263408853503645E-2</v>
      </c>
      <c r="J7" s="160">
        <v>-5.7341497736312252E-2</v>
      </c>
      <c r="K7" s="160">
        <f t="shared" si="7"/>
        <v>-4.1802453294907949E-2</v>
      </c>
      <c r="L7" s="161">
        <f t="shared" si="8"/>
        <v>1.5539044441404304E-2</v>
      </c>
      <c r="M7" s="159">
        <v>-3.7628837456396891E-2</v>
      </c>
      <c r="N7" s="160">
        <v>-6.8666506351693801E-2</v>
      </c>
      <c r="O7" s="160">
        <f t="shared" si="0"/>
        <v>-5.3147671904045346E-2</v>
      </c>
      <c r="P7" s="161">
        <f t="shared" si="1"/>
        <v>1.5518834447648455E-2</v>
      </c>
      <c r="Q7" s="159">
        <f t="shared" si="9"/>
        <v>-4.7475062599476647E-2</v>
      </c>
      <c r="R7" s="160">
        <f t="shared" si="10"/>
        <v>1.9090191502619293E-2</v>
      </c>
      <c r="S7" s="170">
        <v>699.95169682443975</v>
      </c>
      <c r="T7" s="171">
        <v>699.90455816488372</v>
      </c>
      <c r="U7" s="172">
        <f t="shared" si="2"/>
        <v>699.92812749466179</v>
      </c>
      <c r="V7" s="184">
        <v>-2.6554588269712021E-2</v>
      </c>
      <c r="W7" s="185">
        <v>-5.7916829670229486E-2</v>
      </c>
      <c r="X7" s="185">
        <f t="shared" si="3"/>
        <v>-4.2235708969970753E-2</v>
      </c>
      <c r="Y7" s="186">
        <f t="shared" si="4"/>
        <v>1.5681120700258733E-2</v>
      </c>
      <c r="Z7" s="184">
        <v>-3.7628837456396891E-2</v>
      </c>
      <c r="AA7" s="185">
        <v>-6.8666506351693801E-2</v>
      </c>
      <c r="AB7" s="185">
        <f t="shared" si="5"/>
        <v>-5.3147671904045346E-2</v>
      </c>
      <c r="AC7" s="186">
        <f t="shared" si="6"/>
        <v>1.5518834447648455E-2</v>
      </c>
      <c r="AD7" s="194">
        <f t="shared" si="11"/>
        <v>-4.769169043700805E-2</v>
      </c>
      <c r="AE7" s="195">
        <f t="shared" si="12"/>
        <v>1.9083452457856646E-2</v>
      </c>
      <c r="AF7" s="201">
        <v>-2.6263408853503645E-2</v>
      </c>
      <c r="AG7" s="202">
        <v>-4.106692637633147E-2</v>
      </c>
      <c r="AH7" s="202">
        <v>-5.7341497736312252E-2</v>
      </c>
      <c r="AI7" s="203">
        <v>1.5539044441404304E-2</v>
      </c>
      <c r="AJ7" s="201">
        <v>-3.7628837456396891E-2</v>
      </c>
      <c r="AK7" s="202">
        <v>-5.241295919057265E-2</v>
      </c>
      <c r="AL7" s="202">
        <v>-6.8666506351693801E-2</v>
      </c>
      <c r="AM7" s="203">
        <v>1.5518834447648455E-2</v>
      </c>
      <c r="AN7" s="201">
        <v>1.0124754672352889</v>
      </c>
      <c r="AO7" s="203">
        <v>6.0213947979651753E-4</v>
      </c>
    </row>
    <row r="8" spans="1:41">
      <c r="A8" s="201" t="s">
        <v>446</v>
      </c>
      <c r="B8" s="202">
        <v>500</v>
      </c>
      <c r="C8" s="203"/>
      <c r="D8" s="143">
        <v>4.8500000000000001E-2</v>
      </c>
      <c r="E8" s="144">
        <v>2.069118169655856E-2</v>
      </c>
      <c r="F8" s="150">
        <v>1.0068699999999999</v>
      </c>
      <c r="G8" s="151">
        <v>1.00674</v>
      </c>
      <c r="H8" s="152">
        <v>1.00701</v>
      </c>
      <c r="I8" s="159">
        <v>3.4299948336558028E-3</v>
      </c>
      <c r="J8" s="160">
        <v>-3.8291735194033505E-2</v>
      </c>
      <c r="K8" s="160">
        <f t="shared" si="7"/>
        <v>-1.7430870180188851E-2</v>
      </c>
      <c r="L8" s="161">
        <f t="shared" si="8"/>
        <v>2.0860865013844654E-2</v>
      </c>
      <c r="M8" s="159">
        <v>-3.4373431508942787E-3</v>
      </c>
      <c r="N8" s="160">
        <v>-4.5132191656631182E-2</v>
      </c>
      <c r="O8" s="160">
        <f t="shared" si="0"/>
        <v>-2.428476740376273E-2</v>
      </c>
      <c r="P8" s="161">
        <f t="shared" si="1"/>
        <v>2.0847424252868452E-2</v>
      </c>
      <c r="Q8" s="159">
        <f t="shared" si="9"/>
        <v>-2.0857818791975791E-2</v>
      </c>
      <c r="R8" s="160">
        <f t="shared" si="10"/>
        <v>2.4403261266759579E-2</v>
      </c>
      <c r="S8" s="170">
        <v>499.99999651516083</v>
      </c>
      <c r="T8" s="171">
        <v>499.96033800821363</v>
      </c>
      <c r="U8" s="172">
        <f t="shared" si="2"/>
        <v>499.98016726168726</v>
      </c>
      <c r="V8" s="184">
        <v>3.4299749158288595E-3</v>
      </c>
      <c r="W8" s="185">
        <v>-3.8518429021799694E-2</v>
      </c>
      <c r="X8" s="185">
        <f t="shared" si="3"/>
        <v>-1.7544227052985417E-2</v>
      </c>
      <c r="Y8" s="186">
        <f t="shared" si="4"/>
        <v>2.0974201968814277E-2</v>
      </c>
      <c r="Z8" s="184">
        <v>-3.4373431508942787E-3</v>
      </c>
      <c r="AA8" s="185">
        <v>-4.5132191656631182E-2</v>
      </c>
      <c r="AB8" s="185">
        <f t="shared" si="5"/>
        <v>-2.428476740376273E-2</v>
      </c>
      <c r="AC8" s="186">
        <f t="shared" si="6"/>
        <v>2.0847424252868452E-2</v>
      </c>
      <c r="AD8" s="194">
        <f t="shared" si="11"/>
        <v>-2.0914497228374074E-2</v>
      </c>
      <c r="AE8" s="195">
        <f t="shared" si="12"/>
        <v>2.4457441789333151E-2</v>
      </c>
      <c r="AF8" s="201">
        <v>3.4299948336558028E-3</v>
      </c>
      <c r="AG8" s="202">
        <v>-1.6665840635160745E-2</v>
      </c>
      <c r="AH8" s="202">
        <v>-3.8291735194033505E-2</v>
      </c>
      <c r="AI8" s="203">
        <v>2.0860865013844654E-2</v>
      </c>
      <c r="AJ8" s="201">
        <v>-3.4373431508942787E-3</v>
      </c>
      <c r="AK8" s="202">
        <v>-2.3520008564967387E-2</v>
      </c>
      <c r="AL8" s="202">
        <v>-4.5132191656631182E-2</v>
      </c>
      <c r="AM8" s="203">
        <v>2.0847424252868452E-2</v>
      </c>
      <c r="AN8" s="201">
        <v>1.0050911690706852</v>
      </c>
      <c r="AO8" s="203">
        <v>5.7211935543412923E-4</v>
      </c>
    </row>
    <row r="9" spans="1:41">
      <c r="A9" s="201" t="s">
        <v>447</v>
      </c>
      <c r="B9" s="202">
        <v>304</v>
      </c>
      <c r="C9" s="203"/>
      <c r="D9" s="143">
        <v>6.0986859395532188E-2</v>
      </c>
      <c r="E9" s="144">
        <v>2.0630681035777757E-2</v>
      </c>
      <c r="F9" s="150">
        <v>0.99975999999999998</v>
      </c>
      <c r="G9" s="151">
        <v>0.99961999999999995</v>
      </c>
      <c r="H9" s="152">
        <v>0.99987999999999999</v>
      </c>
      <c r="I9" s="159">
        <v>8.0098544638688277E-2</v>
      </c>
      <c r="J9" s="160">
        <v>3.8281386799235768E-2</v>
      </c>
      <c r="K9" s="160">
        <f t="shared" si="7"/>
        <v>5.9189965718962026E-2</v>
      </c>
      <c r="L9" s="161">
        <f t="shared" si="8"/>
        <v>2.0908578919726254E-2</v>
      </c>
      <c r="M9" s="159">
        <v>7.9953852405230605E-2</v>
      </c>
      <c r="N9" s="160">
        <v>3.8136887319137502E-2</v>
      </c>
      <c r="O9" s="160">
        <f t="shared" si="0"/>
        <v>5.9045369862184054E-2</v>
      </c>
      <c r="P9" s="161">
        <f t="shared" si="1"/>
        <v>2.0908482543046551E-2</v>
      </c>
      <c r="Q9" s="159">
        <f t="shared" si="9"/>
        <v>5.9117667790573036E-2</v>
      </c>
      <c r="R9" s="160">
        <f t="shared" si="10"/>
        <v>2.4143236025523481E-2</v>
      </c>
      <c r="S9" s="170">
        <v>304.04199548677769</v>
      </c>
      <c r="T9" s="171">
        <v>304.02010114842625</v>
      </c>
      <c r="U9" s="172">
        <f t="shared" si="2"/>
        <v>304.03104831760197</v>
      </c>
      <c r="V9" s="184">
        <v>8.0298732810989579E-2</v>
      </c>
      <c r="W9" s="185">
        <v>3.8377218479441949E-2</v>
      </c>
      <c r="X9" s="185">
        <f t="shared" si="3"/>
        <v>5.9337975645215764E-2</v>
      </c>
      <c r="Y9" s="186">
        <f t="shared" si="4"/>
        <v>2.0960757165773815E-2</v>
      </c>
      <c r="Z9" s="184">
        <v>7.9953852405230605E-2</v>
      </c>
      <c r="AA9" s="185">
        <v>3.8136887319137502E-2</v>
      </c>
      <c r="AB9" s="185">
        <f t="shared" si="5"/>
        <v>5.9045369862184054E-2</v>
      </c>
      <c r="AC9" s="186">
        <f t="shared" si="6"/>
        <v>2.0908482543046551E-2</v>
      </c>
      <c r="AD9" s="194">
        <f t="shared" si="11"/>
        <v>5.9191672753699909E-2</v>
      </c>
      <c r="AE9" s="195">
        <f t="shared" si="12"/>
        <v>2.4173825959600086E-2</v>
      </c>
      <c r="AF9" s="201">
        <v>8.0098544638688277E-2</v>
      </c>
      <c r="AG9" s="202">
        <v>5.757436231924247E-2</v>
      </c>
      <c r="AH9" s="202">
        <v>3.8281386799235768E-2</v>
      </c>
      <c r="AI9" s="203">
        <v>2.0908578919726254E-2</v>
      </c>
      <c r="AJ9" s="201">
        <v>7.9953852405230605E-2</v>
      </c>
      <c r="AK9" s="202">
        <v>5.7429970340256459E-2</v>
      </c>
      <c r="AL9" s="202">
        <v>3.8136887319137502E-2</v>
      </c>
      <c r="AM9" s="203">
        <v>2.0908482543046551E-2</v>
      </c>
      <c r="AN9" s="201">
        <v>0.99956250177727712</v>
      </c>
      <c r="AO9" s="203">
        <v>5.6203545620231606E-4</v>
      </c>
    </row>
    <row r="10" spans="1:41">
      <c r="A10" s="201" t="s">
        <v>448</v>
      </c>
      <c r="B10" s="202">
        <v>1300</v>
      </c>
      <c r="C10" s="203"/>
      <c r="D10" s="143">
        <v>0.91735916955017294</v>
      </c>
      <c r="E10" s="144">
        <v>2.746816338964074E-2</v>
      </c>
      <c r="F10" s="150">
        <v>1.03633</v>
      </c>
      <c r="G10" s="151">
        <v>1.0361199999999999</v>
      </c>
      <c r="H10" s="152">
        <v>1.03654</v>
      </c>
      <c r="I10" s="159">
        <v>0.6895154063353699</v>
      </c>
      <c r="J10" s="160">
        <v>0.63418848552142393</v>
      </c>
      <c r="K10" s="160">
        <f t="shared" si="7"/>
        <v>0.66185194592839691</v>
      </c>
      <c r="L10" s="161">
        <f t="shared" si="8"/>
        <v>2.7663460406972984E-2</v>
      </c>
      <c r="M10" s="159">
        <v>0.6806476859234909</v>
      </c>
      <c r="N10" s="160">
        <v>0.62549808470405743</v>
      </c>
      <c r="O10" s="160">
        <f t="shared" si="0"/>
        <v>0.65307288531377417</v>
      </c>
      <c r="P10" s="161">
        <f t="shared" si="1"/>
        <v>2.7574800609716732E-2</v>
      </c>
      <c r="Q10" s="159">
        <f t="shared" si="9"/>
        <v>0.65746241562108554</v>
      </c>
      <c r="R10" s="160">
        <f t="shared" si="10"/>
        <v>3.2292131373771807E-2</v>
      </c>
      <c r="S10" s="170">
        <v>1302.6231000511907</v>
      </c>
      <c r="T10" s="171">
        <v>1302.4191123862993</v>
      </c>
      <c r="U10" s="172">
        <f t="shared" si="2"/>
        <v>1302.521106218745</v>
      </c>
      <c r="V10" s="184">
        <v>0.7059277402944959</v>
      </c>
      <c r="W10" s="185">
        <v>0.64932399308858013</v>
      </c>
      <c r="X10" s="185">
        <f t="shared" si="3"/>
        <v>0.67762586669153801</v>
      </c>
      <c r="Y10" s="186">
        <f t="shared" si="4"/>
        <v>2.8301873602957883E-2</v>
      </c>
      <c r="Z10" s="184">
        <v>0.69708037339273243</v>
      </c>
      <c r="AA10" s="185">
        <v>0.64065377226039111</v>
      </c>
      <c r="AB10" s="185">
        <f t="shared" si="5"/>
        <v>0.66886707282656177</v>
      </c>
      <c r="AC10" s="186">
        <f t="shared" si="6"/>
        <v>2.8213300566170663E-2</v>
      </c>
      <c r="AD10" s="194">
        <f t="shared" si="11"/>
        <v>0.67324646975904989</v>
      </c>
      <c r="AE10" s="195">
        <f t="shared" si="12"/>
        <v>3.3018627200005986E-2</v>
      </c>
      <c r="AF10" s="201">
        <v>0.6895154063353699</v>
      </c>
      <c r="AG10" s="202">
        <v>0.66183572548640957</v>
      </c>
      <c r="AH10" s="202">
        <v>0.63418848552142393</v>
      </c>
      <c r="AI10" s="203">
        <v>2.7663460406972984E-2</v>
      </c>
      <c r="AJ10" s="201">
        <v>0.6806476859234909</v>
      </c>
      <c r="AK10" s="202">
        <v>0.65305739600689261</v>
      </c>
      <c r="AL10" s="202">
        <v>0.62549808470405743</v>
      </c>
      <c r="AM10" s="203">
        <v>2.7574800609716732E-2</v>
      </c>
      <c r="AN10" s="201">
        <v>1.0291075478370071</v>
      </c>
      <c r="AO10" s="203">
        <v>8.1384845615670924E-4</v>
      </c>
    </row>
    <row r="11" spans="1:41">
      <c r="A11" s="201" t="s">
        <v>449</v>
      </c>
      <c r="B11" s="202">
        <v>1300</v>
      </c>
      <c r="C11" s="203"/>
      <c r="D11" s="143">
        <v>1.3036265164644716</v>
      </c>
      <c r="E11" s="144">
        <v>2.514209617354924E-2</v>
      </c>
      <c r="F11" s="150">
        <v>1.0334000000000001</v>
      </c>
      <c r="G11" s="151">
        <v>1.03322</v>
      </c>
      <c r="H11" s="152">
        <v>1.03359</v>
      </c>
      <c r="I11" s="159">
        <v>1.075093983558852</v>
      </c>
      <c r="J11" s="160">
        <v>1.0255517358100645</v>
      </c>
      <c r="K11" s="160">
        <f t="shared" si="7"/>
        <v>1.0503228596844583</v>
      </c>
      <c r="L11" s="161">
        <f t="shared" si="8"/>
        <v>2.477112387439373E-2</v>
      </c>
      <c r="M11" s="159">
        <v>1.0648425323224622</v>
      </c>
      <c r="N11" s="160">
        <v>1.0154923028717162</v>
      </c>
      <c r="O11" s="160">
        <f t="shared" si="0"/>
        <v>1.0401674175970892</v>
      </c>
      <c r="P11" s="161">
        <f t="shared" si="1"/>
        <v>2.4675114725372982E-2</v>
      </c>
      <c r="Q11" s="159">
        <f t="shared" si="9"/>
        <v>1.0452451386407737</v>
      </c>
      <c r="R11" s="160">
        <f t="shared" si="10"/>
        <v>2.9143739941947865E-2</v>
      </c>
      <c r="S11" s="170">
        <v>1304.0106771276398</v>
      </c>
      <c r="T11" s="171">
        <v>1303.8356285218829</v>
      </c>
      <c r="U11" s="172">
        <f t="shared" si="2"/>
        <v>1303.9231528247615</v>
      </c>
      <c r="V11" s="184">
        <v>1.1001944193059741</v>
      </c>
      <c r="W11" s="185">
        <v>1.0495558436046002</v>
      </c>
      <c r="X11" s="185">
        <f t="shared" si="3"/>
        <v>1.0748751314552871</v>
      </c>
      <c r="Y11" s="186">
        <f t="shared" si="4"/>
        <v>2.5319287850686933E-2</v>
      </c>
      <c r="Z11" s="184">
        <v>1.0899577848114737</v>
      </c>
      <c r="AA11" s="185">
        <v>1.0395125858481284</v>
      </c>
      <c r="AB11" s="185">
        <f t="shared" si="5"/>
        <v>1.064735185329801</v>
      </c>
      <c r="AC11" s="186">
        <f t="shared" si="6"/>
        <v>2.5222599481672603E-2</v>
      </c>
      <c r="AD11" s="194">
        <f t="shared" si="11"/>
        <v>1.0698051583925441</v>
      </c>
      <c r="AE11" s="195">
        <f t="shared" si="12"/>
        <v>2.9761889675586729E-2</v>
      </c>
      <c r="AF11" s="201">
        <v>1.075093983558852</v>
      </c>
      <c r="AG11" s="202">
        <v>1.0509795883631057</v>
      </c>
      <c r="AH11" s="202">
        <v>1.0255517358100645</v>
      </c>
      <c r="AI11" s="203">
        <v>2.477112387439373E-2</v>
      </c>
      <c r="AJ11" s="201">
        <v>1.0648425323224622</v>
      </c>
      <c r="AK11" s="202">
        <v>1.0408221159567708</v>
      </c>
      <c r="AL11" s="202">
        <v>1.0154923028717162</v>
      </c>
      <c r="AM11" s="203">
        <v>2.4675114725372982E-2</v>
      </c>
      <c r="AN11" s="201">
        <v>1.0265315221163003</v>
      </c>
      <c r="AO11" s="203">
        <v>9.6504661555702007E-4</v>
      </c>
    </row>
    <row r="12" spans="1:41">
      <c r="A12" s="201" t="s">
        <v>450</v>
      </c>
      <c r="B12" s="202">
        <v>1500</v>
      </c>
      <c r="C12" s="203"/>
      <c r="D12" s="143">
        <v>1.7</v>
      </c>
      <c r="E12" s="144">
        <v>5.3117793628877287E-2</v>
      </c>
      <c r="F12" s="150">
        <v>1.04036</v>
      </c>
      <c r="G12" s="151">
        <v>1.0399400000000001</v>
      </c>
      <c r="H12" s="152">
        <v>1.04077</v>
      </c>
      <c r="I12" s="159">
        <v>1.4445970488329323</v>
      </c>
      <c r="J12" s="160">
        <v>1.3376263958271544</v>
      </c>
      <c r="K12" s="160">
        <f t="shared" si="7"/>
        <v>1.3911117223300433</v>
      </c>
      <c r="L12" s="161">
        <f t="shared" si="8"/>
        <v>5.3485326502888952E-2</v>
      </c>
      <c r="M12" s="159">
        <v>1.4397324343334779</v>
      </c>
      <c r="N12" s="160">
        <v>1.3332258547064351</v>
      </c>
      <c r="O12" s="160">
        <f t="shared" si="0"/>
        <v>1.3864791445199565</v>
      </c>
      <c r="P12" s="161">
        <f t="shared" si="1"/>
        <v>5.3253289813521398E-2</v>
      </c>
      <c r="Q12" s="159">
        <f t="shared" si="9"/>
        <v>1.3887954334249999</v>
      </c>
      <c r="R12" s="160">
        <f t="shared" si="10"/>
        <v>6.168372781464488E-2</v>
      </c>
      <c r="S12" s="170">
        <v>1506.7485620901605</v>
      </c>
      <c r="T12" s="171">
        <v>1506.284365475386</v>
      </c>
      <c r="U12" s="172">
        <f t="shared" si="2"/>
        <v>1506.5164637827734</v>
      </c>
      <c r="V12" s="184">
        <v>1.4869716304112108</v>
      </c>
      <c r="W12" s="185">
        <v>1.3770838306168427</v>
      </c>
      <c r="X12" s="185">
        <f t="shared" si="3"/>
        <v>1.4320277305140268</v>
      </c>
      <c r="Y12" s="186">
        <f t="shared" si="4"/>
        <v>5.4943899897184068E-2</v>
      </c>
      <c r="Z12" s="184">
        <v>1.4821951324631231</v>
      </c>
      <c r="AA12" s="185">
        <v>1.3727724181062824</v>
      </c>
      <c r="AB12" s="185">
        <f t="shared" si="5"/>
        <v>1.4274837752847027</v>
      </c>
      <c r="AC12" s="186">
        <f t="shared" si="6"/>
        <v>5.471135717842035E-2</v>
      </c>
      <c r="AD12" s="194">
        <f t="shared" si="11"/>
        <v>1.4297557528993647</v>
      </c>
      <c r="AE12" s="195">
        <f t="shared" si="12"/>
        <v>6.33639671778818E-2</v>
      </c>
      <c r="AF12" s="201">
        <v>1.4445970488329323</v>
      </c>
      <c r="AG12" s="202">
        <v>1.3904048200704597</v>
      </c>
      <c r="AH12" s="202">
        <v>1.3376263958271544</v>
      </c>
      <c r="AI12" s="203">
        <v>5.3485326502888952E-2</v>
      </c>
      <c r="AJ12" s="201">
        <v>1.4397324343334779</v>
      </c>
      <c r="AK12" s="202">
        <v>1.3857780629811343</v>
      </c>
      <c r="AL12" s="202">
        <v>1.3332258547064351</v>
      </c>
      <c r="AM12" s="203">
        <v>5.3253289813521398E-2</v>
      </c>
      <c r="AN12" s="201">
        <v>1.0296631056307708</v>
      </c>
      <c r="AO12" s="203">
        <v>7.9771981106402465E-4</v>
      </c>
    </row>
    <row r="13" spans="1:41">
      <c r="A13" s="201" t="s">
        <v>451</v>
      </c>
      <c r="B13" s="202">
        <v>1700</v>
      </c>
      <c r="C13" s="203"/>
      <c r="D13" s="143">
        <v>1.8479999999999999</v>
      </c>
      <c r="E13" s="144">
        <v>1.8999999999999996E-2</v>
      </c>
      <c r="F13" s="150">
        <v>1.04958</v>
      </c>
      <c r="G13" s="151">
        <v>1.0494399999999999</v>
      </c>
      <c r="H13" s="152">
        <v>1.0497399999999999</v>
      </c>
      <c r="I13" s="159">
        <v>1.5064433684232137</v>
      </c>
      <c r="J13" s="160">
        <v>1.4697313586031946</v>
      </c>
      <c r="K13" s="160">
        <f t="shared" si="7"/>
        <v>1.4880873635132041</v>
      </c>
      <c r="L13" s="161">
        <f t="shared" si="8"/>
        <v>1.8356004910009549E-2</v>
      </c>
      <c r="M13" s="159">
        <v>1.5105578727461495</v>
      </c>
      <c r="N13" s="160">
        <v>1.4739921033705379</v>
      </c>
      <c r="O13" s="160">
        <f t="shared" si="0"/>
        <v>1.4922749880583437</v>
      </c>
      <c r="P13" s="161">
        <f t="shared" si="1"/>
        <v>1.8282884687805812E-2</v>
      </c>
      <c r="Q13" s="159">
        <f t="shared" si="9"/>
        <v>1.4901811757857739</v>
      </c>
      <c r="R13" s="160">
        <f t="shared" si="10"/>
        <v>2.1291232756378488E-2</v>
      </c>
      <c r="S13" s="170">
        <v>1708.7282304114733</v>
      </c>
      <c r="T13" s="171">
        <v>1708.5325685342229</v>
      </c>
      <c r="U13" s="172">
        <f t="shared" si="2"/>
        <v>1708.6303994728482</v>
      </c>
      <c r="V13" s="184">
        <v>1.561355058621257</v>
      </c>
      <c r="W13" s="185">
        <v>1.523411347924803</v>
      </c>
      <c r="X13" s="185">
        <f t="shared" si="3"/>
        <v>1.54238320327303</v>
      </c>
      <c r="Y13" s="186">
        <f t="shared" si="4"/>
        <v>1.8971855348226985E-2</v>
      </c>
      <c r="Z13" s="184">
        <v>1.5656932747648735</v>
      </c>
      <c r="AA13" s="185">
        <v>1.5278940511577375</v>
      </c>
      <c r="AB13" s="185">
        <f t="shared" si="5"/>
        <v>1.5467936629613055</v>
      </c>
      <c r="AC13" s="186">
        <f t="shared" si="6"/>
        <v>1.8899611803568028E-2</v>
      </c>
      <c r="AD13" s="194">
        <f t="shared" si="11"/>
        <v>1.5445884331171678</v>
      </c>
      <c r="AE13" s="195">
        <f t="shared" si="12"/>
        <v>2.2012915890609438E-2</v>
      </c>
      <c r="AF13" s="201">
        <v>1.5064433684232137</v>
      </c>
      <c r="AG13" s="202">
        <v>1.4893032693221233</v>
      </c>
      <c r="AH13" s="202">
        <v>1.4697313586031946</v>
      </c>
      <c r="AI13" s="203">
        <v>1.8356004910009549E-2</v>
      </c>
      <c r="AJ13" s="201">
        <v>1.5105578727461495</v>
      </c>
      <c r="AK13" s="202">
        <v>1.4934864376220638</v>
      </c>
      <c r="AL13" s="202">
        <v>1.4739921033705379</v>
      </c>
      <c r="AM13" s="203">
        <v>1.8282884687805812E-2</v>
      </c>
      <c r="AN13" s="201">
        <v>1.0368407917706128</v>
      </c>
      <c r="AO13" s="203">
        <v>7.5264020912068751E-4</v>
      </c>
    </row>
    <row r="14" spans="1:41">
      <c r="A14" s="201" t="s">
        <v>452</v>
      </c>
      <c r="B14" s="202">
        <v>1300</v>
      </c>
      <c r="C14" s="203"/>
      <c r="D14" s="143">
        <v>3.8973076923076917</v>
      </c>
      <c r="E14" s="144">
        <v>4.699468055003677E-2</v>
      </c>
      <c r="F14" s="150">
        <v>1.0148200000000001</v>
      </c>
      <c r="G14" s="151">
        <v>1.0144899999999999</v>
      </c>
      <c r="H14" s="152">
        <v>1.0151399999999999</v>
      </c>
      <c r="I14" s="159">
        <v>3.7207358349427797</v>
      </c>
      <c r="J14" s="160">
        <v>3.6242580535622442</v>
      </c>
      <c r="K14" s="160">
        <f t="shared" si="7"/>
        <v>3.6724969442525119</v>
      </c>
      <c r="L14" s="161">
        <f t="shared" si="8"/>
        <v>4.8238890690267766E-2</v>
      </c>
      <c r="M14" s="159">
        <v>3.6949271637625167</v>
      </c>
      <c r="N14" s="160">
        <v>3.5991785265312641</v>
      </c>
      <c r="O14" s="160">
        <f t="shared" si="0"/>
        <v>3.6470528451468907</v>
      </c>
      <c r="P14" s="161">
        <f t="shared" si="1"/>
        <v>4.7874318615626299E-2</v>
      </c>
      <c r="Q14" s="159">
        <f t="shared" si="9"/>
        <v>3.6597748946997015</v>
      </c>
      <c r="R14" s="160">
        <f t="shared" si="10"/>
        <v>5.7402915417171678E-2</v>
      </c>
      <c r="S14" s="170">
        <v>1312.2205300261014</v>
      </c>
      <c r="T14" s="171">
        <v>1311.9544460275567</v>
      </c>
      <c r="U14" s="172">
        <f t="shared" si="2"/>
        <v>1312.0874880268291</v>
      </c>
      <c r="V14" s="184">
        <v>3.797396361029358</v>
      </c>
      <c r="W14" s="185">
        <v>3.6992417116115939</v>
      </c>
      <c r="X14" s="185">
        <f t="shared" si="3"/>
        <v>3.7483190363204759</v>
      </c>
      <c r="Y14" s="186">
        <f t="shared" si="4"/>
        <v>4.9077324708882042E-2</v>
      </c>
      <c r="Z14" s="184">
        <v>3.7712905979510034</v>
      </c>
      <c r="AA14" s="185">
        <v>3.6738837740627419</v>
      </c>
      <c r="AB14" s="185">
        <f t="shared" si="5"/>
        <v>3.7225871860068729</v>
      </c>
      <c r="AC14" s="186">
        <f t="shared" si="6"/>
        <v>4.8703411944130748E-2</v>
      </c>
      <c r="AD14" s="194">
        <f t="shared" si="11"/>
        <v>3.7354531111636744</v>
      </c>
      <c r="AE14" s="195">
        <f t="shared" si="12"/>
        <v>5.8376194896330724E-2</v>
      </c>
      <c r="AF14" s="201">
        <v>3.7207358349427797</v>
      </c>
      <c r="AG14" s="202">
        <v>3.6717116105357133</v>
      </c>
      <c r="AH14" s="202">
        <v>3.6242580535622442</v>
      </c>
      <c r="AI14" s="203">
        <v>4.8238890690267766E-2</v>
      </c>
      <c r="AJ14" s="201">
        <v>3.6949271637625167</v>
      </c>
      <c r="AK14" s="202">
        <v>3.6462747954231998</v>
      </c>
      <c r="AL14" s="202">
        <v>3.5991785265312641</v>
      </c>
      <c r="AM14" s="203">
        <v>4.7874318615626299E-2</v>
      </c>
      <c r="AN14" s="201">
        <v>0.99245210711279663</v>
      </c>
      <c r="AO14" s="203">
        <v>1.1196048694547213E-3</v>
      </c>
    </row>
    <row r="15" spans="1:41">
      <c r="A15" s="201" t="s">
        <v>453</v>
      </c>
      <c r="B15" s="202">
        <v>1500</v>
      </c>
      <c r="C15" s="203"/>
      <c r="D15" s="143">
        <v>3.7512383695170581</v>
      </c>
      <c r="E15" s="144">
        <v>3.4126602526474842E-2</v>
      </c>
      <c r="F15" s="150">
        <v>1.02495</v>
      </c>
      <c r="G15" s="151">
        <v>1.02471</v>
      </c>
      <c r="H15" s="152">
        <v>1.0251999999999999</v>
      </c>
      <c r="I15" s="159">
        <v>3.4985196412744508</v>
      </c>
      <c r="J15" s="160">
        <v>3.429679720157174</v>
      </c>
      <c r="K15" s="160">
        <f t="shared" si="7"/>
        <v>3.4640996807158126</v>
      </c>
      <c r="L15" s="161">
        <f t="shared" si="8"/>
        <v>3.4419960558638385E-2</v>
      </c>
      <c r="M15" s="159">
        <v>3.4808761179269112</v>
      </c>
      <c r="N15" s="160">
        <v>3.4125721319009301</v>
      </c>
      <c r="O15" s="160">
        <f t="shared" si="0"/>
        <v>3.4467241249139207</v>
      </c>
      <c r="P15" s="161">
        <f t="shared" si="1"/>
        <v>3.4151993012990545E-2</v>
      </c>
      <c r="Q15" s="159">
        <f t="shared" si="9"/>
        <v>3.4554119028148667</v>
      </c>
      <c r="R15" s="160">
        <f t="shared" si="10"/>
        <v>4.0841541607615682E-2</v>
      </c>
      <c r="S15" s="170">
        <v>1514.7890388216988</v>
      </c>
      <c r="T15" s="171">
        <v>1514.5431037630678</v>
      </c>
      <c r="U15" s="172">
        <f t="shared" si="2"/>
        <v>1514.6660712923833</v>
      </c>
      <c r="V15" s="184">
        <v>3.5915279397358231</v>
      </c>
      <c r="W15" s="185">
        <v>3.5211354554639396</v>
      </c>
      <c r="X15" s="185">
        <f t="shared" si="3"/>
        <v>3.5563316975998811</v>
      </c>
      <c r="Y15" s="186">
        <f t="shared" si="4"/>
        <v>3.5196242135941747E-2</v>
      </c>
      <c r="Z15" s="184">
        <v>3.5737559741868523</v>
      </c>
      <c r="AA15" s="185">
        <v>3.5039121948846743</v>
      </c>
      <c r="AB15" s="185">
        <f t="shared" si="5"/>
        <v>3.5388340845357633</v>
      </c>
      <c r="AC15" s="186">
        <f t="shared" si="6"/>
        <v>3.4921889651089E-2</v>
      </c>
      <c r="AD15" s="194">
        <f t="shared" si="11"/>
        <v>3.5475828910678224</v>
      </c>
      <c r="AE15" s="195">
        <f t="shared" si="12"/>
        <v>4.1724469789045648E-2</v>
      </c>
      <c r="AF15" s="201">
        <v>3.4985196412744508</v>
      </c>
      <c r="AG15" s="202">
        <v>3.4647786501851217</v>
      </c>
      <c r="AH15" s="202">
        <v>3.429679720157174</v>
      </c>
      <c r="AI15" s="203">
        <v>3.4419960558638385E-2</v>
      </c>
      <c r="AJ15" s="201">
        <v>3.4808761179269112</v>
      </c>
      <c r="AK15" s="202">
        <v>3.4473986525319096</v>
      </c>
      <c r="AL15" s="202">
        <v>3.4125721319009301</v>
      </c>
      <c r="AM15" s="203">
        <v>3.4151993012990545E-2</v>
      </c>
      <c r="AN15" s="201">
        <v>1.0047081400325077</v>
      </c>
      <c r="AO15" s="203">
        <v>7.1097278073252944E-4</v>
      </c>
    </row>
    <row r="16" spans="1:41">
      <c r="A16" s="201" t="s">
        <v>454</v>
      </c>
      <c r="B16" s="202">
        <v>1300</v>
      </c>
      <c r="C16" s="203"/>
      <c r="D16" s="143">
        <v>3.4715471698113212</v>
      </c>
      <c r="E16" s="144">
        <v>1.9121323175972933E-2</v>
      </c>
      <c r="F16" s="150">
        <v>1.0177499999999999</v>
      </c>
      <c r="G16" s="151">
        <v>1.0176099999999999</v>
      </c>
      <c r="H16" s="152">
        <v>1.0178799999999999</v>
      </c>
      <c r="I16" s="159">
        <v>3.2607803422679016</v>
      </c>
      <c r="J16" s="160">
        <v>3.2213475011031631</v>
      </c>
      <c r="K16" s="160">
        <f t="shared" si="7"/>
        <v>3.2410639216855324</v>
      </c>
      <c r="L16" s="161">
        <f t="shared" si="8"/>
        <v>1.9716420582369221E-2</v>
      </c>
      <c r="M16" s="159">
        <v>3.2383490024641888</v>
      </c>
      <c r="N16" s="160">
        <v>3.1991938382494376</v>
      </c>
      <c r="O16" s="160">
        <f t="shared" si="0"/>
        <v>3.2187714203568132</v>
      </c>
      <c r="P16" s="161">
        <f t="shared" si="1"/>
        <v>1.9577582107375591E-2</v>
      </c>
      <c r="Q16" s="159">
        <f t="shared" si="9"/>
        <v>3.2299176710211728</v>
      </c>
      <c r="R16" s="160">
        <f t="shared" si="10"/>
        <v>2.6083158928030925E-2</v>
      </c>
      <c r="S16" s="170">
        <v>1310.9322412853767</v>
      </c>
      <c r="T16" s="171">
        <v>1310.8194147246763</v>
      </c>
      <c r="U16" s="172">
        <f t="shared" si="2"/>
        <v>1310.8758280050265</v>
      </c>
      <c r="V16" s="184">
        <v>3.3293264814884713</v>
      </c>
      <c r="W16" s="185">
        <v>3.2891835087128154</v>
      </c>
      <c r="X16" s="185">
        <f t="shared" si="3"/>
        <v>3.3092549951006434</v>
      </c>
      <c r="Y16" s="186">
        <f t="shared" si="4"/>
        <v>2.0071486387827964E-2</v>
      </c>
      <c r="Z16" s="184">
        <v>3.3066826266319373</v>
      </c>
      <c r="AA16" s="185">
        <v>3.2668240439815812</v>
      </c>
      <c r="AB16" s="185">
        <f t="shared" si="5"/>
        <v>3.2867533353067593</v>
      </c>
      <c r="AC16" s="186">
        <f t="shared" si="6"/>
        <v>1.9929291325178067E-2</v>
      </c>
      <c r="AD16" s="194">
        <f t="shared" si="11"/>
        <v>3.2980041652037011</v>
      </c>
      <c r="AE16" s="195">
        <f t="shared" si="12"/>
        <v>2.6497843500688005E-2</v>
      </c>
      <c r="AF16" s="201">
        <v>3.2607803422679016</v>
      </c>
      <c r="AG16" s="202">
        <v>3.2403263466536583</v>
      </c>
      <c r="AH16" s="202">
        <v>3.2213475011031631</v>
      </c>
      <c r="AI16" s="203">
        <v>1.9716420582369221E-2</v>
      </c>
      <c r="AJ16" s="201">
        <v>3.2383490024641888</v>
      </c>
      <c r="AK16" s="202">
        <v>3.2180392784672236</v>
      </c>
      <c r="AL16" s="202">
        <v>3.1991938382494376</v>
      </c>
      <c r="AM16" s="203">
        <v>1.9577582107375591E-2</v>
      </c>
      <c r="AN16" s="201">
        <v>1.0026540971770772</v>
      </c>
      <c r="AO16" s="203">
        <v>9.3336901300097278E-4</v>
      </c>
    </row>
    <row r="17" spans="1:41">
      <c r="A17" s="201" t="s">
        <v>455</v>
      </c>
      <c r="B17" s="202">
        <v>1500</v>
      </c>
      <c r="C17" s="203"/>
      <c r="D17" s="143">
        <v>3.9347056504599212</v>
      </c>
      <c r="E17" s="144">
        <v>2.2374650835264468E-2</v>
      </c>
      <c r="F17" s="150">
        <v>1.02363</v>
      </c>
      <c r="G17" s="151">
        <v>1.0234700000000001</v>
      </c>
      <c r="H17" s="152">
        <v>1.0238</v>
      </c>
      <c r="I17" s="159">
        <v>3.6735682688488929</v>
      </c>
      <c r="J17" s="160">
        <v>3.6268646803937612</v>
      </c>
      <c r="K17" s="160">
        <f t="shared" si="7"/>
        <v>3.650216474621327</v>
      </c>
      <c r="L17" s="161">
        <f t="shared" si="8"/>
        <v>2.3351794227565836E-2</v>
      </c>
      <c r="M17" s="159">
        <v>3.6545318261019304</v>
      </c>
      <c r="N17" s="160">
        <v>3.6082040628693695</v>
      </c>
      <c r="O17" s="160">
        <f t="shared" si="0"/>
        <v>3.6313679444856497</v>
      </c>
      <c r="P17" s="161">
        <f t="shared" si="1"/>
        <v>2.3163881616280468E-2</v>
      </c>
      <c r="Q17" s="159">
        <f t="shared" si="9"/>
        <v>3.6407922095534886</v>
      </c>
      <c r="R17" s="160">
        <f t="shared" si="10"/>
        <v>2.8977062760252262E-2</v>
      </c>
      <c r="S17" s="170">
        <v>1515.4079897274141</v>
      </c>
      <c r="T17" s="171">
        <v>1515.243743061756</v>
      </c>
      <c r="U17" s="172">
        <f t="shared" si="2"/>
        <v>1515.3258663945851</v>
      </c>
      <c r="V17" s="184">
        <v>3.7704852918442135</v>
      </c>
      <c r="W17" s="185">
        <v>3.7227442807372713</v>
      </c>
      <c r="X17" s="185">
        <f t="shared" si="3"/>
        <v>3.7466147862907424</v>
      </c>
      <c r="Y17" s="186">
        <f t="shared" si="4"/>
        <v>2.3870505553471144E-2</v>
      </c>
      <c r="Z17" s="184">
        <v>3.751286377898543</v>
      </c>
      <c r="AA17" s="185">
        <v>3.7039304878869941</v>
      </c>
      <c r="AB17" s="185">
        <f t="shared" si="5"/>
        <v>3.7276084328927688</v>
      </c>
      <c r="AC17" s="186">
        <f t="shared" si="6"/>
        <v>2.367794500577447E-2</v>
      </c>
      <c r="AD17" s="194">
        <f t="shared" si="11"/>
        <v>3.7371116095917558</v>
      </c>
      <c r="AE17" s="195">
        <f t="shared" si="12"/>
        <v>2.956424473153467E-2</v>
      </c>
      <c r="AF17" s="201">
        <v>3.6735682688488929</v>
      </c>
      <c r="AG17" s="202">
        <v>3.6509133918063488</v>
      </c>
      <c r="AH17" s="202">
        <v>3.6268646803937612</v>
      </c>
      <c r="AI17" s="203">
        <v>2.3351794227565836E-2</v>
      </c>
      <c r="AJ17" s="201">
        <v>3.6545318261019304</v>
      </c>
      <c r="AK17" s="202">
        <v>3.6320596315434353</v>
      </c>
      <c r="AL17" s="202">
        <v>3.6082040628693695</v>
      </c>
      <c r="AM17" s="203">
        <v>2.3163881616280468E-2</v>
      </c>
      <c r="AN17" s="201">
        <v>1.0061127255717159</v>
      </c>
      <c r="AO17" s="203">
        <v>9.8963382314757047E-4</v>
      </c>
    </row>
    <row r="18" spans="1:41">
      <c r="A18" s="201" t="s">
        <v>456</v>
      </c>
      <c r="B18" s="202">
        <v>1300</v>
      </c>
      <c r="C18" s="203"/>
      <c r="D18" s="143">
        <v>3.3915000000000002</v>
      </c>
      <c r="E18" s="144">
        <v>2.0152543263816568E-2</v>
      </c>
      <c r="F18" s="150">
        <v>1.0183</v>
      </c>
      <c r="G18" s="151">
        <v>1.01816</v>
      </c>
      <c r="H18" s="152">
        <v>1.01844</v>
      </c>
      <c r="I18" s="159">
        <v>3.1805162264874891</v>
      </c>
      <c r="J18" s="160">
        <v>3.1397480353103964</v>
      </c>
      <c r="K18" s="160">
        <f t="shared" si="7"/>
        <v>3.1601321308989427</v>
      </c>
      <c r="L18" s="161">
        <f t="shared" si="8"/>
        <v>2.0384095588546369E-2</v>
      </c>
      <c r="M18" s="159">
        <v>3.1586480619491444</v>
      </c>
      <c r="N18" s="160">
        <v>3.1181628595822257</v>
      </c>
      <c r="O18" s="160">
        <f t="shared" si="0"/>
        <v>3.1384054607656848</v>
      </c>
      <c r="P18" s="161">
        <f t="shared" si="1"/>
        <v>2.024260118345933E-2</v>
      </c>
      <c r="Q18" s="159">
        <f t="shared" si="9"/>
        <v>3.149268795832314</v>
      </c>
      <c r="R18" s="160">
        <f t="shared" si="10"/>
        <v>2.65994781048461E-2</v>
      </c>
      <c r="S18" s="170">
        <v>1310.7021785557827</v>
      </c>
      <c r="T18" s="171">
        <v>1310.5847060679314</v>
      </c>
      <c r="U18" s="172">
        <f t="shared" si="2"/>
        <v>1310.6434423118571</v>
      </c>
      <c r="V18" s="184">
        <v>3.2476144322614582</v>
      </c>
      <c r="W18" s="185">
        <v>3.2061070368675448</v>
      </c>
      <c r="X18" s="185">
        <f t="shared" si="3"/>
        <v>3.2268607345645015</v>
      </c>
      <c r="Y18" s="186">
        <f t="shared" si="4"/>
        <v>2.0753697696956674E-2</v>
      </c>
      <c r="Z18" s="184">
        <v>3.2255473254713292</v>
      </c>
      <c r="AA18" s="185">
        <v>3.1843296744138678</v>
      </c>
      <c r="AB18" s="185">
        <f t="shared" si="5"/>
        <v>3.2049384999425987</v>
      </c>
      <c r="AC18" s="186">
        <f t="shared" si="6"/>
        <v>2.0608825528730668E-2</v>
      </c>
      <c r="AD18" s="194">
        <f t="shared" si="11"/>
        <v>3.2158996172535499</v>
      </c>
      <c r="AE18" s="195">
        <f t="shared" si="12"/>
        <v>2.7027539574530364E-2</v>
      </c>
      <c r="AF18" s="201">
        <v>3.1805162264874891</v>
      </c>
      <c r="AG18" s="202">
        <v>3.1601242509509015</v>
      </c>
      <c r="AH18" s="202">
        <v>3.1397480353103964</v>
      </c>
      <c r="AI18" s="203">
        <v>2.0384095588546369E-2</v>
      </c>
      <c r="AJ18" s="201">
        <v>3.1586480619491444</v>
      </c>
      <c r="AK18" s="202">
        <v>3.1383978946164497</v>
      </c>
      <c r="AL18" s="202">
        <v>3.1181628595822257</v>
      </c>
      <c r="AM18" s="203">
        <v>2.024260118345933E-2</v>
      </c>
      <c r="AN18" s="201">
        <v>1.00309969250612</v>
      </c>
      <c r="AO18" s="203">
        <v>9.2992360797283942E-4</v>
      </c>
    </row>
    <row r="19" spans="1:41">
      <c r="A19" s="201" t="s">
        <v>457</v>
      </c>
      <c r="B19" s="202">
        <v>1100</v>
      </c>
      <c r="C19" s="203"/>
      <c r="D19" s="143">
        <v>2.8119999999999998</v>
      </c>
      <c r="E19" s="144">
        <v>2.2869193252058551E-2</v>
      </c>
      <c r="F19" s="150">
        <v>1.0134000000000001</v>
      </c>
      <c r="G19" s="151">
        <v>1.01326</v>
      </c>
      <c r="H19" s="152">
        <v>1.01356</v>
      </c>
      <c r="I19" s="159">
        <v>2.6533085376257137</v>
      </c>
      <c r="J19" s="160">
        <v>2.6084902349720926</v>
      </c>
      <c r="K19" s="160">
        <f t="shared" si="7"/>
        <v>2.6308993862989034</v>
      </c>
      <c r="L19" s="161">
        <f t="shared" si="8"/>
        <v>2.2409151326810539E-2</v>
      </c>
      <c r="M19" s="159">
        <v>2.6313186435639584</v>
      </c>
      <c r="N19" s="160">
        <v>2.5867555476272983</v>
      </c>
      <c r="O19" s="160">
        <f t="shared" si="0"/>
        <v>2.6090370955956281</v>
      </c>
      <c r="P19" s="161">
        <f t="shared" si="1"/>
        <v>2.228154796833004E-2</v>
      </c>
      <c r="Q19" s="159">
        <f t="shared" si="9"/>
        <v>2.6199682409472658</v>
      </c>
      <c r="R19" s="160">
        <f t="shared" si="10"/>
        <v>2.8724174725019057E-2</v>
      </c>
      <c r="S19" s="170">
        <v>1106.9473474666179</v>
      </c>
      <c r="T19" s="171">
        <v>1106.8444260569761</v>
      </c>
      <c r="U19" s="172">
        <f t="shared" si="2"/>
        <v>1106.8958867617971</v>
      </c>
      <c r="V19" s="184">
        <v>2.6966158090441175</v>
      </c>
      <c r="W19" s="185">
        <v>2.6511540566250686</v>
      </c>
      <c r="X19" s="185">
        <f t="shared" si="3"/>
        <v>2.6738849328345928</v>
      </c>
      <c r="Y19" s="186">
        <f t="shared" si="4"/>
        <v>2.2730876209524409E-2</v>
      </c>
      <c r="Z19" s="184">
        <v>2.6744446421903905</v>
      </c>
      <c r="AA19" s="185">
        <v>2.6292440101530543</v>
      </c>
      <c r="AB19" s="185">
        <f t="shared" si="5"/>
        <v>2.6518443261717222</v>
      </c>
      <c r="AC19" s="186">
        <f t="shared" si="6"/>
        <v>2.2600316018668076E-2</v>
      </c>
      <c r="AD19" s="194">
        <f t="shared" si="11"/>
        <v>2.6628646295031579</v>
      </c>
      <c r="AE19" s="195">
        <f t="shared" si="12"/>
        <v>2.9101674504285566E-2</v>
      </c>
      <c r="AF19" s="201">
        <v>2.6533085376257137</v>
      </c>
      <c r="AG19" s="202">
        <v>2.6323841527402783</v>
      </c>
      <c r="AH19" s="202">
        <v>2.6084902349720926</v>
      </c>
      <c r="AI19" s="203">
        <v>2.2409151326810539E-2</v>
      </c>
      <c r="AJ19" s="201">
        <v>2.6313186435639584</v>
      </c>
      <c r="AK19" s="202">
        <v>2.6105136907549804</v>
      </c>
      <c r="AL19" s="202">
        <v>2.5867555476272983</v>
      </c>
      <c r="AM19" s="203">
        <v>2.228154796833004E-2</v>
      </c>
      <c r="AN19" s="201">
        <v>1.0012916274423524</v>
      </c>
      <c r="AO19" s="203">
        <v>8.9171477670867486E-4</v>
      </c>
    </row>
    <row r="20" spans="1:41">
      <c r="A20" s="201" t="s">
        <v>458</v>
      </c>
      <c r="B20" s="202">
        <v>900</v>
      </c>
      <c r="C20" s="203"/>
      <c r="D20" s="143">
        <v>2.1939999999999995</v>
      </c>
      <c r="E20" s="144">
        <v>1.9209372712298545E-2</v>
      </c>
      <c r="F20" s="150">
        <v>1.0089999999999999</v>
      </c>
      <c r="G20" s="151">
        <v>1.0088600000000001</v>
      </c>
      <c r="H20" s="152">
        <v>1.00912</v>
      </c>
      <c r="I20" s="159">
        <v>2.0781977841197072</v>
      </c>
      <c r="J20" s="160">
        <v>2.0384483493574255</v>
      </c>
      <c r="K20" s="160">
        <f t="shared" si="7"/>
        <v>2.0583230667385664</v>
      </c>
      <c r="L20" s="161">
        <f t="shared" si="8"/>
        <v>1.9874717381140883E-2</v>
      </c>
      <c r="M20" s="159">
        <v>2.0587411998768417</v>
      </c>
      <c r="N20" s="160">
        <v>2.0191640494281486</v>
      </c>
      <c r="O20" s="160">
        <f t="shared" si="0"/>
        <v>2.0389526246524952</v>
      </c>
      <c r="P20" s="161">
        <f t="shared" si="1"/>
        <v>1.9788575224346516E-2</v>
      </c>
      <c r="Q20" s="159">
        <f t="shared" si="9"/>
        <v>2.0486378456955308</v>
      </c>
      <c r="R20" s="160">
        <f t="shared" si="10"/>
        <v>2.5484624301655084E-2</v>
      </c>
      <c r="S20" s="170">
        <v>904.06841884449113</v>
      </c>
      <c r="T20" s="171">
        <v>903.99831518767121</v>
      </c>
      <c r="U20" s="172">
        <f t="shared" si="2"/>
        <v>904.03336701608123</v>
      </c>
      <c r="V20" s="184">
        <v>2.1032881974136233</v>
      </c>
      <c r="W20" s="185">
        <v>2.0631055726688716</v>
      </c>
      <c r="X20" s="185">
        <f t="shared" si="3"/>
        <v>2.0831968850412474</v>
      </c>
      <c r="Y20" s="186">
        <f t="shared" si="4"/>
        <v>2.0091312372375825E-2</v>
      </c>
      <c r="Z20" s="184">
        <v>2.0836984557248712</v>
      </c>
      <c r="AA20" s="185">
        <v>2.0436920602071291</v>
      </c>
      <c r="AB20" s="185">
        <f t="shared" si="5"/>
        <v>2.0636952579660002</v>
      </c>
      <c r="AC20" s="186">
        <f t="shared" si="6"/>
        <v>2.000319775887105E-2</v>
      </c>
      <c r="AD20" s="194">
        <f t="shared" si="11"/>
        <v>2.073446071503624</v>
      </c>
      <c r="AE20" s="195">
        <f t="shared" si="12"/>
        <v>2.574160682262466E-2</v>
      </c>
      <c r="AF20" s="201">
        <v>2.0781977841197072</v>
      </c>
      <c r="AG20" s="202">
        <v>2.0567872420692956</v>
      </c>
      <c r="AH20" s="202">
        <v>2.0384483493574255</v>
      </c>
      <c r="AI20" s="203">
        <v>1.9874717381140883E-2</v>
      </c>
      <c r="AJ20" s="201">
        <v>2.0587411998768417</v>
      </c>
      <c r="AK20" s="202">
        <v>2.0374236614200254</v>
      </c>
      <c r="AL20" s="202">
        <v>2.0191640494281486</v>
      </c>
      <c r="AM20" s="203">
        <v>1.9788575224346516E-2</v>
      </c>
      <c r="AN20" s="201">
        <v>0.99953339193372004</v>
      </c>
      <c r="AO20" s="203">
        <v>8.7624320198588035E-4</v>
      </c>
    </row>
    <row r="21" spans="1:41">
      <c r="A21" s="201" t="s">
        <v>459</v>
      </c>
      <c r="B21" s="202">
        <v>700</v>
      </c>
      <c r="C21" s="203"/>
      <c r="D21" s="143">
        <v>1.5794999999999999</v>
      </c>
      <c r="E21" s="144">
        <v>2.0152543263816592E-2</v>
      </c>
      <c r="F21" s="150">
        <v>1.00482</v>
      </c>
      <c r="G21" s="151">
        <v>1.0046999999999999</v>
      </c>
      <c r="H21" s="152">
        <v>1.0049600000000001</v>
      </c>
      <c r="I21" s="159">
        <v>1.5001436427444816</v>
      </c>
      <c r="J21" s="160">
        <v>1.4595178175808632</v>
      </c>
      <c r="K21" s="160">
        <f t="shared" si="7"/>
        <v>1.4798307301626723</v>
      </c>
      <c r="L21" s="161">
        <f t="shared" si="8"/>
        <v>2.0312912581809228E-2</v>
      </c>
      <c r="M21" s="159">
        <v>1.485477511043882</v>
      </c>
      <c r="N21" s="160">
        <v>1.4449707854124298</v>
      </c>
      <c r="O21" s="160">
        <f t="shared" si="0"/>
        <v>1.4652241482281561</v>
      </c>
      <c r="P21" s="161">
        <f t="shared" si="1"/>
        <v>2.0253362815726095E-2</v>
      </c>
      <c r="Q21" s="159">
        <f t="shared" si="9"/>
        <v>1.4725274391954142</v>
      </c>
      <c r="R21" s="160">
        <f t="shared" si="10"/>
        <v>2.489296072931103E-2</v>
      </c>
      <c r="S21" s="170">
        <v>702.07231871348688</v>
      </c>
      <c r="T21" s="171">
        <v>702.02029211423962</v>
      </c>
      <c r="U21" s="172">
        <f t="shared" si="2"/>
        <v>702.04630541386325</v>
      </c>
      <c r="V21" s="184">
        <v>1.5126452091123519</v>
      </c>
      <c r="W21" s="185">
        <v>1.4717052421872607</v>
      </c>
      <c r="X21" s="185">
        <f t="shared" si="3"/>
        <v>1.4921752256498064</v>
      </c>
      <c r="Y21" s="186">
        <f t="shared" si="4"/>
        <v>2.0469983462545582E-2</v>
      </c>
      <c r="Z21" s="184">
        <v>1.4978992184212088</v>
      </c>
      <c r="AA21" s="185">
        <v>1.4570811852743506</v>
      </c>
      <c r="AB21" s="185">
        <f t="shared" si="5"/>
        <v>1.4774902018477798</v>
      </c>
      <c r="AC21" s="186">
        <f t="shared" si="6"/>
        <v>2.0409016573429084E-2</v>
      </c>
      <c r="AD21" s="194">
        <f t="shared" si="11"/>
        <v>1.4848327137487929</v>
      </c>
      <c r="AE21" s="195">
        <f t="shared" si="12"/>
        <v>2.5078186304494949E-2</v>
      </c>
      <c r="AF21" s="201">
        <v>1.5001436427444816</v>
      </c>
      <c r="AG21" s="202">
        <v>1.4813861468304281</v>
      </c>
      <c r="AH21" s="202">
        <v>1.4595178175808632</v>
      </c>
      <c r="AI21" s="203">
        <v>2.0312912581809228E-2</v>
      </c>
      <c r="AJ21" s="201">
        <v>1.485477511043882</v>
      </c>
      <c r="AK21" s="202">
        <v>1.4667752034882335</v>
      </c>
      <c r="AL21" s="202">
        <v>1.4449707854124298</v>
      </c>
      <c r="AM21" s="203">
        <v>2.0253362815726095E-2</v>
      </c>
      <c r="AN21" s="201">
        <v>0.99845044165102403</v>
      </c>
      <c r="AO21" s="203">
        <v>8.4526445556033997E-4</v>
      </c>
    </row>
    <row r="22" spans="1:41">
      <c r="A22" s="201" t="s">
        <v>460</v>
      </c>
      <c r="B22" s="202">
        <v>500</v>
      </c>
      <c r="C22" s="203"/>
      <c r="D22" s="143">
        <v>0.9584999999999998</v>
      </c>
      <c r="E22" s="144">
        <v>2.1263231174964922E-2</v>
      </c>
      <c r="F22" s="150">
        <v>1.0010600000000001</v>
      </c>
      <c r="G22" s="151">
        <v>1.0009300000000001</v>
      </c>
      <c r="H22" s="152">
        <v>1.0012000000000001</v>
      </c>
      <c r="I22" s="159">
        <v>0.91611209161665974</v>
      </c>
      <c r="J22" s="160">
        <v>0.87306139598433963</v>
      </c>
      <c r="K22" s="160">
        <f t="shared" si="7"/>
        <v>0.89458674380049974</v>
      </c>
      <c r="L22" s="161">
        <f t="shared" si="8"/>
        <v>2.1525347816160056E-2</v>
      </c>
      <c r="M22" s="159">
        <v>0.90822855531256297</v>
      </c>
      <c r="N22" s="160">
        <v>0.86524348918707905</v>
      </c>
      <c r="O22" s="160">
        <f t="shared" si="0"/>
        <v>0.88673602224982107</v>
      </c>
      <c r="P22" s="161">
        <f t="shared" si="1"/>
        <v>2.1492533062741959E-2</v>
      </c>
      <c r="Q22" s="159">
        <f t="shared" si="9"/>
        <v>0.8906613830251604</v>
      </c>
      <c r="R22" s="160">
        <f t="shared" si="10"/>
        <v>2.524660360646382E-2</v>
      </c>
      <c r="S22" s="170">
        <v>500.82101388614916</v>
      </c>
      <c r="T22" s="171">
        <v>500.78415212351177</v>
      </c>
      <c r="U22" s="172">
        <f t="shared" si="2"/>
        <v>500.80258300483047</v>
      </c>
      <c r="V22" s="184">
        <v>0.92080347826444908</v>
      </c>
      <c r="W22" s="185">
        <v>0.87754219286016943</v>
      </c>
      <c r="X22" s="185">
        <f t="shared" si="3"/>
        <v>0.8991728355623092</v>
      </c>
      <c r="Y22" s="186">
        <f t="shared" si="4"/>
        <v>2.1630642702139824E-2</v>
      </c>
      <c r="Z22" s="184">
        <v>0.91288531023541986</v>
      </c>
      <c r="AA22" s="185">
        <v>0.86969152857238163</v>
      </c>
      <c r="AB22" s="185">
        <f t="shared" si="5"/>
        <v>0.8912884194039008</v>
      </c>
      <c r="AC22" s="186">
        <f t="shared" si="6"/>
        <v>2.1596890831519111E-2</v>
      </c>
      <c r="AD22" s="194">
        <f t="shared" si="11"/>
        <v>0.895230627483105</v>
      </c>
      <c r="AE22" s="195">
        <f t="shared" si="12"/>
        <v>2.5369172977923106E-2</v>
      </c>
      <c r="AF22" s="201">
        <v>0.91611209161665974</v>
      </c>
      <c r="AG22" s="202">
        <v>0.89537615398374282</v>
      </c>
      <c r="AH22" s="202">
        <v>0.87306139598433963</v>
      </c>
      <c r="AI22" s="203">
        <v>2.1525347816160056E-2</v>
      </c>
      <c r="AJ22" s="201">
        <v>0.90822855531256297</v>
      </c>
      <c r="AK22" s="202">
        <v>0.88752443939115899</v>
      </c>
      <c r="AL22" s="202">
        <v>0.86524348918707905</v>
      </c>
      <c r="AM22" s="203">
        <v>2.1492533062741959E-2</v>
      </c>
      <c r="AN22" s="201">
        <v>0.99764435344699021</v>
      </c>
      <c r="AO22" s="203">
        <v>8.3826213010028156E-4</v>
      </c>
    </row>
    <row r="23" spans="1:41">
      <c r="A23" s="201" t="s">
        <v>461</v>
      </c>
      <c r="B23" s="202">
        <v>305</v>
      </c>
      <c r="C23" s="203"/>
      <c r="D23" s="143">
        <v>0.42399999999999999</v>
      </c>
      <c r="E23" s="144">
        <v>1.8999999999999996E-2</v>
      </c>
      <c r="F23" s="150">
        <v>0.99753000000000003</v>
      </c>
      <c r="G23" s="151">
        <v>0.99741000000000002</v>
      </c>
      <c r="H23" s="152">
        <v>0.99765999999999999</v>
      </c>
      <c r="I23" s="159">
        <v>0.44267541197300636</v>
      </c>
      <c r="J23" s="160">
        <v>0.40198647096347062</v>
      </c>
      <c r="K23" s="160">
        <f t="shared" si="7"/>
        <v>0.42233094146823846</v>
      </c>
      <c r="L23" s="161">
        <f t="shared" si="8"/>
        <v>2.034447050476787E-2</v>
      </c>
      <c r="M23" s="159">
        <v>0.44242585195250489</v>
      </c>
      <c r="N23" s="160">
        <v>0.40175029833149362</v>
      </c>
      <c r="O23" s="160">
        <f t="shared" si="0"/>
        <v>0.42208807514199925</v>
      </c>
      <c r="P23" s="161">
        <f t="shared" si="1"/>
        <v>2.0337776810505637E-2</v>
      </c>
      <c r="Q23" s="159">
        <f t="shared" si="9"/>
        <v>0.42220950830511883</v>
      </c>
      <c r="R23" s="160">
        <f t="shared" si="10"/>
        <v>2.3488325294913657E-2</v>
      </c>
      <c r="S23" s="170">
        <v>305.22815407046721</v>
      </c>
      <c r="T23" s="171">
        <v>305.20766644656544</v>
      </c>
      <c r="U23" s="172">
        <f t="shared" si="2"/>
        <v>305.21791025851633</v>
      </c>
      <c r="V23" s="184">
        <v>0.4437638658757232</v>
      </c>
      <c r="W23" s="185">
        <v>0.40297729817603151</v>
      </c>
      <c r="X23" s="185">
        <f t="shared" si="3"/>
        <v>0.42337058202587735</v>
      </c>
      <c r="Y23" s="186">
        <f t="shared" si="4"/>
        <v>2.0393283849845845E-2</v>
      </c>
      <c r="Z23" s="184">
        <v>0.44350526166037518</v>
      </c>
      <c r="AA23" s="185">
        <v>0.40273295792874431</v>
      </c>
      <c r="AB23" s="185">
        <f t="shared" si="5"/>
        <v>0.42311910979455974</v>
      </c>
      <c r="AC23" s="186">
        <f t="shared" si="6"/>
        <v>2.0386151865815438E-2</v>
      </c>
      <c r="AD23" s="194">
        <f t="shared" si="11"/>
        <v>0.42324484591021849</v>
      </c>
      <c r="AE23" s="195">
        <f t="shared" si="12"/>
        <v>2.3544466203590679E-2</v>
      </c>
      <c r="AF23" s="201">
        <v>0.44267541197300636</v>
      </c>
      <c r="AG23" s="202">
        <v>0.42313790921389294</v>
      </c>
      <c r="AH23" s="202">
        <v>0.40198647096347062</v>
      </c>
      <c r="AI23" s="203">
        <v>2.034447050476787E-2</v>
      </c>
      <c r="AJ23" s="201">
        <v>0.44242585195250489</v>
      </c>
      <c r="AK23" s="202">
        <v>0.42289495592790355</v>
      </c>
      <c r="AL23" s="202">
        <v>0.40175029833149362</v>
      </c>
      <c r="AM23" s="203">
        <v>2.0337776810505637E-2</v>
      </c>
      <c r="AN23" s="201">
        <v>0.99674821164195504</v>
      </c>
      <c r="AO23" s="203">
        <v>8.2957284577435755E-4</v>
      </c>
    </row>
    <row r="24" spans="1:41">
      <c r="A24" s="201" t="s">
        <v>462</v>
      </c>
      <c r="B24" s="202">
        <v>1500</v>
      </c>
      <c r="C24" s="203"/>
      <c r="D24" s="143">
        <v>7.3099763079960507</v>
      </c>
      <c r="E24" s="144">
        <v>5.2449976167773249E-2</v>
      </c>
      <c r="F24" s="150">
        <v>1.0008699999999999</v>
      </c>
      <c r="G24" s="151">
        <v>1.00054</v>
      </c>
      <c r="H24" s="152">
        <v>1.0012000000000001</v>
      </c>
      <c r="I24" s="159">
        <v>7.137040831688191</v>
      </c>
      <c r="J24" s="160">
        <v>7.0311065983130554</v>
      </c>
      <c r="K24" s="160">
        <f t="shared" si="7"/>
        <v>7.0840737150006232</v>
      </c>
      <c r="L24" s="161">
        <f t="shared" si="8"/>
        <v>5.2967116687567817E-2</v>
      </c>
      <c r="M24" s="159">
        <v>7.0829662196824197</v>
      </c>
      <c r="N24" s="160">
        <v>6.9782809425206542</v>
      </c>
      <c r="O24" s="160">
        <f t="shared" si="0"/>
        <v>7.030623581101537</v>
      </c>
      <c r="P24" s="161">
        <f t="shared" si="1"/>
        <v>5.2342638580882728E-2</v>
      </c>
      <c r="Q24" s="159">
        <f t="shared" si="9"/>
        <v>7.0573486480510805</v>
      </c>
      <c r="R24" s="160">
        <f t="shared" si="10"/>
        <v>6.8184678976626723E-2</v>
      </c>
      <c r="S24" s="170">
        <v>1526.0834013562412</v>
      </c>
      <c r="T24" s="171">
        <v>1525.794096400535</v>
      </c>
      <c r="U24" s="172">
        <f t="shared" si="2"/>
        <v>1525.9387488783882</v>
      </c>
      <c r="V24" s="184">
        <v>7.3017796225138278</v>
      </c>
      <c r="W24" s="185">
        <v>7.1939946405157533</v>
      </c>
      <c r="X24" s="185">
        <f t="shared" si="3"/>
        <v>7.2478871315147906</v>
      </c>
      <c r="Y24" s="186">
        <f t="shared" si="4"/>
        <v>5.3892490999037257E-2</v>
      </c>
      <c r="Z24" s="184">
        <v>7.2464721011503821</v>
      </c>
      <c r="AA24" s="185">
        <v>7.1399785753481089</v>
      </c>
      <c r="AB24" s="185">
        <f t="shared" si="5"/>
        <v>7.1932253382492455</v>
      </c>
      <c r="AC24" s="186">
        <f t="shared" si="6"/>
        <v>5.3246762901136613E-2</v>
      </c>
      <c r="AD24" s="194">
        <f t="shared" si="11"/>
        <v>7.220556234882018</v>
      </c>
      <c r="AE24" s="195">
        <f t="shared" si="12"/>
        <v>6.9443378215799018E-2</v>
      </c>
      <c r="AF24" s="201">
        <v>7.137040831688191</v>
      </c>
      <c r="AG24" s="202">
        <v>7.0840256997537345</v>
      </c>
      <c r="AH24" s="202">
        <v>7.0311065983130554</v>
      </c>
      <c r="AI24" s="203">
        <v>5.2967116687567817E-2</v>
      </c>
      <c r="AJ24" s="201">
        <v>7.0829662196824197</v>
      </c>
      <c r="AK24" s="202">
        <v>7.0305773011943584</v>
      </c>
      <c r="AL24" s="202">
        <v>6.9782809425206542</v>
      </c>
      <c r="AM24" s="203">
        <v>5.2342638580882728E-2</v>
      </c>
      <c r="AN24" s="201">
        <v>0.97977024867463425</v>
      </c>
      <c r="AO24" s="203">
        <v>1.0561227330006383E-3</v>
      </c>
    </row>
    <row r="25" spans="1:41">
      <c r="A25" s="201" t="s">
        <v>463</v>
      </c>
      <c r="B25" s="202">
        <v>1700</v>
      </c>
      <c r="C25" s="203"/>
      <c r="D25" s="143">
        <v>7.1050000000000004</v>
      </c>
      <c r="E25" s="144">
        <v>2.2999999999999996E-2</v>
      </c>
      <c r="F25" s="150">
        <v>1.0106599999999999</v>
      </c>
      <c r="G25" s="151">
        <v>1.0105</v>
      </c>
      <c r="H25" s="152">
        <v>1.0108200000000001</v>
      </c>
      <c r="I25" s="159">
        <v>6.8408419718071611</v>
      </c>
      <c r="J25" s="160">
        <v>6.7921020642806731</v>
      </c>
      <c r="K25" s="160">
        <f t="shared" si="7"/>
        <v>6.8164720180439176</v>
      </c>
      <c r="L25" s="161">
        <f t="shared" si="8"/>
        <v>2.4369953763244023E-2</v>
      </c>
      <c r="M25" s="159">
        <v>6.797957701109544</v>
      </c>
      <c r="N25" s="160">
        <v>6.749825081707808</v>
      </c>
      <c r="O25" s="160">
        <f t="shared" si="0"/>
        <v>6.773891391408676</v>
      </c>
      <c r="P25" s="161">
        <f t="shared" si="1"/>
        <v>2.4066309700867983E-2</v>
      </c>
      <c r="Q25" s="159">
        <f t="shared" si="9"/>
        <v>6.7951817047262972</v>
      </c>
      <c r="R25" s="160">
        <f t="shared" si="10"/>
        <v>3.7234722069287657E-2</v>
      </c>
      <c r="S25" s="170">
        <v>1731.3670235372854</v>
      </c>
      <c r="T25" s="171">
        <v>1731.1990616727928</v>
      </c>
      <c r="U25" s="172">
        <f t="shared" si="2"/>
        <v>1731.2830426050391</v>
      </c>
      <c r="V25" s="184">
        <v>7.0390974494132967</v>
      </c>
      <c r="W25" s="185">
        <v>6.9892839163398932</v>
      </c>
      <c r="X25" s="185">
        <f t="shared" si="3"/>
        <v>7.0141906828765954</v>
      </c>
      <c r="Y25" s="186">
        <f t="shared" si="4"/>
        <v>2.4906766536701763E-2</v>
      </c>
      <c r="Z25" s="184">
        <v>6.9952451439258301</v>
      </c>
      <c r="AA25" s="185">
        <v>6.9460602375872149</v>
      </c>
      <c r="AB25" s="185">
        <f t="shared" si="5"/>
        <v>6.9706526907565225</v>
      </c>
      <c r="AC25" s="186">
        <f t="shared" si="6"/>
        <v>2.4592453169307582E-2</v>
      </c>
      <c r="AD25" s="194">
        <f t="shared" si="11"/>
        <v>6.9924216868165585</v>
      </c>
      <c r="AE25" s="195">
        <f t="shared" si="12"/>
        <v>3.8060602124525042E-2</v>
      </c>
      <c r="AF25" s="201">
        <v>6.8408419718071611</v>
      </c>
      <c r="AG25" s="202">
        <v>6.8164612083762446</v>
      </c>
      <c r="AH25" s="202">
        <v>6.7921020642806731</v>
      </c>
      <c r="AI25" s="203">
        <v>2.4369953763244023E-2</v>
      </c>
      <c r="AJ25" s="201">
        <v>6.797957701109544</v>
      </c>
      <c r="AK25" s="202">
        <v>6.7738810252372215</v>
      </c>
      <c r="AL25" s="202">
        <v>6.749825081707808</v>
      </c>
      <c r="AM25" s="203">
        <v>2.4066309700867983E-2</v>
      </c>
      <c r="AN25" s="201">
        <v>0.98813835891914503</v>
      </c>
      <c r="AO25" s="203">
        <v>1.1122546096464514E-3</v>
      </c>
    </row>
    <row r="26" spans="1:41">
      <c r="A26" s="201" t="s">
        <v>464</v>
      </c>
      <c r="B26" s="202">
        <v>1500</v>
      </c>
      <c r="C26" s="203"/>
      <c r="D26" s="143">
        <v>6.5383031674208141</v>
      </c>
      <c r="E26" s="144">
        <v>2.9616296189766918E-2</v>
      </c>
      <c r="F26" s="150">
        <v>1.00583</v>
      </c>
      <c r="G26" s="151">
        <v>1.0056400000000001</v>
      </c>
      <c r="H26" s="152">
        <v>1.00603</v>
      </c>
      <c r="I26" s="159">
        <v>6.3283632960102176</v>
      </c>
      <c r="J26" s="160">
        <v>6.267452340576332</v>
      </c>
      <c r="K26" s="160">
        <f t="shared" si="7"/>
        <v>6.2979078182932753</v>
      </c>
      <c r="L26" s="161">
        <f t="shared" si="8"/>
        <v>3.0455477716942791E-2</v>
      </c>
      <c r="M26" s="159">
        <v>6.2835766528094465</v>
      </c>
      <c r="N26" s="160">
        <v>6.2233414181517075</v>
      </c>
      <c r="O26" s="160">
        <f t="shared" si="0"/>
        <v>6.253459035480577</v>
      </c>
      <c r="P26" s="161">
        <f t="shared" si="1"/>
        <v>3.0117617328869528E-2</v>
      </c>
      <c r="Q26" s="159">
        <f t="shared" si="9"/>
        <v>6.2756834268869266</v>
      </c>
      <c r="R26" s="160">
        <f t="shared" si="10"/>
        <v>4.3377829539221306E-2</v>
      </c>
      <c r="S26" s="170">
        <v>1523.8227433929824</v>
      </c>
      <c r="T26" s="171">
        <v>1523.6474351706954</v>
      </c>
      <c r="U26" s="172">
        <f t="shared" si="2"/>
        <v>1523.735089281839</v>
      </c>
      <c r="V26" s="184">
        <v>6.478662337591512</v>
      </c>
      <c r="W26" s="185">
        <v>6.4166336581163517</v>
      </c>
      <c r="X26" s="185">
        <f t="shared" si="3"/>
        <v>6.4476479978539318</v>
      </c>
      <c r="Y26" s="186">
        <f t="shared" si="4"/>
        <v>3.1014339737580165E-2</v>
      </c>
      <c r="Z26" s="184">
        <v>6.4329531774383639</v>
      </c>
      <c r="AA26" s="185">
        <v>6.3716222517006624</v>
      </c>
      <c r="AB26" s="185">
        <f t="shared" si="5"/>
        <v>6.4022877145695132</v>
      </c>
      <c r="AC26" s="186">
        <f t="shared" si="6"/>
        <v>3.0665462868850746E-2</v>
      </c>
      <c r="AD26" s="194">
        <f t="shared" si="11"/>
        <v>6.4249678562117225</v>
      </c>
      <c r="AE26" s="195">
        <f t="shared" si="12"/>
        <v>4.4204355231434407E-2</v>
      </c>
      <c r="AF26" s="201">
        <v>6.3283632960102176</v>
      </c>
      <c r="AG26" s="202">
        <v>6.2986723832205449</v>
      </c>
      <c r="AH26" s="202">
        <v>6.267452340576332</v>
      </c>
      <c r="AI26" s="203">
        <v>3.0455477716942791E-2</v>
      </c>
      <c r="AJ26" s="201">
        <v>6.2835766528094465</v>
      </c>
      <c r="AK26" s="202">
        <v>6.2542155541800089</v>
      </c>
      <c r="AL26" s="202">
        <v>6.2233414181517075</v>
      </c>
      <c r="AM26" s="203">
        <v>3.0117617328869528E-2</v>
      </c>
      <c r="AN26" s="201">
        <v>0.98535835373341008</v>
      </c>
      <c r="AO26" s="203">
        <v>1.0868321450528482E-3</v>
      </c>
    </row>
    <row r="27" spans="1:41">
      <c r="A27" s="201" t="s">
        <v>465</v>
      </c>
      <c r="B27" s="202">
        <v>1300</v>
      </c>
      <c r="C27" s="203"/>
      <c r="D27" s="143">
        <v>6.0310118265440211</v>
      </c>
      <c r="E27" s="144">
        <v>2.8559149146989694E-2</v>
      </c>
      <c r="F27" s="150">
        <v>1.0007600000000001</v>
      </c>
      <c r="G27" s="151">
        <v>1.0005900000000001</v>
      </c>
      <c r="H27" s="152">
        <v>1.0009399999999999</v>
      </c>
      <c r="I27" s="159">
        <v>5.8686004332364909</v>
      </c>
      <c r="J27" s="160">
        <v>5.8124832033498324</v>
      </c>
      <c r="K27" s="160">
        <f t="shared" si="7"/>
        <v>5.8405418182931612</v>
      </c>
      <c r="L27" s="161">
        <f t="shared" si="8"/>
        <v>2.8058614943329285E-2</v>
      </c>
      <c r="M27" s="159">
        <v>5.8240370224014928</v>
      </c>
      <c r="N27" s="160">
        <v>5.7684650174650995</v>
      </c>
      <c r="O27" s="160">
        <f t="shared" si="0"/>
        <v>5.7962510199332957</v>
      </c>
      <c r="P27" s="161">
        <f t="shared" si="1"/>
        <v>2.7786002468196624E-2</v>
      </c>
      <c r="Q27" s="159">
        <f t="shared" si="9"/>
        <v>5.8183964191132285</v>
      </c>
      <c r="R27" s="160">
        <f t="shared" si="10"/>
        <v>4.1151631926958317E-2</v>
      </c>
      <c r="S27" s="170">
        <v>1317.6483110321269</v>
      </c>
      <c r="T27" s="171">
        <v>1317.5172904604306</v>
      </c>
      <c r="U27" s="172">
        <f t="shared" si="2"/>
        <v>1317.5828007462787</v>
      </c>
      <c r="V27" s="184">
        <v>5.9795936219827128</v>
      </c>
      <c r="W27" s="185">
        <v>5.9226443463948089</v>
      </c>
      <c r="X27" s="185">
        <f t="shared" si="3"/>
        <v>5.9511189841887608</v>
      </c>
      <c r="Y27" s="186">
        <f t="shared" si="4"/>
        <v>2.8474637793951985E-2</v>
      </c>
      <c r="Z27" s="184">
        <v>5.9342010101374125</v>
      </c>
      <c r="AA27" s="185">
        <v>5.8778134514007112</v>
      </c>
      <c r="AB27" s="185">
        <f t="shared" si="5"/>
        <v>5.9060072307690614</v>
      </c>
      <c r="AC27" s="186">
        <f t="shared" si="6"/>
        <v>2.8193779368350658E-2</v>
      </c>
      <c r="AD27" s="194">
        <f t="shared" si="11"/>
        <v>5.9285631074789116</v>
      </c>
      <c r="AE27" s="195">
        <f t="shared" si="12"/>
        <v>4.1818889996968714E-2</v>
      </c>
      <c r="AF27" s="201">
        <v>5.8686004332364909</v>
      </c>
      <c r="AG27" s="202">
        <v>5.8413300640567947</v>
      </c>
      <c r="AH27" s="202">
        <v>5.8124832033498324</v>
      </c>
      <c r="AI27" s="203">
        <v>2.8058614943329285E-2</v>
      </c>
      <c r="AJ27" s="201">
        <v>5.8240370224014928</v>
      </c>
      <c r="AK27" s="202">
        <v>5.7970319397633121</v>
      </c>
      <c r="AL27" s="202">
        <v>5.7684650174650995</v>
      </c>
      <c r="AM27" s="203">
        <v>2.7786002468196624E-2</v>
      </c>
      <c r="AN27" s="201">
        <v>0.9824998957194625</v>
      </c>
      <c r="AO27" s="203">
        <v>1.0086578167781588E-3</v>
      </c>
    </row>
    <row r="28" spans="1:41">
      <c r="A28" s="201" t="s">
        <v>466</v>
      </c>
      <c r="B28" s="202">
        <v>1100</v>
      </c>
      <c r="C28" s="203"/>
      <c r="D28" s="143">
        <v>5.4594999999999994</v>
      </c>
      <c r="E28" s="144">
        <v>1.9927995383379669E-2</v>
      </c>
      <c r="F28" s="150">
        <v>0.99626000000000003</v>
      </c>
      <c r="G28" s="151">
        <v>0.99614000000000003</v>
      </c>
      <c r="H28" s="152">
        <v>0.99639</v>
      </c>
      <c r="I28" s="159">
        <v>5.3367326376298445</v>
      </c>
      <c r="J28" s="160">
        <v>5.2957161276262834</v>
      </c>
      <c r="K28" s="160">
        <f t="shared" si="7"/>
        <v>5.3162243826280644</v>
      </c>
      <c r="L28" s="161">
        <f t="shared" si="8"/>
        <v>2.0508255001780551E-2</v>
      </c>
      <c r="M28" s="159">
        <v>5.2957930178619375</v>
      </c>
      <c r="N28" s="160">
        <v>5.2551139674329965</v>
      </c>
      <c r="O28" s="160">
        <f t="shared" si="0"/>
        <v>5.2754534926474665</v>
      </c>
      <c r="P28" s="161">
        <f t="shared" si="1"/>
        <v>2.0339525214470466E-2</v>
      </c>
      <c r="Q28" s="159">
        <f t="shared" si="9"/>
        <v>5.2958389376377655</v>
      </c>
      <c r="R28" s="160">
        <f t="shared" si="10"/>
        <v>3.3320839766059401E-2</v>
      </c>
      <c r="S28" s="170">
        <v>1112.4472226534804</v>
      </c>
      <c r="T28" s="171">
        <v>1112.3716203240115</v>
      </c>
      <c r="U28" s="172">
        <f t="shared" si="2"/>
        <v>1112.4094214887459</v>
      </c>
      <c r="V28" s="184">
        <v>5.4145598218736</v>
      </c>
      <c r="W28" s="185">
        <v>5.3730666051305001</v>
      </c>
      <c r="X28" s="185">
        <f t="shared" si="3"/>
        <v>5.3938132135020496</v>
      </c>
      <c r="Y28" s="186">
        <f t="shared" si="4"/>
        <v>2.0746608371549957E-2</v>
      </c>
      <c r="Z28" s="184">
        <v>5.3729455938868371</v>
      </c>
      <c r="AA28" s="185">
        <v>5.3317992158609728</v>
      </c>
      <c r="AB28" s="185">
        <f t="shared" si="5"/>
        <v>5.352372404873905</v>
      </c>
      <c r="AC28" s="186">
        <f t="shared" si="6"/>
        <v>2.0573189012932147E-2</v>
      </c>
      <c r="AD28" s="194">
        <f t="shared" si="11"/>
        <v>5.3730928091879768</v>
      </c>
      <c r="AE28" s="195">
        <f t="shared" si="12"/>
        <v>3.3787060392617453E-2</v>
      </c>
      <c r="AF28" s="201">
        <v>5.3367326376298445</v>
      </c>
      <c r="AG28" s="202">
        <v>5.31703774479322</v>
      </c>
      <c r="AH28" s="202">
        <v>5.2957161276262834</v>
      </c>
      <c r="AI28" s="203">
        <v>2.0508255001780551E-2</v>
      </c>
      <c r="AJ28" s="201">
        <v>5.2957930178619375</v>
      </c>
      <c r="AK28" s="202">
        <v>5.276260325097045</v>
      </c>
      <c r="AL28" s="202">
        <v>5.2551139674329965</v>
      </c>
      <c r="AM28" s="203">
        <v>2.0339525214470466E-2</v>
      </c>
      <c r="AN28" s="201">
        <v>0.98117364559134912</v>
      </c>
      <c r="AO28" s="203">
        <v>9.7334362993436324E-4</v>
      </c>
    </row>
    <row r="29" spans="1:41">
      <c r="A29" s="201" t="s">
        <v>467</v>
      </c>
      <c r="B29" s="202">
        <v>900</v>
      </c>
      <c r="C29" s="203"/>
      <c r="D29" s="143">
        <v>4.8329999999999993</v>
      </c>
      <c r="E29" s="144">
        <v>2.0037464909513854E-2</v>
      </c>
      <c r="F29" s="150">
        <v>0.99231000000000003</v>
      </c>
      <c r="G29" s="151">
        <v>0.99219000000000002</v>
      </c>
      <c r="H29" s="152">
        <v>0.99243000000000003</v>
      </c>
      <c r="I29" s="159">
        <v>4.747758794485434</v>
      </c>
      <c r="J29" s="160">
        <v>4.7075855630306407</v>
      </c>
      <c r="K29" s="160">
        <f t="shared" si="7"/>
        <v>4.7276721787580378</v>
      </c>
      <c r="L29" s="161">
        <f t="shared" si="8"/>
        <v>2.0086615727396673E-2</v>
      </c>
      <c r="M29" s="159">
        <v>4.7133863058605279</v>
      </c>
      <c r="N29" s="160">
        <v>4.6734806624703715</v>
      </c>
      <c r="O29" s="160">
        <f t="shared" si="0"/>
        <v>4.6934334841654497</v>
      </c>
      <c r="P29" s="161">
        <f t="shared" si="1"/>
        <v>1.9952821695078171E-2</v>
      </c>
      <c r="Q29" s="159">
        <f t="shared" si="9"/>
        <v>4.7105528314617438</v>
      </c>
      <c r="R29" s="160">
        <f t="shared" si="10"/>
        <v>3.0416347892516914E-2</v>
      </c>
      <c r="S29" s="170">
        <v>908.249875947492</v>
      </c>
      <c r="T29" s="171">
        <v>908.19354907509228</v>
      </c>
      <c r="U29" s="172">
        <f t="shared" si="2"/>
        <v>908.22171251129214</v>
      </c>
      <c r="V29" s="184">
        <v>4.7987740501251439</v>
      </c>
      <c r="W29" s="185">
        <v>4.7582502036856393</v>
      </c>
      <c r="X29" s="185">
        <f t="shared" si="3"/>
        <v>4.7785121269053921</v>
      </c>
      <c r="Y29" s="186">
        <f t="shared" si="4"/>
        <v>2.0261923219752287E-2</v>
      </c>
      <c r="Z29" s="184">
        <v>4.7639043436629098</v>
      </c>
      <c r="AA29" s="185">
        <v>4.7236548493334629</v>
      </c>
      <c r="AB29" s="185">
        <f t="shared" si="5"/>
        <v>4.7437795964981859</v>
      </c>
      <c r="AC29" s="186">
        <f t="shared" si="6"/>
        <v>2.0124747164723455E-2</v>
      </c>
      <c r="AD29" s="194">
        <f t="shared" si="11"/>
        <v>4.761145861701789</v>
      </c>
      <c r="AE29" s="195">
        <f t="shared" si="12"/>
        <v>3.0754135930536781E-2</v>
      </c>
      <c r="AF29" s="201">
        <v>4.747758794485434</v>
      </c>
      <c r="AG29" s="202">
        <v>4.7276656474626604</v>
      </c>
      <c r="AH29" s="202">
        <v>4.7075855630306407</v>
      </c>
      <c r="AI29" s="203">
        <v>2.0086615727396673E-2</v>
      </c>
      <c r="AJ29" s="201">
        <v>4.7133863058605279</v>
      </c>
      <c r="AK29" s="202">
        <v>4.6934271409432426</v>
      </c>
      <c r="AL29" s="202">
        <v>4.6734806624703715</v>
      </c>
      <c r="AM29" s="203">
        <v>1.9952821695078171E-2</v>
      </c>
      <c r="AN29" s="201">
        <v>0.97979803385306097</v>
      </c>
      <c r="AO29" s="203">
        <v>1.0169158704288917E-3</v>
      </c>
    </row>
    <row r="30" spans="1:41">
      <c r="A30" s="201" t="s">
        <v>468</v>
      </c>
      <c r="B30" s="202">
        <v>700</v>
      </c>
      <c r="C30" s="203"/>
      <c r="D30" s="143">
        <v>4.2549999999999999</v>
      </c>
      <c r="E30" s="144">
        <v>2.4556058315617458E-2</v>
      </c>
      <c r="F30" s="150">
        <v>0.98831000000000002</v>
      </c>
      <c r="G30" s="151">
        <v>0.98816000000000004</v>
      </c>
      <c r="H30" s="152">
        <v>0.98845000000000005</v>
      </c>
      <c r="I30" s="159">
        <v>4.205667661602285</v>
      </c>
      <c r="J30" s="160">
        <v>4.1561185936833152</v>
      </c>
      <c r="K30" s="160">
        <f t="shared" si="7"/>
        <v>4.1808931276428005</v>
      </c>
      <c r="L30" s="161">
        <f t="shared" si="8"/>
        <v>2.4774533959484923E-2</v>
      </c>
      <c r="M30" s="159">
        <v>4.1798787614351554</v>
      </c>
      <c r="N30" s="160">
        <v>4.1305833326940498</v>
      </c>
      <c r="O30" s="160">
        <f t="shared" si="0"/>
        <v>4.1552310470646026</v>
      </c>
      <c r="P30" s="161">
        <f t="shared" si="1"/>
        <v>2.4647714370552798E-2</v>
      </c>
      <c r="Q30" s="159">
        <f t="shared" si="9"/>
        <v>4.168062087353702</v>
      </c>
      <c r="R30" s="160">
        <f t="shared" si="10"/>
        <v>3.2151293871351204E-2</v>
      </c>
      <c r="S30" s="170">
        <v>705.12540749133098</v>
      </c>
      <c r="T30" s="171">
        <v>705.07568951069072</v>
      </c>
      <c r="U30" s="172">
        <f t="shared" si="2"/>
        <v>705.10054850101085</v>
      </c>
      <c r="V30" s="184">
        <v>4.2366467631856057</v>
      </c>
      <c r="W30" s="185">
        <v>4.1867959315215941</v>
      </c>
      <c r="X30" s="185">
        <f t="shared" si="3"/>
        <v>4.2117213473535999</v>
      </c>
      <c r="Y30" s="186">
        <f t="shared" si="4"/>
        <v>2.4925415832005804E-2</v>
      </c>
      <c r="Z30" s="184">
        <v>4.2105215122499855</v>
      </c>
      <c r="AA30" s="185">
        <v>4.1609300749244635</v>
      </c>
      <c r="AB30" s="185">
        <f t="shared" si="5"/>
        <v>4.1857257935872241</v>
      </c>
      <c r="AC30" s="186">
        <f t="shared" si="6"/>
        <v>2.4795718662760979E-2</v>
      </c>
      <c r="AD30" s="194">
        <f t="shared" si="11"/>
        <v>4.1987235704704116</v>
      </c>
      <c r="AE30" s="195">
        <f t="shared" si="12"/>
        <v>3.2393295872360756E-2</v>
      </c>
      <c r="AF30" s="201">
        <v>4.205667661602285</v>
      </c>
      <c r="AG30" s="202">
        <v>4.1800291538361147</v>
      </c>
      <c r="AH30" s="202">
        <v>4.1561185936833152</v>
      </c>
      <c r="AI30" s="203">
        <v>2.4774533959484923E-2</v>
      </c>
      <c r="AJ30" s="201">
        <v>4.1798787614351554</v>
      </c>
      <c r="AK30" s="202">
        <v>4.1543717001630718</v>
      </c>
      <c r="AL30" s="202">
        <v>4.1305833326940498</v>
      </c>
      <c r="AM30" s="203">
        <v>2.4647714370552798E-2</v>
      </c>
      <c r="AN30" s="201">
        <v>0.97865329271861001</v>
      </c>
      <c r="AO30" s="203">
        <v>9.1909850698206335E-4</v>
      </c>
    </row>
    <row r="31" spans="1:41">
      <c r="A31" s="201" t="s">
        <v>469</v>
      </c>
      <c r="B31" s="202">
        <v>500</v>
      </c>
      <c r="C31" s="203"/>
      <c r="D31" s="143">
        <v>3.645</v>
      </c>
      <c r="E31" s="144">
        <v>1.9634153916071879E-2</v>
      </c>
      <c r="F31" s="150">
        <v>0.98484000000000005</v>
      </c>
      <c r="G31" s="151">
        <v>0.98472000000000004</v>
      </c>
      <c r="H31" s="152">
        <v>0.98494999999999999</v>
      </c>
      <c r="I31" s="159">
        <v>3.6188945103678316</v>
      </c>
      <c r="J31" s="160">
        <v>3.5788737682881266</v>
      </c>
      <c r="K31" s="160">
        <f t="shared" si="7"/>
        <v>3.5988841393279793</v>
      </c>
      <c r="L31" s="161">
        <f t="shared" si="8"/>
        <v>2.0010371039852481E-2</v>
      </c>
      <c r="M31" s="159">
        <v>3.6038870589650385</v>
      </c>
      <c r="N31" s="160">
        <v>3.5640099951760931</v>
      </c>
      <c r="O31" s="160">
        <f t="shared" si="0"/>
        <v>3.5839485270705658</v>
      </c>
      <c r="P31" s="161">
        <f t="shared" si="1"/>
        <v>1.99385318944727E-2</v>
      </c>
      <c r="Q31" s="159">
        <f t="shared" si="9"/>
        <v>3.5914163331992723</v>
      </c>
      <c r="R31" s="160">
        <f t="shared" si="10"/>
        <v>2.4623786061602711E-2</v>
      </c>
      <c r="S31" s="170">
        <v>502.84564424492476</v>
      </c>
      <c r="T31" s="171">
        <v>502.81916502134686</v>
      </c>
      <c r="U31" s="172">
        <f t="shared" si="2"/>
        <v>502.83240463313581</v>
      </c>
      <c r="V31" s="184">
        <v>3.6351510388804673</v>
      </c>
      <c r="W31" s="185">
        <v>3.5949790053958868</v>
      </c>
      <c r="X31" s="185">
        <f t="shared" si="3"/>
        <v>3.615065022138177</v>
      </c>
      <c r="Y31" s="186">
        <f t="shared" si="4"/>
        <v>2.0086016742290269E-2</v>
      </c>
      <c r="Z31" s="184">
        <v>3.6199517777251353</v>
      </c>
      <c r="AA31" s="185">
        <v>3.5799262452408493</v>
      </c>
      <c r="AB31" s="185">
        <f t="shared" si="5"/>
        <v>3.5999390114829923</v>
      </c>
      <c r="AC31" s="186">
        <f t="shared" si="6"/>
        <v>2.0012766242142987E-2</v>
      </c>
      <c r="AD31" s="194">
        <f t="shared" si="11"/>
        <v>3.6075020168105842</v>
      </c>
      <c r="AE31" s="195">
        <f t="shared" si="12"/>
        <v>2.4743443312045362E-2</v>
      </c>
      <c r="AF31" s="201">
        <v>3.6188945103678316</v>
      </c>
      <c r="AG31" s="202">
        <v>3.5980079520432247</v>
      </c>
      <c r="AH31" s="202">
        <v>3.5788737682881266</v>
      </c>
      <c r="AI31" s="203">
        <v>2.0010371039852481E-2</v>
      </c>
      <c r="AJ31" s="201">
        <v>3.6038870589650385</v>
      </c>
      <c r="AK31" s="202">
        <v>3.5830756115004117</v>
      </c>
      <c r="AL31" s="202">
        <v>3.5640099951760931</v>
      </c>
      <c r="AM31" s="203">
        <v>1.99385318944727E-2</v>
      </c>
      <c r="AN31" s="201">
        <v>0.97773310093081534</v>
      </c>
      <c r="AO31" s="203">
        <v>9.5234268870994455E-4</v>
      </c>
    </row>
    <row r="32" spans="1:41">
      <c r="A32" s="201" t="s">
        <v>470</v>
      </c>
      <c r="B32" s="202">
        <v>308</v>
      </c>
      <c r="C32" s="203"/>
      <c r="D32" s="143">
        <v>3.1458712220762162</v>
      </c>
      <c r="E32" s="144">
        <v>2.2912878474779162E-2</v>
      </c>
      <c r="F32" s="150">
        <v>0.98153999999999997</v>
      </c>
      <c r="G32" s="151">
        <v>0.98141999999999996</v>
      </c>
      <c r="H32" s="152">
        <v>0.98168</v>
      </c>
      <c r="I32" s="159">
        <v>3.1759727050204458</v>
      </c>
      <c r="J32" s="160">
        <v>3.129874115858466</v>
      </c>
      <c r="K32" s="160">
        <f t="shared" si="7"/>
        <v>3.1529234104394561</v>
      </c>
      <c r="L32" s="161">
        <f t="shared" si="8"/>
        <v>2.3049294580989921E-2</v>
      </c>
      <c r="M32" s="159">
        <v>3.171755023313489</v>
      </c>
      <c r="N32" s="160">
        <v>3.1257638721087386</v>
      </c>
      <c r="O32" s="160">
        <f t="shared" si="0"/>
        <v>3.1487594477111136</v>
      </c>
      <c r="P32" s="161">
        <f t="shared" si="1"/>
        <v>2.2995575602375196E-2</v>
      </c>
      <c r="Q32" s="159">
        <f t="shared" si="9"/>
        <v>3.1508414290752849</v>
      </c>
      <c r="R32" s="160">
        <f t="shared" si="10"/>
        <v>2.6692517937520942E-2</v>
      </c>
      <c r="S32" s="170">
        <v>309.43771593248931</v>
      </c>
      <c r="T32" s="171">
        <v>309.41985326482109</v>
      </c>
      <c r="U32" s="172">
        <f t="shared" si="2"/>
        <v>309.42878459865517</v>
      </c>
      <c r="V32" s="184">
        <v>3.18282032491443</v>
      </c>
      <c r="W32" s="185">
        <v>3.1366374162362769</v>
      </c>
      <c r="X32" s="185">
        <f t="shared" si="3"/>
        <v>3.1597288705753535</v>
      </c>
      <c r="Y32" s="186">
        <f t="shared" si="4"/>
        <v>2.3091454339076556E-2</v>
      </c>
      <c r="Z32" s="184">
        <v>3.1785160974675608</v>
      </c>
      <c r="AA32" s="185">
        <v>3.1324421792336463</v>
      </c>
      <c r="AB32" s="185">
        <f t="shared" si="5"/>
        <v>3.1554791383506036</v>
      </c>
      <c r="AC32" s="186">
        <f t="shared" si="6"/>
        <v>2.3036959116957245E-2</v>
      </c>
      <c r="AD32" s="194">
        <f t="shared" si="11"/>
        <v>3.1576040044629785</v>
      </c>
      <c r="AE32" s="195">
        <f t="shared" si="12"/>
        <v>2.6745053883426195E-2</v>
      </c>
      <c r="AF32" s="201">
        <v>3.1759727050204458</v>
      </c>
      <c r="AG32" s="202">
        <v>3.1546884623170177</v>
      </c>
      <c r="AH32" s="202">
        <v>3.129874115858466</v>
      </c>
      <c r="AI32" s="203">
        <v>2.3049294580989921E-2</v>
      </c>
      <c r="AJ32" s="201">
        <v>3.171755023313489</v>
      </c>
      <c r="AK32" s="202">
        <v>3.1505205455795622</v>
      </c>
      <c r="AL32" s="202">
        <v>3.1257638721087386</v>
      </c>
      <c r="AM32" s="203">
        <v>2.2995575602375196E-2</v>
      </c>
      <c r="AN32" s="201">
        <v>0.97711467358841153</v>
      </c>
      <c r="AO32" s="203">
        <v>9.2936683089779343E-4</v>
      </c>
    </row>
    <row r="33" spans="1:41">
      <c r="A33" s="201" t="s">
        <v>471</v>
      </c>
      <c r="B33" s="202">
        <v>1700</v>
      </c>
      <c r="C33" s="203"/>
      <c r="D33" s="143">
        <v>11.417</v>
      </c>
      <c r="E33" s="144">
        <v>2.8000000000000001E-2</v>
      </c>
      <c r="F33" s="150">
        <v>0.98375999999999997</v>
      </c>
      <c r="G33" s="151">
        <v>0.98358999999999996</v>
      </c>
      <c r="H33" s="152">
        <v>0.98392000000000002</v>
      </c>
      <c r="I33" s="159">
        <v>11.263300951802837</v>
      </c>
      <c r="J33" s="160">
        <v>11.205015513342421</v>
      </c>
      <c r="K33" s="160">
        <f t="shared" si="7"/>
        <v>11.234158232572629</v>
      </c>
      <c r="L33" s="161">
        <f t="shared" si="8"/>
        <v>2.9142719230208058E-2</v>
      </c>
      <c r="M33" s="159">
        <v>11.157063072611741</v>
      </c>
      <c r="N33" s="160">
        <v>11.099696021093648</v>
      </c>
      <c r="O33" s="160">
        <f t="shared" si="0"/>
        <v>11.128379546852695</v>
      </c>
      <c r="P33" s="161">
        <f t="shared" si="1"/>
        <v>2.8683525759046979E-2</v>
      </c>
      <c r="Q33" s="159">
        <f t="shared" si="9"/>
        <v>11.181268889712662</v>
      </c>
      <c r="R33" s="160">
        <f t="shared" si="10"/>
        <v>6.9601762000775738E-2</v>
      </c>
      <c r="S33" s="170">
        <v>1744.7164071600159</v>
      </c>
      <c r="T33" s="171">
        <v>1744.5609524243723</v>
      </c>
      <c r="U33" s="172">
        <f t="shared" si="2"/>
        <v>1744.6386797921941</v>
      </c>
      <c r="V33" s="184">
        <v>11.547763392050248</v>
      </c>
      <c r="W33" s="185">
        <v>11.488462075592349</v>
      </c>
      <c r="X33" s="185">
        <f t="shared" si="3"/>
        <v>11.518112733821297</v>
      </c>
      <c r="Y33" s="186">
        <f t="shared" si="4"/>
        <v>2.9650658228949744E-2</v>
      </c>
      <c r="Z33" s="184">
        <v>11.438065153699572</v>
      </c>
      <c r="AA33" s="185">
        <v>11.379721224431153</v>
      </c>
      <c r="AB33" s="185">
        <f t="shared" si="5"/>
        <v>11.408893189065363</v>
      </c>
      <c r="AC33" s="186">
        <f t="shared" si="6"/>
        <v>2.9171964634209679E-2</v>
      </c>
      <c r="AD33" s="194">
        <f t="shared" si="11"/>
        <v>11.463502961443329</v>
      </c>
      <c r="AE33" s="195">
        <f t="shared" si="12"/>
        <v>7.1622247625424809E-2</v>
      </c>
      <c r="AF33" s="201">
        <v>11.263300951802837</v>
      </c>
      <c r="AG33" s="202">
        <v>11.233261985845347</v>
      </c>
      <c r="AH33" s="202">
        <v>11.205015513342421</v>
      </c>
      <c r="AI33" s="203">
        <v>2.9142719230208058E-2</v>
      </c>
      <c r="AJ33" s="201">
        <v>11.157063072611741</v>
      </c>
      <c r="AK33" s="202">
        <v>11.12749763426984</v>
      </c>
      <c r="AL33" s="202">
        <v>11.099696021093648</v>
      </c>
      <c r="AM33" s="203">
        <v>2.8683525759046979E-2</v>
      </c>
      <c r="AN33" s="201">
        <v>0.95695003069012097</v>
      </c>
      <c r="AO33" s="203">
        <v>1.072181456404102E-3</v>
      </c>
    </row>
    <row r="34" spans="1:41">
      <c r="A34" s="201" t="s">
        <v>472</v>
      </c>
      <c r="B34" s="202">
        <v>1900</v>
      </c>
      <c r="C34" s="203"/>
      <c r="D34" s="143">
        <v>11.279327868852459</v>
      </c>
      <c r="E34" s="144">
        <v>3.7229020937972576E-2</v>
      </c>
      <c r="F34" s="150">
        <v>0.99226000000000003</v>
      </c>
      <c r="G34" s="151">
        <v>0.99202999999999997</v>
      </c>
      <c r="H34" s="152">
        <v>0.99248000000000003</v>
      </c>
      <c r="I34" s="159">
        <v>11.075627647402985</v>
      </c>
      <c r="J34" s="160">
        <v>10.99961664618416</v>
      </c>
      <c r="K34" s="160">
        <f t="shared" si="7"/>
        <v>11.037622146793574</v>
      </c>
      <c r="L34" s="161">
        <f t="shared" si="8"/>
        <v>3.8005500609412657E-2</v>
      </c>
      <c r="M34" s="159">
        <v>10.979362013234825</v>
      </c>
      <c r="N34" s="160">
        <v>10.904641894353594</v>
      </c>
      <c r="O34" s="160">
        <f t="shared" si="0"/>
        <v>10.942001953794209</v>
      </c>
      <c r="P34" s="161">
        <f t="shared" si="1"/>
        <v>3.7360059440615601E-2</v>
      </c>
      <c r="Q34" s="159">
        <f t="shared" si="9"/>
        <v>10.989812050293892</v>
      </c>
      <c r="R34" s="160">
        <f t="shared" si="10"/>
        <v>7.0293682848442604E-2</v>
      </c>
      <c r="S34" s="170">
        <v>1953.7340121204604</v>
      </c>
      <c r="T34" s="171">
        <v>1953.4853967124018</v>
      </c>
      <c r="U34" s="172">
        <f t="shared" si="2"/>
        <v>1953.6097044164312</v>
      </c>
      <c r="V34" s="184">
        <v>11.417357327338483</v>
      </c>
      <c r="W34" s="185">
        <v>11.339724987673089</v>
      </c>
      <c r="X34" s="185">
        <f t="shared" si="3"/>
        <v>11.378541157505786</v>
      </c>
      <c r="Y34" s="186">
        <f t="shared" si="4"/>
        <v>3.8816169832696978E-2</v>
      </c>
      <c r="Z34" s="184">
        <v>11.317744096733477</v>
      </c>
      <c r="AA34" s="185">
        <v>11.24146077637219</v>
      </c>
      <c r="AB34" s="185">
        <f t="shared" si="5"/>
        <v>11.279602436552834</v>
      </c>
      <c r="AC34" s="186">
        <f t="shared" si="6"/>
        <v>3.814166018064391E-2</v>
      </c>
      <c r="AD34" s="194">
        <f t="shared" si="11"/>
        <v>11.329071797029311</v>
      </c>
      <c r="AE34" s="195">
        <f t="shared" si="12"/>
        <v>7.2369038194150137E-2</v>
      </c>
      <c r="AF34" s="201">
        <v>11.075627647402985</v>
      </c>
      <c r="AG34" s="202">
        <v>11.036754049406555</v>
      </c>
      <c r="AH34" s="202">
        <v>10.99961664618416</v>
      </c>
      <c r="AI34" s="203">
        <v>3.8005500609412657E-2</v>
      </c>
      <c r="AJ34" s="201">
        <v>10.979362013234825</v>
      </c>
      <c r="AK34" s="202">
        <v>10.941149055575107</v>
      </c>
      <c r="AL34" s="202">
        <v>10.904641894353594</v>
      </c>
      <c r="AM34" s="203">
        <v>3.7360059440615601E-2</v>
      </c>
      <c r="AN34" s="201">
        <v>0.96356774945783552</v>
      </c>
      <c r="AO34" s="203">
        <v>1.1308140696047603E-3</v>
      </c>
    </row>
    <row r="35" spans="1:41">
      <c r="A35" s="201" t="s">
        <v>473</v>
      </c>
      <c r="B35" s="202">
        <v>1700</v>
      </c>
      <c r="C35" s="203"/>
      <c r="D35" s="143">
        <v>10.907999999999999</v>
      </c>
      <c r="E35" s="144">
        <v>4.3686382317605618E-2</v>
      </c>
      <c r="F35" s="150">
        <v>0.98673999999999995</v>
      </c>
      <c r="G35" s="151">
        <v>0.98648999999999998</v>
      </c>
      <c r="H35" s="152">
        <v>0.98699999999999999</v>
      </c>
      <c r="I35" s="159">
        <v>10.754677969753397</v>
      </c>
      <c r="J35" s="160">
        <v>10.66606209619188</v>
      </c>
      <c r="K35" s="160">
        <f t="shared" si="7"/>
        <v>10.710370032972637</v>
      </c>
      <c r="L35" s="161">
        <f t="shared" si="8"/>
        <v>4.4307936780758617E-2</v>
      </c>
      <c r="M35" s="159">
        <v>10.656395294367613</v>
      </c>
      <c r="N35" s="160">
        <v>10.569151337808707</v>
      </c>
      <c r="O35" s="160">
        <f t="shared" si="0"/>
        <v>10.612773316088159</v>
      </c>
      <c r="P35" s="161">
        <f t="shared" si="1"/>
        <v>4.3621978279452911E-2</v>
      </c>
      <c r="Q35" s="159">
        <f t="shared" si="9"/>
        <v>10.661571674530398</v>
      </c>
      <c r="R35" s="160">
        <f t="shared" si="10"/>
        <v>7.5844708996278543E-2</v>
      </c>
      <c r="S35" s="170">
        <v>1743.3439770225041</v>
      </c>
      <c r="T35" s="171">
        <v>1743.1011268423019</v>
      </c>
      <c r="U35" s="172">
        <f t="shared" si="2"/>
        <v>1743.2225519324029</v>
      </c>
      <c r="V35" s="184">
        <v>11.030183081274862</v>
      </c>
      <c r="W35" s="185">
        <v>10.939984832110254</v>
      </c>
      <c r="X35" s="185">
        <f t="shared" si="3"/>
        <v>10.985083956692558</v>
      </c>
      <c r="Y35" s="186">
        <f t="shared" si="4"/>
        <v>4.5099124582304029E-2</v>
      </c>
      <c r="Z35" s="184">
        <v>10.928775542544333</v>
      </c>
      <c r="AA35" s="185">
        <v>10.840006525457063</v>
      </c>
      <c r="AB35" s="185">
        <f t="shared" si="5"/>
        <v>10.884391034000698</v>
      </c>
      <c r="AC35" s="186">
        <f t="shared" si="6"/>
        <v>4.4384508543634738E-2</v>
      </c>
      <c r="AD35" s="194">
        <f t="shared" si="11"/>
        <v>10.934737495346628</v>
      </c>
      <c r="AE35" s="195">
        <f t="shared" si="12"/>
        <v>7.777509445773563E-2</v>
      </c>
      <c r="AF35" s="201">
        <v>10.754677969753397</v>
      </c>
      <c r="AG35" s="202">
        <v>10.71120789775788</v>
      </c>
      <c r="AH35" s="202">
        <v>10.66606209619188</v>
      </c>
      <c r="AI35" s="203">
        <v>4.4307936780758617E-2</v>
      </c>
      <c r="AJ35" s="201">
        <v>10.656395294367613</v>
      </c>
      <c r="AK35" s="202">
        <v>10.613598749598619</v>
      </c>
      <c r="AL35" s="202">
        <v>10.569151337808707</v>
      </c>
      <c r="AM35" s="203">
        <v>4.3621978279452911E-2</v>
      </c>
      <c r="AN35" s="201">
        <v>0.95959422459371224</v>
      </c>
      <c r="AO35" s="203">
        <v>1.0868779803851942E-3</v>
      </c>
    </row>
    <row r="36" spans="1:41">
      <c r="A36" s="201" t="s">
        <v>474</v>
      </c>
      <c r="B36" s="202">
        <v>1500</v>
      </c>
      <c r="C36" s="203"/>
      <c r="D36" s="143">
        <v>10.249000000000001</v>
      </c>
      <c r="E36" s="144">
        <v>3.3030289129827486E-2</v>
      </c>
      <c r="F36" s="150">
        <v>0.98302</v>
      </c>
      <c r="G36" s="151">
        <v>0.98284000000000005</v>
      </c>
      <c r="H36" s="152">
        <v>0.98321999999999998</v>
      </c>
      <c r="I36" s="159">
        <v>10.1257070057849</v>
      </c>
      <c r="J36" s="160">
        <v>10.058460608323216</v>
      </c>
      <c r="K36" s="160">
        <f t="shared" si="7"/>
        <v>10.092083807054058</v>
      </c>
      <c r="L36" s="161">
        <f t="shared" si="8"/>
        <v>3.3623198730841963E-2</v>
      </c>
      <c r="M36" s="159">
        <v>10.033094797383335</v>
      </c>
      <c r="N36" s="160">
        <v>9.9667749022716201</v>
      </c>
      <c r="O36" s="160">
        <f t="shared" si="0"/>
        <v>9.9999348498274774</v>
      </c>
      <c r="P36" s="161">
        <f t="shared" si="1"/>
        <v>3.3159947555857272E-2</v>
      </c>
      <c r="Q36" s="159">
        <f t="shared" si="9"/>
        <v>10.046009328440768</v>
      </c>
      <c r="R36" s="160">
        <f t="shared" si="10"/>
        <v>6.5705488222187261E-2</v>
      </c>
      <c r="S36" s="170">
        <v>1533.5191279311359</v>
      </c>
      <c r="T36" s="171">
        <v>1533.3654956423115</v>
      </c>
      <c r="U36" s="172">
        <f t="shared" si="2"/>
        <v>1533.4423117867236</v>
      </c>
      <c r="V36" s="184">
        <v>10.33835502044427</v>
      </c>
      <c r="W36" s="185">
        <v>10.270111208818534</v>
      </c>
      <c r="X36" s="185">
        <f t="shared" si="3"/>
        <v>10.304233114631401</v>
      </c>
      <c r="Y36" s="186">
        <f t="shared" si="4"/>
        <v>3.4121905812868114E-2</v>
      </c>
      <c r="Z36" s="184">
        <v>10.243110836630438</v>
      </c>
      <c r="AA36" s="185">
        <v>10.175828830590675</v>
      </c>
      <c r="AB36" s="185">
        <f t="shared" si="5"/>
        <v>10.209469833610555</v>
      </c>
      <c r="AC36" s="186">
        <f t="shared" si="6"/>
        <v>3.3641003019881488E-2</v>
      </c>
      <c r="AD36" s="194">
        <f t="shared" si="11"/>
        <v>10.256851474120978</v>
      </c>
      <c r="AE36" s="195">
        <f t="shared" si="12"/>
        <v>6.726099045461563E-2</v>
      </c>
      <c r="AF36" s="201">
        <v>10.1257070057849</v>
      </c>
      <c r="AG36" s="202">
        <v>10.093836085158205</v>
      </c>
      <c r="AH36" s="202">
        <v>10.058460608323216</v>
      </c>
      <c r="AI36" s="203">
        <v>3.3623198730841963E-2</v>
      </c>
      <c r="AJ36" s="201">
        <v>10.033094797383335</v>
      </c>
      <c r="AK36" s="202">
        <v>10.00166327118797</v>
      </c>
      <c r="AL36" s="202">
        <v>9.9667749022716201</v>
      </c>
      <c r="AM36" s="203">
        <v>3.3159947555857272E-2</v>
      </c>
      <c r="AN36" s="201">
        <v>0.9578295356616755</v>
      </c>
      <c r="AO36" s="203">
        <v>1.0462314858687967E-3</v>
      </c>
    </row>
    <row r="37" spans="1:41">
      <c r="A37" s="201" t="s">
        <v>475</v>
      </c>
      <c r="B37" s="202">
        <v>1300</v>
      </c>
      <c r="C37" s="203"/>
      <c r="D37" s="143">
        <v>9.723896725440806</v>
      </c>
      <c r="E37" s="144">
        <v>3.2720406476692832E-2</v>
      </c>
      <c r="F37" s="150">
        <v>0.97863</v>
      </c>
      <c r="G37" s="151">
        <v>0.97843999999999998</v>
      </c>
      <c r="H37" s="152">
        <v>0.97880999999999996</v>
      </c>
      <c r="I37" s="159">
        <v>9.6471827376027708</v>
      </c>
      <c r="J37" s="160">
        <v>9.5802512112124418</v>
      </c>
      <c r="K37" s="160">
        <f t="shared" si="7"/>
        <v>9.6137169744076054</v>
      </c>
      <c r="L37" s="161">
        <f t="shared" si="8"/>
        <v>3.3465763195164477E-2</v>
      </c>
      <c r="M37" s="159">
        <v>9.5608285236907662</v>
      </c>
      <c r="N37" s="160">
        <v>9.4947083231435627</v>
      </c>
      <c r="O37" s="160">
        <f t="shared" si="0"/>
        <v>9.5277684234171645</v>
      </c>
      <c r="P37" s="161">
        <f t="shared" si="1"/>
        <v>3.3060100273601734E-2</v>
      </c>
      <c r="Q37" s="159">
        <f t="shared" si="9"/>
        <v>9.5707426989123849</v>
      </c>
      <c r="R37" s="160">
        <f t="shared" si="10"/>
        <v>6.2750852557362208E-2</v>
      </c>
      <c r="S37" s="170">
        <v>1325.453396325348</v>
      </c>
      <c r="T37" s="171">
        <v>1325.3300266000601</v>
      </c>
      <c r="U37" s="172">
        <f t="shared" si="2"/>
        <v>1325.3917114627041</v>
      </c>
      <c r="V37" s="184">
        <v>9.8081463388461909</v>
      </c>
      <c r="W37" s="185">
        <v>9.7404176481504248</v>
      </c>
      <c r="X37" s="185">
        <f t="shared" si="3"/>
        <v>9.7742819934983078</v>
      </c>
      <c r="Y37" s="186">
        <f t="shared" si="4"/>
        <v>3.3864345347883074E-2</v>
      </c>
      <c r="Z37" s="184">
        <v>9.7195964885742647</v>
      </c>
      <c r="AA37" s="185">
        <v>9.6527071586632935</v>
      </c>
      <c r="AB37" s="185">
        <f t="shared" si="5"/>
        <v>9.6861518236187791</v>
      </c>
      <c r="AC37" s="186">
        <f t="shared" si="6"/>
        <v>3.3444664955485592E-2</v>
      </c>
      <c r="AD37" s="194">
        <f t="shared" si="11"/>
        <v>9.7302169085585426</v>
      </c>
      <c r="AE37" s="195">
        <f t="shared" si="12"/>
        <v>6.402501032837439E-2</v>
      </c>
      <c r="AF37" s="201">
        <v>9.6471827376027708</v>
      </c>
      <c r="AG37" s="202">
        <v>9.6127957042519903</v>
      </c>
      <c r="AH37" s="202">
        <v>9.5802512112124418</v>
      </c>
      <c r="AI37" s="203">
        <v>3.3465763195164477E-2</v>
      </c>
      <c r="AJ37" s="201">
        <v>9.5608285236907662</v>
      </c>
      <c r="AK37" s="202">
        <v>9.5268585762613505</v>
      </c>
      <c r="AL37" s="202">
        <v>9.4947083231435627</v>
      </c>
      <c r="AM37" s="203">
        <v>3.3060100273601734E-2</v>
      </c>
      <c r="AN37" s="201">
        <v>0.95542364340894126</v>
      </c>
      <c r="AO37" s="203">
        <v>1.0060504301998821E-3</v>
      </c>
    </row>
    <row r="38" spans="1:41">
      <c r="A38" s="201" t="s">
        <v>476</v>
      </c>
      <c r="B38" s="202">
        <v>1100</v>
      </c>
      <c r="C38" s="203"/>
      <c r="D38" s="143">
        <v>9.1479999999999979</v>
      </c>
      <c r="E38" s="144">
        <v>3.5007142128428488E-2</v>
      </c>
      <c r="F38" s="150">
        <v>0.97465999999999997</v>
      </c>
      <c r="G38" s="151">
        <v>0.97448000000000001</v>
      </c>
      <c r="H38" s="152">
        <v>0.97484999999999999</v>
      </c>
      <c r="I38" s="159">
        <v>9.1104321375206361</v>
      </c>
      <c r="J38" s="160">
        <v>9.0421805512364788</v>
      </c>
      <c r="K38" s="160">
        <f t="shared" si="7"/>
        <v>9.0763063443785583</v>
      </c>
      <c r="L38" s="161">
        <f t="shared" si="8"/>
        <v>3.4125793142078642E-2</v>
      </c>
      <c r="M38" s="159">
        <v>9.033828471439751</v>
      </c>
      <c r="N38" s="160">
        <v>8.9662881939331101</v>
      </c>
      <c r="O38" s="160">
        <f t="shared" si="0"/>
        <v>9.0000583326864305</v>
      </c>
      <c r="P38" s="161">
        <f t="shared" si="1"/>
        <v>3.3770138753320467E-2</v>
      </c>
      <c r="Q38" s="159">
        <f t="shared" si="9"/>
        <v>9.0381823385324935</v>
      </c>
      <c r="R38" s="160">
        <f t="shared" si="10"/>
        <v>5.8945577569459888E-2</v>
      </c>
      <c r="S38" s="170">
        <v>1118.578854992405</v>
      </c>
      <c r="T38" s="171">
        <v>1118.4802622417246</v>
      </c>
      <c r="U38" s="172">
        <f t="shared" si="2"/>
        <v>1118.5295586170648</v>
      </c>
      <c r="V38" s="184">
        <v>9.2272151511510625</v>
      </c>
      <c r="W38" s="185">
        <v>9.1583317381249856</v>
      </c>
      <c r="X38" s="185">
        <f t="shared" si="3"/>
        <v>9.1927734446380249</v>
      </c>
      <c r="Y38" s="186">
        <f t="shared" si="4"/>
        <v>3.4441706513038461E-2</v>
      </c>
      <c r="Z38" s="184">
        <v>9.1488843060784486</v>
      </c>
      <c r="AA38" s="185">
        <v>9.0807341382511986</v>
      </c>
      <c r="AB38" s="185">
        <f t="shared" si="5"/>
        <v>9.1148092221648227</v>
      </c>
      <c r="AC38" s="186">
        <f t="shared" si="6"/>
        <v>3.4075083913625015E-2</v>
      </c>
      <c r="AD38" s="194">
        <f t="shared" si="11"/>
        <v>9.1537913334014256</v>
      </c>
      <c r="AE38" s="195">
        <f t="shared" si="12"/>
        <v>5.9925245009518367E-2</v>
      </c>
      <c r="AF38" s="201">
        <v>9.1104321375206361</v>
      </c>
      <c r="AG38" s="202">
        <v>9.0772116055215495</v>
      </c>
      <c r="AH38" s="202">
        <v>9.0421805512364788</v>
      </c>
      <c r="AI38" s="203">
        <v>3.4125793142078642E-2</v>
      </c>
      <c r="AJ38" s="201">
        <v>9.033828471439751</v>
      </c>
      <c r="AK38" s="202">
        <v>9.0009544027163706</v>
      </c>
      <c r="AL38" s="202">
        <v>8.9662881939331101</v>
      </c>
      <c r="AM38" s="203">
        <v>3.3770138753320467E-2</v>
      </c>
      <c r="AN38" s="201">
        <v>0.95411090421214506</v>
      </c>
      <c r="AO38" s="203">
        <v>9.5622364879992369E-4</v>
      </c>
    </row>
    <row r="39" spans="1:41">
      <c r="A39" s="201" t="s">
        <v>477</v>
      </c>
      <c r="B39" s="202">
        <v>900</v>
      </c>
      <c r="C39" s="203"/>
      <c r="D39" s="143">
        <v>8.7504999999999988</v>
      </c>
      <c r="E39" s="144">
        <v>3.1018139853962873E-2</v>
      </c>
      <c r="F39" s="150">
        <v>0.96992</v>
      </c>
      <c r="G39" s="151">
        <v>0.96975</v>
      </c>
      <c r="H39" s="152">
        <v>0.97009000000000001</v>
      </c>
      <c r="I39" s="159">
        <v>8.7439581941399371</v>
      </c>
      <c r="J39" s="160">
        <v>8.6797279107032743</v>
      </c>
      <c r="K39" s="160">
        <f t="shared" si="7"/>
        <v>8.7118430524216066</v>
      </c>
      <c r="L39" s="161">
        <f t="shared" si="8"/>
        <v>3.2115141718331408E-2</v>
      </c>
      <c r="M39" s="159">
        <v>8.6782116923214847</v>
      </c>
      <c r="N39" s="160">
        <v>8.6145457956383726</v>
      </c>
      <c r="O39" s="160">
        <f t="shared" si="0"/>
        <v>8.6463787439799287</v>
      </c>
      <c r="P39" s="161">
        <f t="shared" si="1"/>
        <v>3.1832948341556033E-2</v>
      </c>
      <c r="Q39" s="159">
        <f t="shared" si="9"/>
        <v>8.6791108982007668</v>
      </c>
      <c r="R39" s="160">
        <f t="shared" si="10"/>
        <v>5.2836267642458114E-2</v>
      </c>
      <c r="S39" s="170">
        <v>913.13041593590253</v>
      </c>
      <c r="T39" s="171">
        <v>913.06143984909897</v>
      </c>
      <c r="U39" s="172">
        <f t="shared" si="2"/>
        <v>913.09592789250075</v>
      </c>
      <c r="V39" s="184">
        <v>8.8255685835431112</v>
      </c>
      <c r="W39" s="185">
        <v>8.7609023082522857</v>
      </c>
      <c r="X39" s="185">
        <f t="shared" si="3"/>
        <v>8.7932354458976985</v>
      </c>
      <c r="Y39" s="186">
        <f t="shared" si="4"/>
        <v>3.2333137645412791E-2</v>
      </c>
      <c r="Z39" s="184">
        <v>8.7585021369980751</v>
      </c>
      <c r="AA39" s="185">
        <v>8.6944154879361584</v>
      </c>
      <c r="AB39" s="185">
        <f t="shared" si="5"/>
        <v>8.7264588124671167</v>
      </c>
      <c r="AC39" s="186">
        <f t="shared" si="6"/>
        <v>3.2043324530958373E-2</v>
      </c>
      <c r="AD39" s="194">
        <f t="shared" si="11"/>
        <v>8.7598471291824076</v>
      </c>
      <c r="AE39" s="195">
        <f t="shared" si="12"/>
        <v>5.3552253753722759E-2</v>
      </c>
      <c r="AF39" s="201">
        <v>8.7439581941399371</v>
      </c>
      <c r="AG39" s="202">
        <v>8.7118283434261361</v>
      </c>
      <c r="AH39" s="202">
        <v>8.6797279107032743</v>
      </c>
      <c r="AI39" s="203">
        <v>3.2115141718331408E-2</v>
      </c>
      <c r="AJ39" s="201">
        <v>8.6782116923214847</v>
      </c>
      <c r="AK39" s="202">
        <v>8.6463643568608219</v>
      </c>
      <c r="AL39" s="202">
        <v>8.6145457956383726</v>
      </c>
      <c r="AM39" s="203">
        <v>3.1832948341556033E-2</v>
      </c>
      <c r="AN39" s="201">
        <v>0.95275354751566332</v>
      </c>
      <c r="AO39" s="203">
        <v>9.4015045716767628E-4</v>
      </c>
    </row>
    <row r="40" spans="1:41">
      <c r="A40" s="201" t="s">
        <v>478</v>
      </c>
      <c r="B40" s="202">
        <v>700</v>
      </c>
      <c r="C40" s="203"/>
      <c r="D40" s="143">
        <v>8.1850000000000005</v>
      </c>
      <c r="E40" s="144">
        <v>3.1200961523645376E-2</v>
      </c>
      <c r="F40" s="150">
        <v>0.96633000000000002</v>
      </c>
      <c r="G40" s="151">
        <v>0.96616999999999997</v>
      </c>
      <c r="H40" s="152">
        <v>0.96650000000000003</v>
      </c>
      <c r="I40" s="159">
        <v>8.1975445621535794</v>
      </c>
      <c r="J40" s="160">
        <v>8.1340828940492038</v>
      </c>
      <c r="K40" s="160">
        <f t="shared" si="7"/>
        <v>8.1658137281013907</v>
      </c>
      <c r="L40" s="161">
        <f t="shared" si="8"/>
        <v>3.1730834052187795E-2</v>
      </c>
      <c r="M40" s="159">
        <v>8.1468902653025506</v>
      </c>
      <c r="N40" s="160">
        <v>8.0838792410166533</v>
      </c>
      <c r="O40" s="160">
        <f t="shared" si="0"/>
        <v>8.1153847531596028</v>
      </c>
      <c r="P40" s="161">
        <f t="shared" si="1"/>
        <v>3.1505512142948611E-2</v>
      </c>
      <c r="Q40" s="159">
        <f t="shared" si="9"/>
        <v>8.1405992406304968</v>
      </c>
      <c r="R40" s="160">
        <f t="shared" si="10"/>
        <v>4.6697493736293727E-2</v>
      </c>
      <c r="S40" s="170">
        <v>708.59496027132548</v>
      </c>
      <c r="T40" s="171">
        <v>708.54668530294725</v>
      </c>
      <c r="U40" s="172">
        <f t="shared" si="2"/>
        <v>708.57082278713642</v>
      </c>
      <c r="V40" s="184">
        <v>8.2496955250463877</v>
      </c>
      <c r="W40" s="185">
        <v>8.1859373689864583</v>
      </c>
      <c r="X40" s="185">
        <f t="shared" si="3"/>
        <v>8.217816447016423</v>
      </c>
      <c r="Y40" s="186">
        <f t="shared" si="4"/>
        <v>3.1879078029964703E-2</v>
      </c>
      <c r="Z40" s="184">
        <v>8.1981435697971961</v>
      </c>
      <c r="AA40" s="185">
        <v>8.1348462681725326</v>
      </c>
      <c r="AB40" s="185">
        <f t="shared" si="5"/>
        <v>8.1664949189848635</v>
      </c>
      <c r="AC40" s="186">
        <f t="shared" si="6"/>
        <v>3.1648650812331702E-2</v>
      </c>
      <c r="AD40" s="194">
        <f t="shared" si="11"/>
        <v>8.1921556830006441</v>
      </c>
      <c r="AE40" s="195">
        <f t="shared" si="12"/>
        <v>4.7151262507158898E-2</v>
      </c>
      <c r="AF40" s="201">
        <v>8.1975445621535794</v>
      </c>
      <c r="AG40" s="202">
        <v>8.1667612184502492</v>
      </c>
      <c r="AH40" s="202">
        <v>8.1340828940492038</v>
      </c>
      <c r="AI40" s="203">
        <v>3.1730834052187795E-2</v>
      </c>
      <c r="AJ40" s="201">
        <v>8.1468902653025506</v>
      </c>
      <c r="AK40" s="202">
        <v>8.1163256907160033</v>
      </c>
      <c r="AL40" s="202">
        <v>8.0838792410166533</v>
      </c>
      <c r="AM40" s="203">
        <v>3.1505512142948611E-2</v>
      </c>
      <c r="AN40" s="201">
        <v>0.95185227632883118</v>
      </c>
      <c r="AO40" s="203">
        <v>9.1829842568095751E-4</v>
      </c>
    </row>
    <row r="41" spans="1:41">
      <c r="A41" s="201" t="s">
        <v>479</v>
      </c>
      <c r="B41" s="202">
        <v>500</v>
      </c>
      <c r="C41" s="203"/>
      <c r="D41" s="143">
        <v>7.6707049973132717</v>
      </c>
      <c r="E41" s="144">
        <v>3.1160872901765745E-2</v>
      </c>
      <c r="F41" s="150">
        <v>0.96281000000000005</v>
      </c>
      <c r="G41" s="151">
        <v>0.96265000000000001</v>
      </c>
      <c r="H41" s="152">
        <v>0.96296000000000004</v>
      </c>
      <c r="I41" s="159">
        <v>7.6983543586612484</v>
      </c>
      <c r="J41" s="160">
        <v>7.6376469240259626</v>
      </c>
      <c r="K41" s="160">
        <f t="shared" si="7"/>
        <v>7.668000641343605</v>
      </c>
      <c r="L41" s="161">
        <f t="shared" si="8"/>
        <v>3.0353717317642914E-2</v>
      </c>
      <c r="M41" s="159">
        <v>7.6643322711573996</v>
      </c>
      <c r="N41" s="160">
        <v>7.6039589938162191</v>
      </c>
      <c r="O41" s="160">
        <f t="shared" si="0"/>
        <v>7.6341456324868098</v>
      </c>
      <c r="P41" s="161">
        <f t="shared" si="1"/>
        <v>3.0186638670590238E-2</v>
      </c>
      <c r="Q41" s="159">
        <f t="shared" si="9"/>
        <v>7.6510731369152065</v>
      </c>
      <c r="R41" s="160">
        <f t="shared" si="10"/>
        <v>4.0047156549706267E-2</v>
      </c>
      <c r="S41" s="170">
        <v>505.16324477323639</v>
      </c>
      <c r="T41" s="171">
        <v>505.1333082321359</v>
      </c>
      <c r="U41" s="172">
        <f t="shared" si="2"/>
        <v>505.14827650268614</v>
      </c>
      <c r="V41" s="184">
        <v>7.7278729892389038</v>
      </c>
      <c r="W41" s="185">
        <v>7.6669938481569515</v>
      </c>
      <c r="X41" s="185">
        <f t="shared" si="3"/>
        <v>7.6974334186979281</v>
      </c>
      <c r="Y41" s="186">
        <f t="shared" si="4"/>
        <v>3.0439570540976124E-2</v>
      </c>
      <c r="Z41" s="184">
        <v>7.6933139708574743</v>
      </c>
      <c r="AA41" s="185">
        <v>7.6327748221358345</v>
      </c>
      <c r="AB41" s="185">
        <f t="shared" si="5"/>
        <v>7.6630443964966544</v>
      </c>
      <c r="AC41" s="186">
        <f t="shared" si="6"/>
        <v>3.0269574360819895E-2</v>
      </c>
      <c r="AD41" s="194">
        <f t="shared" si="11"/>
        <v>7.6802389075972908</v>
      </c>
      <c r="AE41" s="195">
        <f t="shared" si="12"/>
        <v>4.0283305149768925E-2</v>
      </c>
      <c r="AF41" s="201">
        <v>7.6983543586612484</v>
      </c>
      <c r="AG41" s="202">
        <v>7.6670089014426459</v>
      </c>
      <c r="AH41" s="202">
        <v>7.6376469240259626</v>
      </c>
      <c r="AI41" s="203">
        <v>3.0353717317642914E-2</v>
      </c>
      <c r="AJ41" s="201">
        <v>7.6643322711573996</v>
      </c>
      <c r="AK41" s="202">
        <v>7.6331595027489856</v>
      </c>
      <c r="AL41" s="202">
        <v>7.6039589938162191</v>
      </c>
      <c r="AM41" s="203">
        <v>3.0186638670590238E-2</v>
      </c>
      <c r="AN41" s="201">
        <v>0.95083797160959505</v>
      </c>
      <c r="AO41" s="203">
        <v>8.469114114296114E-4</v>
      </c>
    </row>
    <row r="42" spans="1:41">
      <c r="A42" s="201" t="s">
        <v>480</v>
      </c>
      <c r="B42" s="202">
        <v>309</v>
      </c>
      <c r="C42" s="203"/>
      <c r="D42" s="143">
        <v>7.2015000000000011</v>
      </c>
      <c r="E42" s="144">
        <v>3.3602455267435431E-2</v>
      </c>
      <c r="F42" s="150">
        <v>0.95984000000000003</v>
      </c>
      <c r="G42" s="151">
        <v>0.95967000000000002</v>
      </c>
      <c r="H42" s="152">
        <v>0.96001000000000003</v>
      </c>
      <c r="I42" s="159">
        <v>7.27306055168191</v>
      </c>
      <c r="J42" s="160">
        <v>7.205360364536765</v>
      </c>
      <c r="K42" s="160">
        <f t="shared" si="7"/>
        <v>7.2392104581093371</v>
      </c>
      <c r="L42" s="161">
        <f t="shared" si="8"/>
        <v>3.3850093572572515E-2</v>
      </c>
      <c r="M42" s="159">
        <v>7.2549821479370395</v>
      </c>
      <c r="N42" s="160">
        <v>7.1875654851753126</v>
      </c>
      <c r="O42" s="160">
        <f t="shared" si="0"/>
        <v>7.2212738165561756</v>
      </c>
      <c r="P42" s="161">
        <f t="shared" si="1"/>
        <v>3.3708331380863488E-2</v>
      </c>
      <c r="Q42" s="159">
        <f t="shared" si="9"/>
        <v>7.2302421373327563</v>
      </c>
      <c r="R42" s="160">
        <f t="shared" si="10"/>
        <v>4.0356263408607096E-2</v>
      </c>
      <c r="S42" s="170">
        <v>311.80227793808331</v>
      </c>
      <c r="T42" s="171">
        <v>311.78287217062433</v>
      </c>
      <c r="U42" s="172">
        <f t="shared" si="2"/>
        <v>311.79257505435385</v>
      </c>
      <c r="V42" s="184">
        <v>7.2863113688182519</v>
      </c>
      <c r="W42" s="185">
        <v>7.2185212338788114</v>
      </c>
      <c r="X42" s="185">
        <f t="shared" si="3"/>
        <v>7.2524163013485321</v>
      </c>
      <c r="Y42" s="186">
        <f t="shared" si="4"/>
        <v>3.3895067469720264E-2</v>
      </c>
      <c r="Z42" s="184">
        <v>7.2679836258244679</v>
      </c>
      <c r="AA42" s="185">
        <v>7.2004800061416283</v>
      </c>
      <c r="AB42" s="185">
        <f t="shared" si="5"/>
        <v>7.2342318159830477</v>
      </c>
      <c r="AC42" s="186">
        <f t="shared" si="6"/>
        <v>3.3751809841419789E-2</v>
      </c>
      <c r="AD42" s="194">
        <f t="shared" si="11"/>
        <v>7.2433240586657899</v>
      </c>
      <c r="AE42" s="195">
        <f t="shared" si="12"/>
        <v>4.0442535531722813E-2</v>
      </c>
      <c r="AF42" s="201">
        <v>7.27306055168191</v>
      </c>
      <c r="AG42" s="202">
        <v>7.2391950906665601</v>
      </c>
      <c r="AH42" s="202">
        <v>7.205360364536765</v>
      </c>
      <c r="AI42" s="203">
        <v>3.3850093572572515E-2</v>
      </c>
      <c r="AJ42" s="201">
        <v>7.2549821479370395</v>
      </c>
      <c r="AK42" s="202">
        <v>7.2212586963295493</v>
      </c>
      <c r="AL42" s="202">
        <v>7.1875654851753126</v>
      </c>
      <c r="AM42" s="203">
        <v>3.3708331380863488E-2</v>
      </c>
      <c r="AN42" s="201">
        <v>0.95023128272177748</v>
      </c>
      <c r="AO42" s="203">
        <v>8.7261476638234308E-4</v>
      </c>
    </row>
    <row r="43" spans="1:41">
      <c r="A43" s="201" t="s">
        <v>481</v>
      </c>
      <c r="B43" s="202">
        <v>1500</v>
      </c>
      <c r="C43" s="203"/>
      <c r="D43" s="143">
        <v>12.956431641923333</v>
      </c>
      <c r="E43" s="144">
        <v>5.1195702944680843E-2</v>
      </c>
      <c r="F43" s="150">
        <v>0.96794000000000002</v>
      </c>
      <c r="G43" s="151">
        <v>0.96765999999999996</v>
      </c>
      <c r="H43" s="152">
        <v>0.96821000000000002</v>
      </c>
      <c r="I43" s="159">
        <v>12.928972363973113</v>
      </c>
      <c r="J43" s="160">
        <v>12.823317972861986</v>
      </c>
      <c r="K43" s="160">
        <f t="shared" si="7"/>
        <v>12.876145168417549</v>
      </c>
      <c r="L43" s="161">
        <f t="shared" si="8"/>
        <v>5.2827195555563478E-2</v>
      </c>
      <c r="M43" s="159">
        <v>12.79602134069701</v>
      </c>
      <c r="N43" s="160">
        <v>12.691937712528663</v>
      </c>
      <c r="O43" s="160">
        <f t="shared" si="0"/>
        <v>12.743979526612836</v>
      </c>
      <c r="P43" s="161">
        <f t="shared" si="1"/>
        <v>5.204181408417341E-2</v>
      </c>
      <c r="Q43" s="159">
        <f t="shared" si="9"/>
        <v>12.810062347515194</v>
      </c>
      <c r="R43" s="160">
        <f t="shared" si="10"/>
        <v>9.7409586934973605E-2</v>
      </c>
      <c r="S43" s="170">
        <v>1539.4706911938099</v>
      </c>
      <c r="T43" s="171">
        <v>1539.2609809842336</v>
      </c>
      <c r="U43" s="172">
        <f t="shared" si="2"/>
        <v>1539.3658360890217</v>
      </c>
      <c r="V43" s="184">
        <v>13.180560661741184</v>
      </c>
      <c r="W43" s="185">
        <v>13.073523283129621</v>
      </c>
      <c r="X43" s="185">
        <f t="shared" si="3"/>
        <v>13.127041972435403</v>
      </c>
      <c r="Y43" s="186">
        <f t="shared" si="4"/>
        <v>5.3518689305781741E-2</v>
      </c>
      <c r="Z43" s="184">
        <v>13.04337710279799</v>
      </c>
      <c r="AA43" s="185">
        <v>12.937974983734065</v>
      </c>
      <c r="AB43" s="185">
        <f t="shared" si="5"/>
        <v>12.990676043266028</v>
      </c>
      <c r="AC43" s="186">
        <f t="shared" si="6"/>
        <v>5.2701059531962358E-2</v>
      </c>
      <c r="AD43" s="194">
        <f t="shared" si="11"/>
        <v>13.058859007850716</v>
      </c>
      <c r="AE43" s="195">
        <f t="shared" si="12"/>
        <v>9.9798079807558476E-2</v>
      </c>
      <c r="AF43" s="201">
        <v>12.928972363973113</v>
      </c>
      <c r="AG43" s="202">
        <v>12.875145296600955</v>
      </c>
      <c r="AH43" s="202">
        <v>12.823317972861986</v>
      </c>
      <c r="AI43" s="203">
        <v>5.2827195555563478E-2</v>
      </c>
      <c r="AJ43" s="201">
        <v>12.79602134069701</v>
      </c>
      <c r="AK43" s="202">
        <v>12.742994919226575</v>
      </c>
      <c r="AL43" s="202">
        <v>12.691937712528663</v>
      </c>
      <c r="AM43" s="203">
        <v>5.204181408417341E-2</v>
      </c>
      <c r="AN43" s="201">
        <v>0.94166285400657279</v>
      </c>
      <c r="AO43" s="203">
        <v>1.0532969305207876E-3</v>
      </c>
    </row>
    <row r="44" spans="1:41">
      <c r="A44" s="201" t="s">
        <v>482</v>
      </c>
      <c r="B44" s="202">
        <v>1700</v>
      </c>
      <c r="C44" s="203"/>
      <c r="D44" s="143">
        <v>13.347878434637799</v>
      </c>
      <c r="E44" s="144">
        <v>6.1269894728161398E-2</v>
      </c>
      <c r="F44" s="150">
        <v>0.97284999999999999</v>
      </c>
      <c r="G44" s="151">
        <v>0.97250999999999999</v>
      </c>
      <c r="H44" s="152">
        <v>0.97318000000000005</v>
      </c>
      <c r="I44" s="159">
        <v>13.28249661233998</v>
      </c>
      <c r="J44" s="160">
        <v>13.156901992521533</v>
      </c>
      <c r="K44" s="160">
        <f t="shared" si="7"/>
        <v>13.219699302430756</v>
      </c>
      <c r="L44" s="161">
        <f t="shared" si="8"/>
        <v>6.2797309909223387E-2</v>
      </c>
      <c r="M44" s="159">
        <v>13.143520113660163</v>
      </c>
      <c r="N44" s="160">
        <v>13.020007669102633</v>
      </c>
      <c r="O44" s="160">
        <f t="shared" si="0"/>
        <v>13.081763891381398</v>
      </c>
      <c r="P44" s="161">
        <f t="shared" si="1"/>
        <v>6.1756222278765094E-2</v>
      </c>
      <c r="Q44" s="159">
        <f t="shared" si="9"/>
        <v>13.150731596906077</v>
      </c>
      <c r="R44" s="160">
        <f t="shared" si="10"/>
        <v>0.10730151267233549</v>
      </c>
      <c r="S44" s="170">
        <v>1749.5305151407551</v>
      </c>
      <c r="T44" s="171">
        <v>1749.5305151407551</v>
      </c>
      <c r="U44" s="172">
        <f t="shared" si="2"/>
        <v>1749.5305151407551</v>
      </c>
      <c r="V44" s="184">
        <v>13.600604475171075</v>
      </c>
      <c r="W44" s="185">
        <v>13.472999129952198</v>
      </c>
      <c r="X44" s="185">
        <f t="shared" si="3"/>
        <v>13.536801802561637</v>
      </c>
      <c r="Y44" s="186">
        <f t="shared" si="4"/>
        <v>6.3802672609438282E-2</v>
      </c>
      <c r="Z44" s="184">
        <v>13.456734787595309</v>
      </c>
      <c r="AA44" s="185">
        <v>13.331305094349588</v>
      </c>
      <c r="AB44" s="185">
        <f t="shared" si="5"/>
        <v>13.394019940972449</v>
      </c>
      <c r="AC44" s="186">
        <f t="shared" si="6"/>
        <v>6.2714846622860421E-2</v>
      </c>
      <c r="AD44" s="194">
        <f t="shared" si="11"/>
        <v>13.465410871767043</v>
      </c>
      <c r="AE44" s="195">
        <f t="shared" si="12"/>
        <v>0.1101431281514287</v>
      </c>
      <c r="AF44" s="201">
        <v>13.28249661233998</v>
      </c>
      <c r="AG44" s="202">
        <v>13.218704777097038</v>
      </c>
      <c r="AH44" s="202">
        <v>13.156901992521533</v>
      </c>
      <c r="AI44" s="203">
        <v>6.2797309909223387E-2</v>
      </c>
      <c r="AJ44" s="201">
        <v>13.143520113660163</v>
      </c>
      <c r="AK44" s="202">
        <v>13.080786511269409</v>
      </c>
      <c r="AL44" s="202">
        <v>13.020007669102633</v>
      </c>
      <c r="AM44" s="203">
        <v>6.1756222278765094E-2</v>
      </c>
      <c r="AN44" s="201">
        <v>0.94481860426661635</v>
      </c>
      <c r="AO44" s="203">
        <v>1.1805962875413984E-3</v>
      </c>
    </row>
    <row r="45" spans="1:41">
      <c r="A45" s="201" t="s">
        <v>483</v>
      </c>
      <c r="B45" s="202">
        <v>1900</v>
      </c>
      <c r="C45" s="203"/>
      <c r="D45" s="143">
        <v>12.662000000000003</v>
      </c>
      <c r="E45" s="144">
        <v>3.2000000000000001E-2</v>
      </c>
      <c r="F45" s="150">
        <v>0.98402999999999996</v>
      </c>
      <c r="G45" s="151">
        <v>0.98385</v>
      </c>
      <c r="H45" s="152">
        <v>0.98421999999999998</v>
      </c>
      <c r="I45" s="159">
        <v>12.49063091371376</v>
      </c>
      <c r="J45" s="160">
        <v>12.425245434490941</v>
      </c>
      <c r="K45" s="160">
        <f t="shared" si="7"/>
        <v>12.457938174102351</v>
      </c>
      <c r="L45" s="161">
        <f t="shared" si="8"/>
        <v>3.2692739611409394E-2</v>
      </c>
      <c r="M45" s="159">
        <v>12.369722067932342</v>
      </c>
      <c r="N45" s="160">
        <v>12.305498786353484</v>
      </c>
      <c r="O45" s="160">
        <f t="shared" si="0"/>
        <v>12.337610427142913</v>
      </c>
      <c r="P45" s="161">
        <f t="shared" si="1"/>
        <v>3.2111640789429075E-2</v>
      </c>
      <c r="Q45" s="159">
        <f t="shared" si="9"/>
        <v>12.397774300622631</v>
      </c>
      <c r="R45" s="160">
        <f t="shared" si="10"/>
        <v>7.8906510258051607E-2</v>
      </c>
      <c r="S45" s="170">
        <v>1958.192534197982</v>
      </c>
      <c r="T45" s="171">
        <v>1957.9932764808414</v>
      </c>
      <c r="U45" s="172">
        <f t="shared" si="2"/>
        <v>1958.0929053394116</v>
      </c>
      <c r="V45" s="184">
        <v>12.861559285616087</v>
      </c>
      <c r="W45" s="185">
        <v>12.794863685979093</v>
      </c>
      <c r="X45" s="185">
        <f t="shared" si="3"/>
        <v>12.82821148579759</v>
      </c>
      <c r="Y45" s="186">
        <f t="shared" si="4"/>
        <v>3.3347799818496782E-2</v>
      </c>
      <c r="Z45" s="184">
        <v>12.736165387140904</v>
      </c>
      <c r="AA45" s="185">
        <v>12.670686751319458</v>
      </c>
      <c r="AB45" s="185">
        <f t="shared" si="5"/>
        <v>12.703426069230181</v>
      </c>
      <c r="AC45" s="186">
        <f t="shared" si="6"/>
        <v>3.2739317910722932E-2</v>
      </c>
      <c r="AD45" s="194">
        <f t="shared" si="11"/>
        <v>12.765818777513886</v>
      </c>
      <c r="AE45" s="195">
        <f t="shared" si="12"/>
        <v>8.1525614723001155E-2</v>
      </c>
      <c r="AF45" s="201">
        <v>12.49063091371376</v>
      </c>
      <c r="AG45" s="202">
        <v>12.458805190537115</v>
      </c>
      <c r="AH45" s="202">
        <v>12.425245434490941</v>
      </c>
      <c r="AI45" s="203">
        <v>3.2692739611409394E-2</v>
      </c>
      <c r="AJ45" s="201">
        <v>12.369722067932342</v>
      </c>
      <c r="AK45" s="202">
        <v>12.338462292565797</v>
      </c>
      <c r="AL45" s="202">
        <v>12.305498786353484</v>
      </c>
      <c r="AM45" s="203">
        <v>3.2111640789429075E-2</v>
      </c>
      <c r="AN45" s="201">
        <v>0.95338583955690814</v>
      </c>
      <c r="AO45" s="203">
        <v>1.1155189580712597E-3</v>
      </c>
    </row>
    <row r="46" spans="1:41">
      <c r="A46" s="201" t="s">
        <v>484</v>
      </c>
      <c r="B46" s="202">
        <v>1700</v>
      </c>
      <c r="C46" s="203"/>
      <c r="D46" s="143">
        <v>12.055</v>
      </c>
      <c r="E46" s="144">
        <v>3.250384592629002E-2</v>
      </c>
      <c r="F46" s="150">
        <v>0.98009000000000002</v>
      </c>
      <c r="G46" s="151">
        <v>0.97989999999999999</v>
      </c>
      <c r="H46" s="152">
        <v>0.98026999999999997</v>
      </c>
      <c r="I46" s="159">
        <v>11.92224759071863</v>
      </c>
      <c r="J46" s="160">
        <v>11.855573653942301</v>
      </c>
      <c r="K46" s="160">
        <f t="shared" si="7"/>
        <v>11.888910622330465</v>
      </c>
      <c r="L46" s="161">
        <f t="shared" si="8"/>
        <v>3.3336968388164578E-2</v>
      </c>
      <c r="M46" s="159">
        <v>11.805513628317271</v>
      </c>
      <c r="N46" s="160">
        <v>11.739910789564</v>
      </c>
      <c r="O46" s="160">
        <f t="shared" si="0"/>
        <v>11.772712208940636</v>
      </c>
      <c r="P46" s="161">
        <f t="shared" si="1"/>
        <v>3.2801419376635721E-2</v>
      </c>
      <c r="Q46" s="159">
        <f t="shared" si="9"/>
        <v>11.83081141563555</v>
      </c>
      <c r="R46" s="160">
        <f t="shared" si="10"/>
        <v>7.7193791682977103E-2</v>
      </c>
      <c r="S46" s="170">
        <v>1746.4424413132194</v>
      </c>
      <c r="T46" s="171">
        <v>1746.2703682856381</v>
      </c>
      <c r="U46" s="172">
        <f t="shared" si="2"/>
        <v>1746.3564047994287</v>
      </c>
      <c r="V46" s="184">
        <v>12.218012350594744</v>
      </c>
      <c r="W46" s="185">
        <v>12.150209730695209</v>
      </c>
      <c r="X46" s="185">
        <f t="shared" si="3"/>
        <v>12.184111040644977</v>
      </c>
      <c r="Y46" s="186">
        <f t="shared" si="4"/>
        <v>3.3901309949767366E-2</v>
      </c>
      <c r="Z46" s="184">
        <v>12.097367501530666</v>
      </c>
      <c r="AA46" s="185">
        <v>12.030682351464026</v>
      </c>
      <c r="AB46" s="185">
        <f t="shared" si="5"/>
        <v>12.064024926497346</v>
      </c>
      <c r="AC46" s="186">
        <f t="shared" si="6"/>
        <v>3.3342575033319832E-2</v>
      </c>
      <c r="AD46" s="194">
        <f t="shared" si="11"/>
        <v>12.124067983571162</v>
      </c>
      <c r="AE46" s="195">
        <f t="shared" si="12"/>
        <v>7.9462207082787228E-2</v>
      </c>
      <c r="AF46" s="201">
        <v>11.92224759071863</v>
      </c>
      <c r="AG46" s="202">
        <v>11.887992800488536</v>
      </c>
      <c r="AH46" s="202">
        <v>11.855573653942301</v>
      </c>
      <c r="AI46" s="203">
        <v>3.3336968388164578E-2</v>
      </c>
      <c r="AJ46" s="201">
        <v>11.805513628317271</v>
      </c>
      <c r="AK46" s="202">
        <v>11.771809376692858</v>
      </c>
      <c r="AL46" s="202">
        <v>11.739910789564</v>
      </c>
      <c r="AM46" s="203">
        <v>3.2801419376635721E-2</v>
      </c>
      <c r="AN46" s="201">
        <v>0.95135988688636197</v>
      </c>
      <c r="AO46" s="203">
        <v>1.0765800946832861E-3</v>
      </c>
    </row>
    <row r="47" spans="1:41">
      <c r="A47" s="201" t="s">
        <v>485</v>
      </c>
      <c r="B47" s="202">
        <v>1500</v>
      </c>
      <c r="C47" s="203"/>
      <c r="D47" s="143">
        <v>11.560513402061854</v>
      </c>
      <c r="E47" s="144">
        <v>3.2017573299674106E-2</v>
      </c>
      <c r="F47" s="150">
        <v>0.97557000000000005</v>
      </c>
      <c r="G47" s="151">
        <v>0.97538999999999998</v>
      </c>
      <c r="H47" s="152">
        <v>0.97574000000000005</v>
      </c>
      <c r="I47" s="159">
        <v>11.472592916430326</v>
      </c>
      <c r="J47" s="160">
        <v>11.408086721054501</v>
      </c>
      <c r="K47" s="160">
        <f t="shared" si="7"/>
        <v>11.440339818742412</v>
      </c>
      <c r="L47" s="161">
        <f t="shared" si="8"/>
        <v>3.2253097687912735E-2</v>
      </c>
      <c r="M47" s="159">
        <v>11.360979634779806</v>
      </c>
      <c r="N47" s="160">
        <v>11.29740115785458</v>
      </c>
      <c r="O47" s="160">
        <f t="shared" si="0"/>
        <v>11.329190396317193</v>
      </c>
      <c r="P47" s="161">
        <f t="shared" si="1"/>
        <v>3.1789238462613056E-2</v>
      </c>
      <c r="Q47" s="159">
        <f t="shared" si="9"/>
        <v>11.384765107529802</v>
      </c>
      <c r="R47" s="160">
        <f t="shared" si="10"/>
        <v>7.4062653860223648E-2</v>
      </c>
      <c r="S47" s="170">
        <v>1536.483747932421</v>
      </c>
      <c r="T47" s="171">
        <v>1536.3464233688767</v>
      </c>
      <c r="U47" s="172">
        <f t="shared" si="2"/>
        <v>1536.415085650649</v>
      </c>
      <c r="V47" s="184">
        <v>11.7045611668688</v>
      </c>
      <c r="W47" s="185">
        <v>11.63915681816998</v>
      </c>
      <c r="X47" s="185">
        <f t="shared" si="3"/>
        <v>11.67185899251939</v>
      </c>
      <c r="Y47" s="186">
        <f t="shared" si="4"/>
        <v>3.2702174349410029E-2</v>
      </c>
      <c r="Z47" s="184">
        <v>11.58957686902605</v>
      </c>
      <c r="AA47" s="185">
        <v>11.52513696057493</v>
      </c>
      <c r="AB47" s="185">
        <f t="shared" si="5"/>
        <v>11.55735691480049</v>
      </c>
      <c r="AC47" s="186">
        <f t="shared" si="6"/>
        <v>3.2219954225560343E-2</v>
      </c>
      <c r="AD47" s="194">
        <f t="shared" si="11"/>
        <v>11.614607953659938</v>
      </c>
      <c r="AE47" s="195">
        <f t="shared" si="12"/>
        <v>7.5995265459759098E-2</v>
      </c>
      <c r="AF47" s="201">
        <v>11.472592916430326</v>
      </c>
      <c r="AG47" s="202">
        <v>11.43940297237156</v>
      </c>
      <c r="AH47" s="202">
        <v>11.408086721054501</v>
      </c>
      <c r="AI47" s="203">
        <v>3.2253097687912735E-2</v>
      </c>
      <c r="AJ47" s="201">
        <v>11.360979634779806</v>
      </c>
      <c r="AK47" s="202">
        <v>11.328267227306647</v>
      </c>
      <c r="AL47" s="202">
        <v>11.29740115785458</v>
      </c>
      <c r="AM47" s="203">
        <v>3.1789238462613056E-2</v>
      </c>
      <c r="AN47" s="201">
        <v>0.94905678590242193</v>
      </c>
      <c r="AO47" s="203">
        <v>1.0133635878999004E-3</v>
      </c>
    </row>
    <row r="48" spans="1:41">
      <c r="A48" s="201" t="s">
        <v>486</v>
      </c>
      <c r="B48" s="202">
        <v>1300</v>
      </c>
      <c r="C48" s="203"/>
      <c r="D48" s="143">
        <v>11.106500000000002</v>
      </c>
      <c r="E48" s="144">
        <v>3.1813912051176722E-2</v>
      </c>
      <c r="F48" s="150">
        <v>0.97094999999999998</v>
      </c>
      <c r="G48" s="151">
        <v>0.97077999999999998</v>
      </c>
      <c r="H48" s="152">
        <v>0.97111999999999998</v>
      </c>
      <c r="I48" s="159">
        <v>11.06345179517294</v>
      </c>
      <c r="J48" s="160">
        <v>10.999333966723768</v>
      </c>
      <c r="K48" s="160">
        <f t="shared" si="7"/>
        <v>11.031392880948353</v>
      </c>
      <c r="L48" s="161">
        <f t="shared" si="8"/>
        <v>3.2058914224585955E-2</v>
      </c>
      <c r="M48" s="159">
        <v>10.959490997693457</v>
      </c>
      <c r="N48" s="160">
        <v>10.896186785141541</v>
      </c>
      <c r="O48" s="160">
        <f t="shared" si="0"/>
        <v>10.927838891417499</v>
      </c>
      <c r="P48" s="161">
        <f t="shared" si="1"/>
        <v>3.1652106275958047E-2</v>
      </c>
      <c r="Q48" s="159">
        <f t="shared" si="9"/>
        <v>10.979615886182927</v>
      </c>
      <c r="R48" s="160">
        <f t="shared" si="10"/>
        <v>7.019660099483474E-2</v>
      </c>
      <c r="S48" s="170">
        <v>1327.9614870389432</v>
      </c>
      <c r="T48" s="171">
        <v>1327.851956179117</v>
      </c>
      <c r="U48" s="172">
        <f t="shared" si="2"/>
        <v>1327.9067216090302</v>
      </c>
      <c r="V48" s="184">
        <v>11.240684007713572</v>
      </c>
      <c r="W48" s="185">
        <v>11.175853109179538</v>
      </c>
      <c r="X48" s="185">
        <f t="shared" si="3"/>
        <v>11.208268558446555</v>
      </c>
      <c r="Y48" s="186">
        <f t="shared" si="4"/>
        <v>3.2415449267016783E-2</v>
      </c>
      <c r="Z48" s="184">
        <v>11.133907413757083</v>
      </c>
      <c r="AA48" s="185">
        <v>11.069919267301314</v>
      </c>
      <c r="AB48" s="185">
        <f t="shared" si="5"/>
        <v>11.101913340529197</v>
      </c>
      <c r="AC48" s="186">
        <f t="shared" si="6"/>
        <v>3.1994073227884279E-2</v>
      </c>
      <c r="AD48" s="194">
        <f t="shared" si="11"/>
        <v>11.155090949487878</v>
      </c>
      <c r="AE48" s="195">
        <f t="shared" si="12"/>
        <v>7.1787177415923831E-2</v>
      </c>
      <c r="AF48" s="201">
        <v>11.06345179517294</v>
      </c>
      <c r="AG48" s="202">
        <v>11.03137812413129</v>
      </c>
      <c r="AH48" s="202">
        <v>10.999333966723768</v>
      </c>
      <c r="AI48" s="203">
        <v>3.2058914224585955E-2</v>
      </c>
      <c r="AJ48" s="201">
        <v>10.959490997693457</v>
      </c>
      <c r="AK48" s="202">
        <v>10.927824500001087</v>
      </c>
      <c r="AL48" s="202">
        <v>10.896186785141541</v>
      </c>
      <c r="AM48" s="203">
        <v>3.1652106275958047E-2</v>
      </c>
      <c r="AN48" s="201">
        <v>0.94763635892009579</v>
      </c>
      <c r="AO48" s="203">
        <v>9.8347558871955871E-4</v>
      </c>
    </row>
    <row r="49" spans="1:41">
      <c r="A49" s="201" t="s">
        <v>487</v>
      </c>
      <c r="B49" s="202">
        <v>1100</v>
      </c>
      <c r="C49" s="203"/>
      <c r="D49" s="143">
        <v>10.595000000000001</v>
      </c>
      <c r="E49" s="144">
        <v>3.1056400306539104E-2</v>
      </c>
      <c r="F49" s="150">
        <v>0.96680999999999995</v>
      </c>
      <c r="G49" s="151">
        <v>0.96664000000000005</v>
      </c>
      <c r="H49" s="152">
        <v>0.96697</v>
      </c>
      <c r="I49" s="159">
        <v>10.589177981438194</v>
      </c>
      <c r="J49" s="160">
        <v>10.525664487847916</v>
      </c>
      <c r="K49" s="160">
        <f t="shared" si="7"/>
        <v>10.557421234643055</v>
      </c>
      <c r="L49" s="161">
        <f t="shared" si="8"/>
        <v>3.1756746795139179E-2</v>
      </c>
      <c r="M49" s="159">
        <v>10.496727379469252</v>
      </c>
      <c r="N49" s="160">
        <v>10.433910050798602</v>
      </c>
      <c r="O49" s="160">
        <f t="shared" si="0"/>
        <v>10.465318715133927</v>
      </c>
      <c r="P49" s="161">
        <f t="shared" si="1"/>
        <v>3.1408664335325298E-2</v>
      </c>
      <c r="Q49" s="159">
        <f t="shared" si="9"/>
        <v>10.511369974888492</v>
      </c>
      <c r="R49" s="160">
        <f t="shared" si="10"/>
        <v>6.4479620616669037E-2</v>
      </c>
      <c r="S49" s="170">
        <v>1120.6251999548222</v>
      </c>
      <c r="T49" s="171">
        <v>1120.5406468546951</v>
      </c>
      <c r="U49" s="172">
        <f t="shared" si="2"/>
        <v>1120.5829234047587</v>
      </c>
      <c r="V49" s="184">
        <v>10.719124462984453</v>
      </c>
      <c r="W49" s="185">
        <v>10.655065095470697</v>
      </c>
      <c r="X49" s="185">
        <f t="shared" si="3"/>
        <v>10.687094779227575</v>
      </c>
      <c r="Y49" s="186">
        <f t="shared" si="4"/>
        <v>3.2029683756878313E-2</v>
      </c>
      <c r="Z49" s="184">
        <v>10.624449738440475</v>
      </c>
      <c r="AA49" s="185">
        <v>10.561108688944298</v>
      </c>
      <c r="AB49" s="185">
        <f t="shared" si="5"/>
        <v>10.592779213692387</v>
      </c>
      <c r="AC49" s="186">
        <f t="shared" si="6"/>
        <v>3.1670524748088624E-2</v>
      </c>
      <c r="AD49" s="194">
        <f t="shared" si="11"/>
        <v>10.63993699645998</v>
      </c>
      <c r="AE49" s="195">
        <f t="shared" si="12"/>
        <v>6.570964277534988E-2</v>
      </c>
      <c r="AF49" s="201">
        <v>10.589177981438194</v>
      </c>
      <c r="AG49" s="202">
        <v>10.556444781675058</v>
      </c>
      <c r="AH49" s="202">
        <v>10.525664487847916</v>
      </c>
      <c r="AI49" s="203">
        <v>3.1756746795139179E-2</v>
      </c>
      <c r="AJ49" s="201">
        <v>10.496727379469252</v>
      </c>
      <c r="AK49" s="202">
        <v>10.464353122199082</v>
      </c>
      <c r="AL49" s="202">
        <v>10.433910050798602</v>
      </c>
      <c r="AM49" s="203">
        <v>3.1408664335325298E-2</v>
      </c>
      <c r="AN49" s="201">
        <v>0.94574352088177183</v>
      </c>
      <c r="AO49" s="203">
        <v>9.6078120626351079E-4</v>
      </c>
    </row>
    <row r="50" spans="1:41">
      <c r="A50" s="201" t="s">
        <v>488</v>
      </c>
      <c r="B50" s="202">
        <v>900</v>
      </c>
      <c r="C50" s="203"/>
      <c r="D50" s="143">
        <v>10.120081956378055</v>
      </c>
      <c r="E50" s="144">
        <v>2.868143999174376E-2</v>
      </c>
      <c r="F50" s="150">
        <v>0.96265999999999996</v>
      </c>
      <c r="G50" s="151">
        <v>0.96250999999999998</v>
      </c>
      <c r="H50" s="152">
        <v>0.96282000000000001</v>
      </c>
      <c r="I50" s="159">
        <v>10.139978389101067</v>
      </c>
      <c r="J50" s="160">
        <v>10.07908245569417</v>
      </c>
      <c r="K50" s="160">
        <f t="shared" si="7"/>
        <v>10.109530422397619</v>
      </c>
      <c r="L50" s="161">
        <f t="shared" si="8"/>
        <v>3.0447966703448515E-2</v>
      </c>
      <c r="M50" s="159">
        <v>10.061617428228427</v>
      </c>
      <c r="N50" s="160">
        <v>10.001284370596931</v>
      </c>
      <c r="O50" s="160">
        <f t="shared" si="0"/>
        <v>10.031450899412679</v>
      </c>
      <c r="P50" s="161">
        <f t="shared" si="1"/>
        <v>3.0166528815747995E-2</v>
      </c>
      <c r="Q50" s="159">
        <f t="shared" si="9"/>
        <v>10.070490660905149</v>
      </c>
      <c r="R50" s="160">
        <f t="shared" si="10"/>
        <v>5.7068988028779799E-2</v>
      </c>
      <c r="S50" s="170">
        <v>914.56871456077215</v>
      </c>
      <c r="T50" s="171">
        <v>914.50827703156097</v>
      </c>
      <c r="U50" s="172">
        <f t="shared" si="2"/>
        <v>914.53849579616656</v>
      </c>
      <c r="V50" s="184">
        <v>10.230709559215649</v>
      </c>
      <c r="W50" s="185">
        <v>10.169429181301997</v>
      </c>
      <c r="X50" s="185">
        <f t="shared" si="3"/>
        <v>10.200069370258824</v>
      </c>
      <c r="Y50" s="186">
        <f t="shared" si="4"/>
        <v>3.0640188956826186E-2</v>
      </c>
      <c r="Z50" s="184">
        <v>10.150684141415464</v>
      </c>
      <c r="AA50" s="185">
        <v>10.089982171606311</v>
      </c>
      <c r="AB50" s="185">
        <f t="shared" si="5"/>
        <v>10.120333156510888</v>
      </c>
      <c r="AC50" s="186">
        <f t="shared" si="6"/>
        <v>3.0350984904576883E-2</v>
      </c>
      <c r="AD50" s="194">
        <f t="shared" si="11"/>
        <v>10.160201263384856</v>
      </c>
      <c r="AE50" s="195">
        <f t="shared" si="12"/>
        <v>5.7959384373404602E-2</v>
      </c>
      <c r="AF50" s="201">
        <v>10.139978389101067</v>
      </c>
      <c r="AG50" s="202">
        <v>10.110499930368725</v>
      </c>
      <c r="AH50" s="202">
        <v>10.07908245569417</v>
      </c>
      <c r="AI50" s="203">
        <v>3.0447966703448515E-2</v>
      </c>
      <c r="AJ50" s="201">
        <v>10.061617428228427</v>
      </c>
      <c r="AK50" s="202">
        <v>10.032411576287611</v>
      </c>
      <c r="AL50" s="202">
        <v>10.001284370596931</v>
      </c>
      <c r="AM50" s="203">
        <v>3.0166528815747995E-2</v>
      </c>
      <c r="AN50" s="201">
        <v>0.94428509861386056</v>
      </c>
      <c r="AO50" s="203">
        <v>9.4800216932726356E-4</v>
      </c>
    </row>
    <row r="51" spans="1:41">
      <c r="A51" s="201" t="s">
        <v>489</v>
      </c>
      <c r="B51" s="202">
        <v>700</v>
      </c>
      <c r="C51" s="203"/>
      <c r="D51" s="143">
        <v>9.6022452081956366</v>
      </c>
      <c r="E51" s="144">
        <v>3.1090593432741096E-2</v>
      </c>
      <c r="F51" s="150">
        <v>0.95898000000000005</v>
      </c>
      <c r="G51" s="151">
        <v>0.95882999999999996</v>
      </c>
      <c r="H51" s="152">
        <v>0.95913999999999999</v>
      </c>
      <c r="I51" s="159">
        <v>9.6385500472544123</v>
      </c>
      <c r="J51" s="160">
        <v>9.5765348496930063</v>
      </c>
      <c r="K51" s="160">
        <f t="shared" si="7"/>
        <v>9.6075424484737084</v>
      </c>
      <c r="L51" s="161">
        <f t="shared" si="8"/>
        <v>3.1007598780703027E-2</v>
      </c>
      <c r="M51" s="159">
        <v>9.5773189560255148</v>
      </c>
      <c r="N51" s="160">
        <v>9.5157712516011514</v>
      </c>
      <c r="O51" s="160">
        <f t="shared" si="0"/>
        <v>9.5465451038133331</v>
      </c>
      <c r="P51" s="161">
        <f t="shared" si="1"/>
        <v>3.0773852212181652E-2</v>
      </c>
      <c r="Q51" s="159">
        <f t="shared" si="9"/>
        <v>9.5770437761435208</v>
      </c>
      <c r="R51" s="160">
        <f t="shared" si="10"/>
        <v>5.01254372544893E-2</v>
      </c>
      <c r="S51" s="170">
        <v>709.64390790269999</v>
      </c>
      <c r="T51" s="171">
        <v>709.60052620336796</v>
      </c>
      <c r="U51" s="172">
        <f t="shared" si="2"/>
        <v>709.62221705303398</v>
      </c>
      <c r="V51" s="184">
        <v>9.6971603691088148</v>
      </c>
      <c r="W51" s="185">
        <v>9.6348773441316364</v>
      </c>
      <c r="X51" s="185">
        <f t="shared" si="3"/>
        <v>9.6660188566202265</v>
      </c>
      <c r="Y51" s="186">
        <f t="shared" si="4"/>
        <v>3.1141512488589207E-2</v>
      </c>
      <c r="Z51" s="184">
        <v>9.6347907301093265</v>
      </c>
      <c r="AA51" s="185">
        <v>9.5729859031897142</v>
      </c>
      <c r="AB51" s="185">
        <f t="shared" si="5"/>
        <v>9.6038883166495204</v>
      </c>
      <c r="AC51" s="186">
        <f t="shared" si="6"/>
        <v>3.0902413459806155E-2</v>
      </c>
      <c r="AD51" s="194">
        <f t="shared" si="11"/>
        <v>9.6349535866348734</v>
      </c>
      <c r="AE51" s="195">
        <f t="shared" si="12"/>
        <v>5.0694213714804898E-2</v>
      </c>
      <c r="AF51" s="201">
        <v>9.6385500472544123</v>
      </c>
      <c r="AG51" s="202">
        <v>9.6085298104683616</v>
      </c>
      <c r="AH51" s="202">
        <v>9.5765348496930063</v>
      </c>
      <c r="AI51" s="203">
        <v>3.1007598780703027E-2</v>
      </c>
      <c r="AJ51" s="201">
        <v>9.5773189560255148</v>
      </c>
      <c r="AK51" s="202">
        <v>9.5475251475037162</v>
      </c>
      <c r="AL51" s="202">
        <v>9.5157712516011514</v>
      </c>
      <c r="AM51" s="203">
        <v>3.0773852212181652E-2</v>
      </c>
      <c r="AN51" s="201">
        <v>0.94333263883554641</v>
      </c>
      <c r="AO51" s="203">
        <v>9.1992508156053441E-4</v>
      </c>
    </row>
    <row r="52" spans="1:41">
      <c r="A52" s="201" t="s">
        <v>490</v>
      </c>
      <c r="B52" s="202">
        <v>500</v>
      </c>
      <c r="C52" s="203"/>
      <c r="D52" s="143">
        <v>9.1536412811387891</v>
      </c>
      <c r="E52" s="144">
        <v>2.9103264421710594E-2</v>
      </c>
      <c r="F52" s="150">
        <v>0.95528999999999997</v>
      </c>
      <c r="G52" s="151">
        <v>0.95513999999999999</v>
      </c>
      <c r="H52" s="152">
        <v>0.95543</v>
      </c>
      <c r="I52" s="159">
        <v>9.2002616679703682</v>
      </c>
      <c r="J52" s="160">
        <v>9.1411373466401891</v>
      </c>
      <c r="K52" s="160">
        <f t="shared" si="7"/>
        <v>9.1706995073052795</v>
      </c>
      <c r="L52" s="161">
        <f t="shared" si="8"/>
        <v>2.9562160665089543E-2</v>
      </c>
      <c r="M52" s="159">
        <v>9.1576225434780198</v>
      </c>
      <c r="N52" s="160">
        <v>9.0988489284309821</v>
      </c>
      <c r="O52" s="160">
        <f t="shared" si="0"/>
        <v>9.128235735954501</v>
      </c>
      <c r="P52" s="161">
        <f t="shared" si="1"/>
        <v>2.9386807523518854E-2</v>
      </c>
      <c r="Q52" s="159">
        <f t="shared" si="9"/>
        <v>9.1494676216298902</v>
      </c>
      <c r="R52" s="160">
        <f t="shared" si="10"/>
        <v>4.194513669289502E-2</v>
      </c>
      <c r="S52" s="170">
        <v>505.86984470959823</v>
      </c>
      <c r="T52" s="171">
        <v>505.84319336618535</v>
      </c>
      <c r="U52" s="172">
        <f t="shared" si="2"/>
        <v>505.85651903789176</v>
      </c>
      <c r="V52" s="184">
        <v>9.2338378314613045</v>
      </c>
      <c r="W52" s="185">
        <v>9.1745602899402154</v>
      </c>
      <c r="X52" s="185">
        <f t="shared" si="3"/>
        <v>9.2041990607007591</v>
      </c>
      <c r="Y52" s="186">
        <f t="shared" si="4"/>
        <v>2.9638770760544553E-2</v>
      </c>
      <c r="Z52" s="184">
        <v>9.1905121209917731</v>
      </c>
      <c r="AA52" s="185">
        <v>9.1315913581261068</v>
      </c>
      <c r="AB52" s="185">
        <f t="shared" si="5"/>
        <v>9.161051739558939</v>
      </c>
      <c r="AC52" s="186">
        <f t="shared" si="6"/>
        <v>2.9460381432833138E-2</v>
      </c>
      <c r="AD52" s="194">
        <f t="shared" si="11"/>
        <v>9.1826254001298491</v>
      </c>
      <c r="AE52" s="195">
        <f t="shared" si="12"/>
        <v>4.2247023305173478E-2</v>
      </c>
      <c r="AF52" s="201">
        <v>9.2002616679703682</v>
      </c>
      <c r="AG52" s="202">
        <v>9.1696686632551696</v>
      </c>
      <c r="AH52" s="202">
        <v>9.1411373466401891</v>
      </c>
      <c r="AI52" s="203">
        <v>2.9562160665089543E-2</v>
      </c>
      <c r="AJ52" s="201">
        <v>9.1576225434780198</v>
      </c>
      <c r="AK52" s="202">
        <v>9.1272111121181432</v>
      </c>
      <c r="AL52" s="202">
        <v>9.0988489284309821</v>
      </c>
      <c r="AM52" s="203">
        <v>2.9386807523518854E-2</v>
      </c>
      <c r="AN52" s="201">
        <v>0.94220077183665152</v>
      </c>
      <c r="AO52" s="203">
        <v>8.7667450085098159E-4</v>
      </c>
    </row>
    <row r="53" spans="1:41">
      <c r="A53" s="201" t="s">
        <v>491</v>
      </c>
      <c r="B53" s="202">
        <v>309</v>
      </c>
      <c r="C53" s="203"/>
      <c r="D53" s="143">
        <v>8.7730739726027398</v>
      </c>
      <c r="E53" s="144">
        <v>2.7027763503479147E-2</v>
      </c>
      <c r="F53" s="150">
        <v>0.95203000000000004</v>
      </c>
      <c r="G53" s="151">
        <v>0.95189999999999997</v>
      </c>
      <c r="H53" s="152">
        <v>0.95216000000000001</v>
      </c>
      <c r="I53" s="159">
        <v>8.8541908496307133</v>
      </c>
      <c r="J53" s="160">
        <v>8.8002153472816236</v>
      </c>
      <c r="K53" s="160">
        <f t="shared" si="7"/>
        <v>8.8272030984561685</v>
      </c>
      <c r="L53" s="161">
        <f t="shared" si="8"/>
        <v>2.6987751174544883E-2</v>
      </c>
      <c r="M53" s="159">
        <v>8.8291142920783869</v>
      </c>
      <c r="N53" s="160">
        <v>8.7753883943344562</v>
      </c>
      <c r="O53" s="160">
        <f t="shared" si="0"/>
        <v>8.8022513432064216</v>
      </c>
      <c r="P53" s="161">
        <f t="shared" si="1"/>
        <v>2.6862948871965386E-2</v>
      </c>
      <c r="Q53" s="159">
        <f t="shared" si="9"/>
        <v>8.8147272208312941</v>
      </c>
      <c r="R53" s="160">
        <f t="shared" si="10"/>
        <v>3.4266132751144741E-2</v>
      </c>
      <c r="S53" s="170">
        <v>312.23302699919316</v>
      </c>
      <c r="T53" s="171">
        <v>312.21898795153714</v>
      </c>
      <c r="U53" s="172">
        <f t="shared" si="2"/>
        <v>312.22600747536512</v>
      </c>
      <c r="V53" s="184">
        <v>8.8694308485833631</v>
      </c>
      <c r="W53" s="185">
        <v>8.815390740551436</v>
      </c>
      <c r="X53" s="185">
        <f t="shared" si="3"/>
        <v>8.8424107945673995</v>
      </c>
      <c r="Y53" s="186">
        <f t="shared" si="4"/>
        <v>2.7020054015963524E-2</v>
      </c>
      <c r="Z53" s="184">
        <v>8.8440329366446857</v>
      </c>
      <c r="AA53" s="185">
        <v>8.7902449544810022</v>
      </c>
      <c r="AB53" s="185">
        <f t="shared" si="5"/>
        <v>8.8171389455628439</v>
      </c>
      <c r="AC53" s="186">
        <f t="shared" si="6"/>
        <v>2.6893991081841762E-2</v>
      </c>
      <c r="AD53" s="194">
        <f t="shared" si="11"/>
        <v>8.8297748700651226</v>
      </c>
      <c r="AE53" s="195">
        <f t="shared" si="12"/>
        <v>3.4377349630149399E-2</v>
      </c>
      <c r="AF53" s="201">
        <v>8.8541908496307133</v>
      </c>
      <c r="AG53" s="202">
        <v>8.8271937324595733</v>
      </c>
      <c r="AH53" s="202">
        <v>8.8002153472816236</v>
      </c>
      <c r="AI53" s="203">
        <v>2.6987751174544883E-2</v>
      </c>
      <c r="AJ53" s="201">
        <v>8.8291142920783869</v>
      </c>
      <c r="AK53" s="202">
        <v>8.8022421051553366</v>
      </c>
      <c r="AL53" s="202">
        <v>8.7753883943344562</v>
      </c>
      <c r="AM53" s="203">
        <v>2.6862948871965386E-2</v>
      </c>
      <c r="AN53" s="201">
        <v>0.94023441217394654</v>
      </c>
      <c r="AO53" s="203">
        <v>8.9173434275575329E-4</v>
      </c>
    </row>
    <row r="54" spans="1:41">
      <c r="A54" s="204" t="s">
        <v>492</v>
      </c>
      <c r="B54" s="205">
        <v>1700</v>
      </c>
      <c r="C54" s="206"/>
      <c r="D54" s="145">
        <v>13.567559544969784</v>
      </c>
      <c r="E54" s="146">
        <v>7.7553207541661395E-2</v>
      </c>
      <c r="F54" s="153">
        <v>0.97163999999999995</v>
      </c>
      <c r="G54" s="154">
        <v>0.97121999999999997</v>
      </c>
      <c r="H54" s="155">
        <v>0.97206999999999999</v>
      </c>
      <c r="I54" s="162">
        <v>13.52560684982797</v>
      </c>
      <c r="J54" s="163">
        <v>13.365226205522383</v>
      </c>
      <c r="K54" s="163">
        <f t="shared" si="7"/>
        <v>13.445416527675176</v>
      </c>
      <c r="L54" s="164">
        <f t="shared" si="8"/>
        <v>8.0190322152793314E-2</v>
      </c>
      <c r="M54" s="162">
        <v>13.382585334572244</v>
      </c>
      <c r="N54" s="163">
        <v>13.224875328733527</v>
      </c>
      <c r="O54" s="163">
        <f t="shared" si="0"/>
        <v>13.303730331652886</v>
      </c>
      <c r="P54" s="164">
        <f t="shared" si="1"/>
        <v>7.8855002919358874E-2</v>
      </c>
      <c r="Q54" s="162">
        <f t="shared" si="9"/>
        <v>13.37457342966403</v>
      </c>
      <c r="R54" s="163">
        <f t="shared" si="10"/>
        <v>0.12297991251694829</v>
      </c>
      <c r="S54" s="173">
        <v>1750.4184033679044</v>
      </c>
      <c r="T54" s="174">
        <v>1750.0340381523097</v>
      </c>
      <c r="U54" s="175">
        <f t="shared" si="2"/>
        <v>1750.226220760107</v>
      </c>
      <c r="V54" s="187">
        <v>13.847578195255513</v>
      </c>
      <c r="W54" s="188">
        <v>13.684653006952578</v>
      </c>
      <c r="X54" s="188">
        <f t="shared" si="3"/>
        <v>13.766115601104046</v>
      </c>
      <c r="Y54" s="189">
        <f t="shared" si="4"/>
        <v>8.1462594151467727E-2</v>
      </c>
      <c r="Z54" s="187">
        <v>13.699481024083553</v>
      </c>
      <c r="AA54" s="188">
        <v>13.539347072854575</v>
      </c>
      <c r="AB54" s="188">
        <f t="shared" si="5"/>
        <v>13.619414048469064</v>
      </c>
      <c r="AC54" s="189">
        <f t="shared" si="6"/>
        <v>8.0066975614489166E-2</v>
      </c>
      <c r="AD54" s="196">
        <f t="shared" si="11"/>
        <v>13.692764824786556</v>
      </c>
      <c r="AE54" s="197">
        <f t="shared" si="12"/>
        <v>0.1259829290094365</v>
      </c>
      <c r="AF54" s="204">
        <v>13.52560684982797</v>
      </c>
      <c r="AG54" s="205">
        <v>13.446267223527038</v>
      </c>
      <c r="AH54" s="205">
        <v>13.365226205522383</v>
      </c>
      <c r="AI54" s="206">
        <v>8.0190322152793314E-2</v>
      </c>
      <c r="AJ54" s="204">
        <v>13.382585334572244</v>
      </c>
      <c r="AK54" s="205">
        <v>13.304567879750344</v>
      </c>
      <c r="AL54" s="205">
        <v>13.224875328733527</v>
      </c>
      <c r="AM54" s="206">
        <v>7.8855002919358874E-2</v>
      </c>
      <c r="AN54" s="204">
        <v>0.94441123340203281</v>
      </c>
      <c r="AO54" s="206">
        <v>1.0658456228486428E-3</v>
      </c>
    </row>
  </sheetData>
  <mergeCells count="8">
    <mergeCell ref="S1:U1"/>
    <mergeCell ref="V1:AC1"/>
    <mergeCell ref="D2:E2"/>
    <mergeCell ref="I2:L2"/>
    <mergeCell ref="M2:P2"/>
    <mergeCell ref="V2:Y2"/>
    <mergeCell ref="Z2:AC2"/>
    <mergeCell ref="I1:R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7"/>
  <sheetViews>
    <sheetView workbookViewId="0">
      <selection activeCell="I5" sqref="I5"/>
    </sheetView>
  </sheetViews>
  <sheetFormatPr defaultColWidth="8.75" defaultRowHeight="18.75"/>
  <cols>
    <col min="1" max="1" width="10.875" style="2" bestFit="1" customWidth="1"/>
    <col min="2" max="2" width="5.875" style="2" bestFit="1" customWidth="1"/>
    <col min="3" max="3" width="11" style="2" bestFit="1" customWidth="1"/>
    <col min="4" max="4" width="8.375" style="19" bestFit="1" customWidth="1"/>
    <col min="5" max="5" width="10.25" style="19" bestFit="1" customWidth="1"/>
    <col min="6" max="8" width="8" style="20" bestFit="1" customWidth="1"/>
    <col min="9" max="9" width="9.75" style="19" bestFit="1" customWidth="1"/>
    <col min="10" max="10" width="9.25" style="19" bestFit="1" customWidth="1"/>
    <col min="11" max="11" width="8.375" style="19" bestFit="1" customWidth="1"/>
    <col min="12" max="12" width="10.25" style="19" bestFit="1" customWidth="1"/>
    <col min="13" max="13" width="9.75" style="19" bestFit="1" customWidth="1"/>
    <col min="14" max="14" width="9.25" style="19" bestFit="1" customWidth="1"/>
    <col min="15" max="15" width="8.375" style="19" bestFit="1" customWidth="1"/>
    <col min="16" max="16" width="10.25" style="19" bestFit="1" customWidth="1"/>
    <col min="17" max="17" width="11.625" style="19" bestFit="1" customWidth="1"/>
    <col min="18" max="18" width="11.375" style="19" bestFit="1" customWidth="1"/>
    <col min="19" max="21" width="5.875" style="34" bestFit="1" customWidth="1"/>
    <col min="22" max="22" width="9.75" style="19" bestFit="1" customWidth="1"/>
    <col min="23" max="23" width="9.25" style="19" bestFit="1" customWidth="1"/>
    <col min="24" max="24" width="8.375" style="19" bestFit="1" customWidth="1"/>
    <col min="25" max="25" width="10.25" style="19" bestFit="1" customWidth="1"/>
    <col min="26" max="26" width="9.75" style="19" bestFit="1" customWidth="1"/>
    <col min="27" max="27" width="9.25" style="19" bestFit="1" customWidth="1"/>
    <col min="28" max="28" width="8.375" style="19" bestFit="1" customWidth="1"/>
    <col min="29" max="29" width="10.25" style="19" bestFit="1" customWidth="1"/>
    <col min="30" max="30" width="8.375" style="19" bestFit="1" customWidth="1"/>
    <col min="31" max="31" width="10.25" style="19" bestFit="1" customWidth="1"/>
    <col min="32" max="41" width="8.75" style="2"/>
    <col min="42" max="42" width="5.875" style="2" bestFit="1" customWidth="1"/>
    <col min="43" max="43" width="7.75" style="2" bestFit="1" customWidth="1"/>
    <col min="44" max="16384" width="8.75" style="2"/>
  </cols>
  <sheetData>
    <row r="1" spans="1:43" s="1" customFormat="1">
      <c r="A1" s="35"/>
      <c r="B1" s="36"/>
      <c r="C1" s="36"/>
      <c r="D1" s="37"/>
      <c r="E1" s="37"/>
      <c r="F1" s="38"/>
      <c r="G1" s="38"/>
      <c r="H1" s="38"/>
      <c r="I1" s="39" t="s">
        <v>0</v>
      </c>
      <c r="J1" s="39"/>
      <c r="K1" s="39"/>
      <c r="L1" s="39"/>
      <c r="M1" s="39"/>
      <c r="N1" s="39"/>
      <c r="O1" s="39"/>
      <c r="P1" s="39"/>
      <c r="Q1" s="40"/>
      <c r="R1" s="40"/>
      <c r="S1" s="41" t="s">
        <v>1</v>
      </c>
      <c r="T1" s="41"/>
      <c r="U1" s="41"/>
      <c r="V1" s="4" t="s">
        <v>2</v>
      </c>
      <c r="W1" s="4"/>
      <c r="X1" s="4"/>
      <c r="Y1" s="4"/>
      <c r="Z1" s="4"/>
      <c r="AA1" s="4"/>
      <c r="AB1" s="4"/>
      <c r="AC1" s="5"/>
      <c r="AD1" s="40"/>
      <c r="AE1" s="42"/>
    </row>
    <row r="2" spans="1:43" s="1" customFormat="1">
      <c r="A2" s="61"/>
      <c r="B2" s="62"/>
      <c r="C2" s="62"/>
      <c r="D2" s="3" t="s">
        <v>3</v>
      </c>
      <c r="E2" s="5"/>
      <c r="F2" s="63"/>
      <c r="G2" s="64"/>
      <c r="H2" s="65"/>
      <c r="I2" s="3" t="s">
        <v>4</v>
      </c>
      <c r="J2" s="4"/>
      <c r="K2" s="4"/>
      <c r="L2" s="5"/>
      <c r="M2" s="3" t="s">
        <v>5</v>
      </c>
      <c r="N2" s="4"/>
      <c r="O2" s="4"/>
      <c r="P2" s="5"/>
      <c r="Q2" s="6"/>
      <c r="R2" s="6"/>
      <c r="S2" s="7" t="s">
        <v>6</v>
      </c>
      <c r="T2" s="8" t="s">
        <v>7</v>
      </c>
      <c r="U2" s="9"/>
      <c r="V2" s="3" t="s">
        <v>4</v>
      </c>
      <c r="W2" s="4"/>
      <c r="X2" s="4"/>
      <c r="Y2" s="5"/>
      <c r="Z2" s="3" t="s">
        <v>5</v>
      </c>
      <c r="AA2" s="4"/>
      <c r="AB2" s="4"/>
      <c r="AC2" s="5"/>
      <c r="AD2" s="46"/>
      <c r="AE2" s="47"/>
    </row>
    <row r="3" spans="1:43" s="1" customFormat="1">
      <c r="A3" s="43" t="s">
        <v>434</v>
      </c>
      <c r="B3" s="44" t="s">
        <v>8</v>
      </c>
      <c r="C3" s="44" t="s">
        <v>9</v>
      </c>
      <c r="D3" s="10" t="s">
        <v>10</v>
      </c>
      <c r="E3" s="12" t="s">
        <v>11</v>
      </c>
      <c r="F3" s="55" t="s">
        <v>12</v>
      </c>
      <c r="G3" s="45" t="s">
        <v>13</v>
      </c>
      <c r="H3" s="56" t="s">
        <v>14</v>
      </c>
      <c r="I3" s="10" t="s">
        <v>15</v>
      </c>
      <c r="J3" s="11" t="s">
        <v>16</v>
      </c>
      <c r="K3" s="11" t="s">
        <v>10</v>
      </c>
      <c r="L3" s="12" t="s">
        <v>11</v>
      </c>
      <c r="M3" s="10" t="s">
        <v>15</v>
      </c>
      <c r="N3" s="11" t="s">
        <v>16</v>
      </c>
      <c r="O3" s="11" t="s">
        <v>10</v>
      </c>
      <c r="P3" s="12" t="s">
        <v>11</v>
      </c>
      <c r="Q3" s="48" t="s">
        <v>17</v>
      </c>
      <c r="R3" s="48" t="s">
        <v>18</v>
      </c>
      <c r="S3" s="13" t="s">
        <v>8</v>
      </c>
      <c r="T3" s="14" t="s">
        <v>8</v>
      </c>
      <c r="U3" s="15" t="s">
        <v>8</v>
      </c>
      <c r="V3" s="16" t="s">
        <v>15</v>
      </c>
      <c r="W3" s="17" t="s">
        <v>16</v>
      </c>
      <c r="X3" s="17" t="s">
        <v>10</v>
      </c>
      <c r="Y3" s="18" t="s">
        <v>11</v>
      </c>
      <c r="Z3" s="16" t="s">
        <v>15</v>
      </c>
      <c r="AA3" s="17" t="s">
        <v>16</v>
      </c>
      <c r="AB3" s="17" t="s">
        <v>10</v>
      </c>
      <c r="AC3" s="18" t="s">
        <v>11</v>
      </c>
      <c r="AD3" s="11" t="s">
        <v>10</v>
      </c>
      <c r="AE3" s="12" t="s">
        <v>11</v>
      </c>
      <c r="AP3" s="1" t="s">
        <v>12</v>
      </c>
      <c r="AQ3" s="1" t="s">
        <v>19</v>
      </c>
    </row>
    <row r="4" spans="1:43">
      <c r="A4" s="49" t="s">
        <v>20</v>
      </c>
      <c r="B4" s="50">
        <v>1500</v>
      </c>
      <c r="C4" s="50">
        <v>5</v>
      </c>
      <c r="D4" s="21">
        <v>13.515499999999999</v>
      </c>
      <c r="E4" s="26">
        <v>2.1023796041628639E-2</v>
      </c>
      <c r="F4" s="57">
        <v>0.96496999999999999</v>
      </c>
      <c r="G4" s="51">
        <v>0.96486000000000005</v>
      </c>
      <c r="H4" s="58">
        <v>0.96508000000000005</v>
      </c>
      <c r="I4" s="21">
        <v>13.471760779415785</v>
      </c>
      <c r="J4" s="22">
        <v>13.428814320298201</v>
      </c>
      <c r="K4" s="11">
        <f>(I4+J4)/2</f>
        <v>13.450287549856993</v>
      </c>
      <c r="L4" s="11">
        <f>(I4-J4)/2</f>
        <v>2.1473229558791829E-2</v>
      </c>
      <c r="M4" s="21">
        <v>13.330692104980859</v>
      </c>
      <c r="N4" s="22">
        <v>13.288390714409944</v>
      </c>
      <c r="O4" s="11">
        <f>(M4+N4)/2</f>
        <v>13.309541409695402</v>
      </c>
      <c r="P4" s="11">
        <f>(M4-N4)/2</f>
        <v>2.1150695285457211E-2</v>
      </c>
      <c r="Q4" s="11">
        <f t="shared" ref="Q4:Q19" si="0">AVERAGE(I4:J4,M4:N4)</f>
        <v>13.379914479776197</v>
      </c>
      <c r="R4" s="11">
        <f t="shared" ref="R4:R19" si="1">STDEV(I4:J4,M4:N4)</f>
        <v>8.4904611119130002E-2</v>
      </c>
      <c r="S4" s="23">
        <v>1540.531910536881</v>
      </c>
      <c r="T4" s="24">
        <v>1540.4489110819773</v>
      </c>
      <c r="U4" s="25">
        <f>(S4+T4)/2</f>
        <v>1540.4904108094292</v>
      </c>
      <c r="V4" s="21">
        <v>13.730360985911759</v>
      </c>
      <c r="W4" s="22">
        <v>13.686865294166985</v>
      </c>
      <c r="X4" s="22">
        <f>(V4+W4)/2</f>
        <v>13.708613140039372</v>
      </c>
      <c r="Y4" s="26">
        <f>(V4-W4)/2</f>
        <v>2.1747845872386762E-2</v>
      </c>
      <c r="Z4" s="21">
        <v>13.584723812431925</v>
      </c>
      <c r="AA4" s="22">
        <v>13.541900047645431</v>
      </c>
      <c r="AB4" s="22">
        <f>(Z4+AA4)/2</f>
        <v>13.563311930038678</v>
      </c>
      <c r="AC4" s="26">
        <f>(Z4-AA4)/2</f>
        <v>2.1411882393246984E-2</v>
      </c>
      <c r="AD4" s="22">
        <f t="shared" ref="AD4:AD19" si="2">AVERAGE(V4,W4,Z4,AA4)</f>
        <v>13.635962535039024</v>
      </c>
      <c r="AE4" s="26">
        <f t="shared" ref="AE4:AE19" si="3">STDEV(V4,W4,Z4,AA4)</f>
        <v>8.7512506997739964E-2</v>
      </c>
    </row>
    <row r="5" spans="1:43">
      <c r="A5" s="49" t="s">
        <v>21</v>
      </c>
      <c r="B5" s="50">
        <v>1500</v>
      </c>
      <c r="C5" s="50">
        <v>5</v>
      </c>
      <c r="D5" s="21">
        <v>13.308</v>
      </c>
      <c r="E5" s="26">
        <v>2.0099751242241778E-2</v>
      </c>
      <c r="F5" s="57">
        <v>0.96606000000000003</v>
      </c>
      <c r="G5" s="51">
        <v>0.96594999999999998</v>
      </c>
      <c r="H5" s="58">
        <v>0.96616999999999997</v>
      </c>
      <c r="I5" s="21">
        <v>13.259481262312445</v>
      </c>
      <c r="J5" s="22">
        <v>13.216787730602487</v>
      </c>
      <c r="K5" s="22">
        <f>(I5+J5)/2</f>
        <v>13.238134496457466</v>
      </c>
      <c r="L5" s="26">
        <f>(I5-J5)/2</f>
        <v>2.1346765854978855E-2</v>
      </c>
      <c r="M5" s="21">
        <v>13.121596557067257</v>
      </c>
      <c r="N5" s="22">
        <v>13.079541985718336</v>
      </c>
      <c r="O5" s="22">
        <f>(M5+N5)/2</f>
        <v>13.100569271392796</v>
      </c>
      <c r="P5" s="26">
        <f>(M5-N5)/2</f>
        <v>2.1027285674460217E-2</v>
      </c>
      <c r="Q5" s="22">
        <f t="shared" si="0"/>
        <v>13.169351883925131</v>
      </c>
      <c r="R5" s="22">
        <f t="shared" si="1"/>
        <v>8.3106063673072772E-2</v>
      </c>
      <c r="S5" s="23">
        <v>1540.1200521476167</v>
      </c>
      <c r="T5" s="24">
        <v>1540.0367312741291</v>
      </c>
      <c r="U5" s="25">
        <f t="shared" ref="U5:U19" si="4">(S5+T5)/2</f>
        <v>1540.0783917108729</v>
      </c>
      <c r="V5" s="21">
        <v>13.51535745890283</v>
      </c>
      <c r="W5" s="22">
        <v>13.472113266018178</v>
      </c>
      <c r="X5" s="22">
        <f t="shared" ref="X5:X19" si="5">(V5+W5)/2</f>
        <v>13.493735362460505</v>
      </c>
      <c r="Y5" s="26">
        <f t="shared" ref="Y5:Y19" si="6">(V5-W5)/2</f>
        <v>2.1622096442325933E-2</v>
      </c>
      <c r="Z5" s="21">
        <v>13.373036554810625</v>
      </c>
      <c r="AA5" s="22">
        <v>13.33045779082167</v>
      </c>
      <c r="AB5" s="22">
        <f>(Z5+AA5)/2</f>
        <v>13.351747172816147</v>
      </c>
      <c r="AC5" s="26">
        <f>(Z5-AA5)/2</f>
        <v>2.1289381994477274E-2</v>
      </c>
      <c r="AD5" s="22">
        <f t="shared" si="2"/>
        <v>13.422741267638326</v>
      </c>
      <c r="AE5" s="26">
        <f t="shared" si="3"/>
        <v>8.5639071454988391E-2</v>
      </c>
    </row>
    <row r="6" spans="1:43">
      <c r="A6" s="49" t="s">
        <v>22</v>
      </c>
      <c r="B6" s="50">
        <v>1600</v>
      </c>
      <c r="C6" s="50">
        <v>5</v>
      </c>
      <c r="D6" s="21">
        <v>13.2745</v>
      </c>
      <c r="E6" s="26">
        <v>2.0554804791094464E-2</v>
      </c>
      <c r="F6" s="57">
        <v>0.96970999999999996</v>
      </c>
      <c r="G6" s="51">
        <v>0.96960000000000002</v>
      </c>
      <c r="H6" s="58">
        <v>0.96982000000000002</v>
      </c>
      <c r="I6" s="21">
        <v>13.153123468608031</v>
      </c>
      <c r="J6" s="22">
        <v>13.153123468608031</v>
      </c>
      <c r="K6" s="22">
        <f>(I6+J6)/2</f>
        <v>13.153123468608031</v>
      </c>
      <c r="L6" s="26">
        <f>(I6-J6)/2</f>
        <v>0</v>
      </c>
      <c r="M6" s="21">
        <v>13.015985695455925</v>
      </c>
      <c r="N6" s="22">
        <v>13.015985695455925</v>
      </c>
      <c r="O6" s="22">
        <f>(M6+N6)/2</f>
        <v>13.015985695455925</v>
      </c>
      <c r="P6" s="26">
        <f>(M6-N6)/2</f>
        <v>0</v>
      </c>
      <c r="Q6" s="22">
        <f t="shared" si="0"/>
        <v>13.084554582031977</v>
      </c>
      <c r="R6" s="22">
        <f t="shared" si="1"/>
        <v>7.9176530245434709E-2</v>
      </c>
      <c r="S6" s="23">
        <v>1644.5861710231441</v>
      </c>
      <c r="T6" s="24">
        <v>1644.5861710231441</v>
      </c>
      <c r="U6" s="25">
        <f t="shared" si="4"/>
        <v>1644.5861710231441</v>
      </c>
      <c r="V6" s="21">
        <v>13.437589186067093</v>
      </c>
      <c r="W6" s="22">
        <v>13.437589186067093</v>
      </c>
      <c r="X6" s="22">
        <f t="shared" si="5"/>
        <v>13.437589186067093</v>
      </c>
      <c r="Y6" s="26">
        <f t="shared" si="6"/>
        <v>0</v>
      </c>
      <c r="Z6" s="21">
        <v>13.295848945633018</v>
      </c>
      <c r="AA6" s="22">
        <v>13.295848945633018</v>
      </c>
      <c r="AB6" s="22">
        <f t="shared" ref="AB6:AB19" si="7">(Z6+AA6)/2</f>
        <v>13.295848945633018</v>
      </c>
      <c r="AC6" s="26">
        <f t="shared" ref="AC6:AC19" si="8">(Z6-AA6)/2</f>
        <v>0</v>
      </c>
      <c r="AD6" s="22">
        <f t="shared" si="2"/>
        <v>13.366719065850056</v>
      </c>
      <c r="AE6" s="26">
        <f t="shared" si="3"/>
        <v>8.1833765969615391E-2</v>
      </c>
    </row>
    <row r="7" spans="1:43">
      <c r="A7" s="49" t="s">
        <v>23</v>
      </c>
      <c r="B7" s="50">
        <v>1700</v>
      </c>
      <c r="C7" s="50">
        <v>5.99</v>
      </c>
      <c r="D7" s="21">
        <v>14.227</v>
      </c>
      <c r="E7" s="26">
        <v>2.0506096654409878E-2</v>
      </c>
      <c r="F7" s="57">
        <v>0.96808000000000005</v>
      </c>
      <c r="G7" s="51">
        <v>0.96797</v>
      </c>
      <c r="H7" s="58">
        <v>0.96819</v>
      </c>
      <c r="I7" s="21">
        <v>14.145710772987439</v>
      </c>
      <c r="J7" s="22">
        <v>14.103387861799799</v>
      </c>
      <c r="K7" s="22">
        <f t="shared" ref="K7:K19" si="9">(I7+J7)/2</f>
        <v>14.124549317393619</v>
      </c>
      <c r="L7" s="26">
        <f t="shared" ref="L7:L19" si="10">(I7-J7)/2</f>
        <v>2.1161455593819767E-2</v>
      </c>
      <c r="M7" s="21">
        <v>13.992290830766251</v>
      </c>
      <c r="N7" s="22">
        <v>13.950681076395295</v>
      </c>
      <c r="O7" s="22">
        <f t="shared" ref="O7:O19" si="11">(M7+N7)/2</f>
        <v>13.971485953580773</v>
      </c>
      <c r="P7" s="26">
        <f t="shared" ref="P7:P19" si="12">(M7-N7)/2</f>
        <v>2.0804877185478077E-2</v>
      </c>
      <c r="Q7" s="22">
        <f t="shared" si="0"/>
        <v>14.048017635487195</v>
      </c>
      <c r="R7" s="22">
        <f t="shared" si="1"/>
        <v>9.1632769933046199E-2</v>
      </c>
      <c r="S7" s="23">
        <v>1751.8785062982313</v>
      </c>
      <c r="T7" s="24">
        <v>1751.7801382067992</v>
      </c>
      <c r="U7" s="25">
        <f t="shared" si="4"/>
        <v>1751.8293222525153</v>
      </c>
      <c r="V7" s="21">
        <v>14.477371168836786</v>
      </c>
      <c r="W7" s="22">
        <v>14.434394334269637</v>
      </c>
      <c r="X7" s="22">
        <f t="shared" si="5"/>
        <v>14.455882751553212</v>
      </c>
      <c r="Y7" s="26">
        <f t="shared" si="6"/>
        <v>2.1488417283574535E-2</v>
      </c>
      <c r="Z7" s="21">
        <v>14.318401309788571</v>
      </c>
      <c r="AA7" s="22">
        <v>14.276170394617139</v>
      </c>
      <c r="AB7" s="22">
        <f t="shared" si="7"/>
        <v>14.297285852202855</v>
      </c>
      <c r="AC7" s="26">
        <f t="shared" si="8"/>
        <v>2.111545758571598E-2</v>
      </c>
      <c r="AD7" s="22">
        <f t="shared" si="2"/>
        <v>14.376584301878033</v>
      </c>
      <c r="AE7" s="26">
        <f t="shared" si="3"/>
        <v>9.4812456524026756E-2</v>
      </c>
    </row>
    <row r="8" spans="1:43">
      <c r="A8" s="49" t="s">
        <v>24</v>
      </c>
      <c r="B8" s="50">
        <v>1600</v>
      </c>
      <c r="C8" s="50">
        <v>6</v>
      </c>
      <c r="D8" s="21">
        <v>14.179500000000001</v>
      </c>
      <c r="E8" s="26">
        <v>2.1505813167606566E-2</v>
      </c>
      <c r="F8" s="57">
        <v>0.96487999999999996</v>
      </c>
      <c r="G8" s="51">
        <v>0.96477000000000002</v>
      </c>
      <c r="H8" s="58">
        <v>0.96499999999999997</v>
      </c>
      <c r="I8" s="21">
        <v>14.127708062847276</v>
      </c>
      <c r="J8" s="22">
        <v>14.08273814303087</v>
      </c>
      <c r="K8" s="22">
        <f t="shared" si="9"/>
        <v>14.105223102939073</v>
      </c>
      <c r="L8" s="26">
        <f t="shared" si="10"/>
        <v>2.2484959908203095E-2</v>
      </c>
      <c r="M8" s="21">
        <v>13.975079866025393</v>
      </c>
      <c r="N8" s="22">
        <v>13.93083010648035</v>
      </c>
      <c r="O8" s="22">
        <f t="shared" si="11"/>
        <v>13.952954986252871</v>
      </c>
      <c r="P8" s="26">
        <f t="shared" si="12"/>
        <v>2.2124879772521311E-2</v>
      </c>
      <c r="Q8" s="22">
        <f t="shared" si="0"/>
        <v>14.029089044595972</v>
      </c>
      <c r="R8" s="22">
        <f t="shared" si="1"/>
        <v>9.1607399288497621E-2</v>
      </c>
      <c r="S8" s="23">
        <v>1646.6716468862207</v>
      </c>
      <c r="T8" s="24">
        <v>1646.5774226884394</v>
      </c>
      <c r="U8" s="25">
        <f t="shared" si="4"/>
        <v>1646.62453478733</v>
      </c>
      <c r="V8" s="21">
        <v>14.425995720619838</v>
      </c>
      <c r="W8" s="22">
        <v>14.380399526966048</v>
      </c>
      <c r="X8" s="22">
        <f t="shared" si="5"/>
        <v>14.403197623792943</v>
      </c>
      <c r="Y8" s="26">
        <f t="shared" si="6"/>
        <v>2.279809682689482E-2</v>
      </c>
      <c r="Z8" s="21">
        <v>14.268089144218973</v>
      </c>
      <c r="AA8" s="22">
        <v>14.223244892674437</v>
      </c>
      <c r="AB8" s="22">
        <f t="shared" si="7"/>
        <v>14.245667018446705</v>
      </c>
      <c r="AC8" s="26">
        <f t="shared" si="8"/>
        <v>2.2422125772267876E-2</v>
      </c>
      <c r="AD8" s="22">
        <f t="shared" si="2"/>
        <v>14.324432321119824</v>
      </c>
      <c r="AE8" s="26">
        <f t="shared" si="3"/>
        <v>9.4623643111194394E-2</v>
      </c>
    </row>
    <row r="9" spans="1:43">
      <c r="A9" s="49" t="s">
        <v>25</v>
      </c>
      <c r="B9" s="50">
        <v>1500</v>
      </c>
      <c r="C9" s="50">
        <v>6</v>
      </c>
      <c r="D9" s="21">
        <v>14.027000000000001</v>
      </c>
      <c r="E9" s="26">
        <v>2.0554804791094464E-2</v>
      </c>
      <c r="F9" s="57">
        <v>0.96228999999999998</v>
      </c>
      <c r="G9" s="51">
        <v>0.96218000000000004</v>
      </c>
      <c r="H9" s="58">
        <v>0.96238999999999997</v>
      </c>
      <c r="I9" s="21">
        <v>13.99905664273372</v>
      </c>
      <c r="J9" s="22">
        <v>13.957461782507972</v>
      </c>
      <c r="K9" s="22">
        <f t="shared" si="9"/>
        <v>13.978259212620845</v>
      </c>
      <c r="L9" s="26">
        <f t="shared" si="10"/>
        <v>2.079743011287416E-2</v>
      </c>
      <c r="M9" s="21">
        <v>13.850032297684209</v>
      </c>
      <c r="N9" s="22">
        <v>13.809067282180262</v>
      </c>
      <c r="O9" s="22">
        <f t="shared" si="11"/>
        <v>13.829549789932235</v>
      </c>
      <c r="P9" s="26">
        <f t="shared" si="12"/>
        <v>2.0482507751973245E-2</v>
      </c>
      <c r="Q9" s="22">
        <f t="shared" si="0"/>
        <v>13.903904501276539</v>
      </c>
      <c r="R9" s="22">
        <f t="shared" si="1"/>
        <v>8.910410548453776E-2</v>
      </c>
      <c r="S9" s="23">
        <v>1541.5378797685946</v>
      </c>
      <c r="T9" s="24">
        <v>1541.459391464791</v>
      </c>
      <c r="U9" s="25">
        <f t="shared" si="4"/>
        <v>1541.4986356166928</v>
      </c>
      <c r="V9" s="21">
        <v>14.264325047956579</v>
      </c>
      <c r="W9" s="22">
        <v>14.222209150309562</v>
      </c>
      <c r="X9" s="22">
        <f t="shared" si="5"/>
        <v>14.243267099133071</v>
      </c>
      <c r="Y9" s="26">
        <f t="shared" si="6"/>
        <v>2.1057948823508532E-2</v>
      </c>
      <c r="Z9" s="21">
        <v>14.110398694298844</v>
      </c>
      <c r="AA9" s="22">
        <v>14.068939197028428</v>
      </c>
      <c r="AB9" s="22">
        <f t="shared" si="7"/>
        <v>14.089668945663636</v>
      </c>
      <c r="AC9" s="26">
        <f t="shared" si="8"/>
        <v>2.0729748635208267E-2</v>
      </c>
      <c r="AD9" s="22">
        <f t="shared" si="2"/>
        <v>14.166468022398353</v>
      </c>
      <c r="AE9" s="26">
        <f t="shared" si="3"/>
        <v>9.1903413290774463E-2</v>
      </c>
    </row>
    <row r="10" spans="1:43">
      <c r="A10" s="49" t="s">
        <v>26</v>
      </c>
      <c r="B10" s="50">
        <v>1400</v>
      </c>
      <c r="C10" s="50">
        <v>6</v>
      </c>
      <c r="D10" s="21">
        <v>13.845000000000001</v>
      </c>
      <c r="E10" s="26">
        <v>2.1023796041628639E-2</v>
      </c>
      <c r="F10" s="57">
        <v>0.95989000000000002</v>
      </c>
      <c r="G10" s="51">
        <v>0.95977999999999997</v>
      </c>
      <c r="H10" s="58">
        <v>0.95999000000000001</v>
      </c>
      <c r="I10" s="21">
        <v>13.839537015810546</v>
      </c>
      <c r="J10" s="22">
        <v>13.797446160365244</v>
      </c>
      <c r="K10" s="22">
        <f t="shared" si="9"/>
        <v>13.818491588087895</v>
      </c>
      <c r="L10" s="26">
        <f t="shared" si="10"/>
        <v>2.1045427722651056E-2</v>
      </c>
      <c r="M10" s="21">
        <v>13.695499289576631</v>
      </c>
      <c r="N10" s="22">
        <v>13.654008570557473</v>
      </c>
      <c r="O10" s="22">
        <f t="shared" si="11"/>
        <v>13.674753930067052</v>
      </c>
      <c r="P10" s="26">
        <f t="shared" si="12"/>
        <v>2.0745359509579231E-2</v>
      </c>
      <c r="Q10" s="22">
        <f t="shared" si="0"/>
        <v>13.746622759077473</v>
      </c>
      <c r="R10" s="22">
        <f t="shared" si="1"/>
        <v>8.6423519699479243E-2</v>
      </c>
      <c r="S10" s="23">
        <v>1436.6768633919073</v>
      </c>
      <c r="T10" s="24">
        <v>1436.6056899431535</v>
      </c>
      <c r="U10" s="25">
        <f t="shared" si="4"/>
        <v>1436.6412766675303</v>
      </c>
      <c r="V10" s="21">
        <v>14.073472865719935</v>
      </c>
      <c r="W10" s="22">
        <v>14.030910455615015</v>
      </c>
      <c r="X10" s="22">
        <f t="shared" si="5"/>
        <v>14.052191660667475</v>
      </c>
      <c r="Y10" s="26">
        <f t="shared" si="6"/>
        <v>2.128120505246045E-2</v>
      </c>
      <c r="Z10" s="21">
        <v>13.924941335242046</v>
      </c>
      <c r="AA10" s="22">
        <v>13.883003138383433</v>
      </c>
      <c r="AB10" s="22">
        <f t="shared" si="7"/>
        <v>13.90397223681274</v>
      </c>
      <c r="AC10" s="26">
        <f t="shared" si="8"/>
        <v>2.0969098429306499E-2</v>
      </c>
      <c r="AD10" s="22">
        <f t="shared" si="2"/>
        <v>13.978081948740108</v>
      </c>
      <c r="AE10" s="26">
        <f t="shared" si="3"/>
        <v>8.8983487536874559E-2</v>
      </c>
    </row>
    <row r="11" spans="1:43">
      <c r="A11" s="49" t="s">
        <v>27</v>
      </c>
      <c r="B11" s="50">
        <v>1300</v>
      </c>
      <c r="C11" s="50">
        <v>6</v>
      </c>
      <c r="D11" s="21">
        <v>13.634499999999999</v>
      </c>
      <c r="E11" s="26">
        <v>2.1505813167606566E-2</v>
      </c>
      <c r="F11" s="57">
        <v>0.95767000000000002</v>
      </c>
      <c r="G11" s="51">
        <v>0.95755999999999997</v>
      </c>
      <c r="H11" s="58">
        <v>0.95777999999999996</v>
      </c>
      <c r="I11" s="21">
        <v>13.650177641352455</v>
      </c>
      <c r="J11" s="22">
        <v>13.605601612520308</v>
      </c>
      <c r="K11" s="22">
        <f t="shared" si="9"/>
        <v>13.627889626936382</v>
      </c>
      <c r="L11" s="26">
        <f t="shared" si="10"/>
        <v>2.228801441607331E-2</v>
      </c>
      <c r="M11" s="21">
        <v>13.512407606901782</v>
      </c>
      <c r="N11" s="22">
        <v>13.468427337497815</v>
      </c>
      <c r="O11" s="22">
        <f t="shared" si="11"/>
        <v>13.490417472199798</v>
      </c>
      <c r="P11" s="26">
        <f t="shared" si="12"/>
        <v>2.1990134701983521E-2</v>
      </c>
      <c r="Q11" s="22">
        <f t="shared" si="0"/>
        <v>13.559153549568091</v>
      </c>
      <c r="R11" s="22">
        <f t="shared" si="1"/>
        <v>8.3385123672359493E-2</v>
      </c>
      <c r="S11" s="23">
        <v>1332.1028458848077</v>
      </c>
      <c r="T11" s="24">
        <v>1332.0356928537403</v>
      </c>
      <c r="U11" s="25">
        <f t="shared" si="4"/>
        <v>1332.069269369274</v>
      </c>
      <c r="V11" s="21">
        <v>13.854568001556453</v>
      </c>
      <c r="W11" s="22">
        <v>13.809548304553903</v>
      </c>
      <c r="X11" s="22">
        <f t="shared" si="5"/>
        <v>13.832058153055179</v>
      </c>
      <c r="Y11" s="26">
        <f t="shared" si="6"/>
        <v>2.2509848501274909E-2</v>
      </c>
      <c r="Z11" s="21">
        <v>13.712733152499833</v>
      </c>
      <c r="AA11" s="22">
        <v>13.668331855954232</v>
      </c>
      <c r="AB11" s="22">
        <f t="shared" si="7"/>
        <v>13.690532504227033</v>
      </c>
      <c r="AC11" s="26">
        <f t="shared" si="8"/>
        <v>2.2200648272800549E-2</v>
      </c>
      <c r="AD11" s="22">
        <f t="shared" si="2"/>
        <v>13.761295328641108</v>
      </c>
      <c r="AE11" s="26">
        <f t="shared" si="3"/>
        <v>8.5690593421513653E-2</v>
      </c>
    </row>
    <row r="12" spans="1:43">
      <c r="A12" s="49" t="s">
        <v>28</v>
      </c>
      <c r="B12" s="50">
        <v>1100</v>
      </c>
      <c r="C12" s="50">
        <v>6</v>
      </c>
      <c r="D12" s="21">
        <v>13.259</v>
      </c>
      <c r="E12" s="26">
        <v>2.1505813167606566E-2</v>
      </c>
      <c r="F12" s="57">
        <v>0.95311999999999997</v>
      </c>
      <c r="G12" s="51">
        <v>0.95301999999999998</v>
      </c>
      <c r="H12" s="58">
        <v>0.95323000000000002</v>
      </c>
      <c r="I12" s="21">
        <v>13.311630067632713</v>
      </c>
      <c r="J12" s="22">
        <v>13.268119735761339</v>
      </c>
      <c r="K12" s="22">
        <f t="shared" si="9"/>
        <v>13.289874901697026</v>
      </c>
      <c r="L12" s="26">
        <f t="shared" si="10"/>
        <v>2.175516593568716E-2</v>
      </c>
      <c r="M12" s="21">
        <v>13.188373601782867</v>
      </c>
      <c r="N12" s="22">
        <v>13.145367306839276</v>
      </c>
      <c r="O12" s="22">
        <f t="shared" si="11"/>
        <v>13.166870454311072</v>
      </c>
      <c r="P12" s="26">
        <f t="shared" si="12"/>
        <v>2.1503147471795714E-2</v>
      </c>
      <c r="Q12" s="22">
        <f t="shared" si="0"/>
        <v>13.22837267800405</v>
      </c>
      <c r="R12" s="22">
        <f t="shared" si="1"/>
        <v>7.5280451798347733E-2</v>
      </c>
      <c r="S12" s="23">
        <v>1124.0057961750351</v>
      </c>
      <c r="T12" s="24">
        <v>1123.955187288884</v>
      </c>
      <c r="U12" s="25">
        <f t="shared" si="4"/>
        <v>1123.9804917319595</v>
      </c>
      <c r="V12" s="21">
        <v>13.463560264961322</v>
      </c>
      <c r="W12" s="22">
        <v>13.41971836057208</v>
      </c>
      <c r="X12" s="22">
        <f t="shared" si="5"/>
        <v>13.4416393127667</v>
      </c>
      <c r="Y12" s="26">
        <f t="shared" si="6"/>
        <v>2.1920952194620646E-2</v>
      </c>
      <c r="Z12" s="21">
        <v>13.337070775475913</v>
      </c>
      <c r="AA12" s="22">
        <v>13.293749864800237</v>
      </c>
      <c r="AB12" s="22">
        <f t="shared" si="7"/>
        <v>13.315410320138074</v>
      </c>
      <c r="AC12" s="26">
        <f t="shared" si="8"/>
        <v>2.1660455337838336E-2</v>
      </c>
      <c r="AD12" s="22">
        <f t="shared" si="2"/>
        <v>13.378524816452387</v>
      </c>
      <c r="AE12" s="26">
        <f t="shared" si="3"/>
        <v>7.7099860616303584E-2</v>
      </c>
    </row>
    <row r="13" spans="1:43">
      <c r="A13" s="49" t="s">
        <v>29</v>
      </c>
      <c r="B13" s="50">
        <v>900</v>
      </c>
      <c r="C13" s="50">
        <v>6</v>
      </c>
      <c r="D13" s="21">
        <v>12.919</v>
      </c>
      <c r="E13" s="26">
        <v>2.1505813167606566E-2</v>
      </c>
      <c r="F13" s="57">
        <v>0.94862999999999997</v>
      </c>
      <c r="G13" s="51">
        <v>0.94852000000000003</v>
      </c>
      <c r="H13" s="58">
        <v>0.94874000000000003</v>
      </c>
      <c r="I13" s="21">
        <v>12.996538039926669</v>
      </c>
      <c r="J13" s="22">
        <v>12.949935118367179</v>
      </c>
      <c r="K13" s="22">
        <f t="shared" si="9"/>
        <v>12.973236579146924</v>
      </c>
      <c r="L13" s="26">
        <f t="shared" si="10"/>
        <v>2.3301460779745042E-2</v>
      </c>
      <c r="M13" s="21">
        <v>12.890833190505653</v>
      </c>
      <c r="N13" s="22">
        <v>12.844687722003696</v>
      </c>
      <c r="O13" s="22">
        <f t="shared" si="11"/>
        <v>12.867760456254675</v>
      </c>
      <c r="P13" s="26">
        <f t="shared" si="12"/>
        <v>2.3072734250978222E-2</v>
      </c>
      <c r="Q13" s="22">
        <f t="shared" si="0"/>
        <v>12.9204985177008</v>
      </c>
      <c r="R13" s="22">
        <f t="shared" si="1"/>
        <v>6.6522754956364283E-2</v>
      </c>
      <c r="S13" s="23">
        <v>917.20055344296827</v>
      </c>
      <c r="T13" s="24">
        <v>917.16051489110066</v>
      </c>
      <c r="U13" s="25">
        <f t="shared" si="4"/>
        <v>917.18053416703447</v>
      </c>
      <c r="V13" s="21">
        <v>13.104126208851087</v>
      </c>
      <c r="W13" s="22">
        <v>13.057264994177867</v>
      </c>
      <c r="X13" s="22">
        <f t="shared" si="5"/>
        <v>13.080695601514478</v>
      </c>
      <c r="Y13" s="26">
        <f t="shared" si="6"/>
        <v>2.3430607336609732E-2</v>
      </c>
      <c r="Z13" s="21">
        <v>12.995983615551239</v>
      </c>
      <c r="AA13" s="22">
        <v>12.949593106110946</v>
      </c>
      <c r="AB13" s="22">
        <f t="shared" si="7"/>
        <v>12.972788360831093</v>
      </c>
      <c r="AC13" s="26">
        <f t="shared" si="8"/>
        <v>2.3195254720146607E-2</v>
      </c>
      <c r="AD13" s="22">
        <f t="shared" si="2"/>
        <v>13.026741981172785</v>
      </c>
      <c r="AE13" s="26">
        <f t="shared" si="3"/>
        <v>6.7867515536500903E-2</v>
      </c>
    </row>
    <row r="14" spans="1:43">
      <c r="A14" s="49" t="s">
        <v>30</v>
      </c>
      <c r="B14" s="50">
        <v>700</v>
      </c>
      <c r="C14" s="50">
        <v>6</v>
      </c>
      <c r="D14" s="21">
        <v>12.551</v>
      </c>
      <c r="E14" s="26">
        <v>2.1505813167606566E-2</v>
      </c>
      <c r="F14" s="57">
        <v>0.94452999999999998</v>
      </c>
      <c r="G14" s="51">
        <v>0.94442999999999999</v>
      </c>
      <c r="H14" s="58">
        <v>0.94462999999999997</v>
      </c>
      <c r="I14" s="21">
        <v>12.635917444987715</v>
      </c>
      <c r="J14" s="22">
        <v>12.592682863857895</v>
      </c>
      <c r="K14" s="22">
        <f t="shared" si="9"/>
        <v>12.614300154422805</v>
      </c>
      <c r="L14" s="26">
        <f t="shared" si="10"/>
        <v>2.1617290564909908E-2</v>
      </c>
      <c r="M14" s="21">
        <v>12.551150591435825</v>
      </c>
      <c r="N14" s="22">
        <v>12.508265323469038</v>
      </c>
      <c r="O14" s="22">
        <f t="shared" si="11"/>
        <v>12.52970795745243</v>
      </c>
      <c r="P14" s="26">
        <f t="shared" si="12"/>
        <v>2.14426339833933E-2</v>
      </c>
      <c r="Q14" s="22">
        <f t="shared" si="0"/>
        <v>12.572004055937619</v>
      </c>
      <c r="R14" s="22">
        <f t="shared" si="1"/>
        <v>5.4802759648584567E-2</v>
      </c>
      <c r="S14" s="23">
        <v>711.57978425229658</v>
      </c>
      <c r="T14" s="24">
        <v>711.55388004740621</v>
      </c>
      <c r="U14" s="25">
        <f t="shared" si="4"/>
        <v>711.56683214985139</v>
      </c>
      <c r="V14" s="21">
        <v>12.70654961866587</v>
      </c>
      <c r="W14" s="22">
        <v>12.663153174002426</v>
      </c>
      <c r="X14" s="22">
        <f t="shared" si="5"/>
        <v>12.684851396334148</v>
      </c>
      <c r="Y14" s="26">
        <f t="shared" si="6"/>
        <v>2.1698222331721695E-2</v>
      </c>
      <c r="Z14" s="21">
        <v>12.620095919797997</v>
      </c>
      <c r="AA14" s="22">
        <v>12.577057083143783</v>
      </c>
      <c r="AB14" s="22">
        <f t="shared" si="7"/>
        <v>12.598576501470891</v>
      </c>
      <c r="AC14" s="26">
        <f t="shared" si="8"/>
        <v>2.1519418327106798E-2</v>
      </c>
      <c r="AD14" s="22">
        <f t="shared" si="2"/>
        <v>12.64171394890252</v>
      </c>
      <c r="AE14" s="26">
        <f t="shared" si="3"/>
        <v>5.5711022005386149E-2</v>
      </c>
    </row>
    <row r="15" spans="1:43">
      <c r="A15" s="49" t="s">
        <v>31</v>
      </c>
      <c r="B15" s="50">
        <v>500</v>
      </c>
      <c r="C15" s="50">
        <v>6</v>
      </c>
      <c r="D15" s="21">
        <v>12.196000000000002</v>
      </c>
      <c r="E15" s="26">
        <v>2.1999999999999999E-2</v>
      </c>
      <c r="F15" s="57">
        <v>0.94069999999999998</v>
      </c>
      <c r="G15" s="51">
        <v>0.94059999999999999</v>
      </c>
      <c r="H15" s="58">
        <v>0.94081000000000004</v>
      </c>
      <c r="I15" s="21">
        <v>12.285404128676914</v>
      </c>
      <c r="J15" s="22">
        <v>12.239116087771869</v>
      </c>
      <c r="K15" s="22">
        <f t="shared" si="9"/>
        <v>12.262260108224392</v>
      </c>
      <c r="L15" s="26">
        <f t="shared" si="10"/>
        <v>2.3144020452522618E-2</v>
      </c>
      <c r="M15" s="21">
        <v>12.2235476883123</v>
      </c>
      <c r="N15" s="22">
        <v>12.177557803623598</v>
      </c>
      <c r="O15" s="22">
        <f t="shared" si="11"/>
        <v>12.200552745967949</v>
      </c>
      <c r="P15" s="26">
        <f t="shared" si="12"/>
        <v>2.2994942344350733E-2</v>
      </c>
      <c r="Q15" s="22">
        <f t="shared" si="0"/>
        <v>12.231406427096172</v>
      </c>
      <c r="R15" s="22">
        <f t="shared" si="1"/>
        <v>4.448454663851055E-2</v>
      </c>
      <c r="S15" s="23">
        <v>507.14870985379264</v>
      </c>
      <c r="T15" s="24">
        <v>507.13097614160739</v>
      </c>
      <c r="U15" s="25">
        <f t="shared" si="4"/>
        <v>507.13984299770004</v>
      </c>
      <c r="V15" s="21">
        <v>12.326353432780277</v>
      </c>
      <c r="W15" s="22">
        <v>12.279962830209108</v>
      </c>
      <c r="X15" s="22">
        <f t="shared" si="5"/>
        <v>12.303158131494692</v>
      </c>
      <c r="Y15" s="26">
        <f t="shared" si="6"/>
        <v>2.3195301285584335E-2</v>
      </c>
      <c r="Z15" s="21">
        <v>12.263476388106328</v>
      </c>
      <c r="AA15" s="22">
        <v>12.217389172860834</v>
      </c>
      <c r="AB15" s="22">
        <f t="shared" si="7"/>
        <v>12.24043278048358</v>
      </c>
      <c r="AC15" s="26">
        <f t="shared" si="8"/>
        <v>2.3043607622747153E-2</v>
      </c>
      <c r="AD15" s="22">
        <f t="shared" si="2"/>
        <v>12.271795455989137</v>
      </c>
      <c r="AE15" s="26">
        <f t="shared" si="3"/>
        <v>4.4990848578599599E-2</v>
      </c>
    </row>
    <row r="16" spans="1:43">
      <c r="A16" s="49" t="s">
        <v>32</v>
      </c>
      <c r="B16" s="50">
        <v>309</v>
      </c>
      <c r="C16" s="50">
        <v>6</v>
      </c>
      <c r="D16" s="21">
        <v>11.849499999999999</v>
      </c>
      <c r="E16" s="26">
        <v>2.2505554869853797E-2</v>
      </c>
      <c r="F16" s="57">
        <v>0.93761000000000005</v>
      </c>
      <c r="G16" s="51">
        <v>0.9375</v>
      </c>
      <c r="H16" s="58">
        <v>0.93771000000000004</v>
      </c>
      <c r="I16" s="21">
        <v>11.963670869781424</v>
      </c>
      <c r="J16" s="22">
        <v>11.916585364114731</v>
      </c>
      <c r="K16" s="22">
        <f t="shared" si="9"/>
        <v>11.940128116948078</v>
      </c>
      <c r="L16" s="26">
        <f t="shared" si="10"/>
        <v>2.3542752833346725E-2</v>
      </c>
      <c r="M16" s="21">
        <v>11.923319594276443</v>
      </c>
      <c r="N16" s="22">
        <v>11.876475109361595</v>
      </c>
      <c r="O16" s="22">
        <f t="shared" si="11"/>
        <v>11.899897351819018</v>
      </c>
      <c r="P16" s="26">
        <f t="shared" si="12"/>
        <v>2.342224245742397E-2</v>
      </c>
      <c r="Q16" s="22">
        <f t="shared" si="0"/>
        <v>11.920012734383548</v>
      </c>
      <c r="R16" s="22">
        <f t="shared" si="1"/>
        <v>3.5703593508601375E-2</v>
      </c>
      <c r="S16" s="23">
        <v>312.97525027316857</v>
      </c>
      <c r="T16" s="24">
        <v>312.96488358430116</v>
      </c>
      <c r="U16" s="25">
        <f t="shared" si="4"/>
        <v>312.97006692873487</v>
      </c>
      <c r="V16" s="21">
        <v>11.982303962876349</v>
      </c>
      <c r="W16" s="22">
        <v>11.935171376855735</v>
      </c>
      <c r="X16" s="22">
        <f t="shared" si="5"/>
        <v>11.958737669866043</v>
      </c>
      <c r="Y16" s="26">
        <f t="shared" si="6"/>
        <v>2.3566293010307326E-2</v>
      </c>
      <c r="Z16" s="21">
        <v>11.941480246499472</v>
      </c>
      <c r="AA16" s="22">
        <v>11.894591040761954</v>
      </c>
      <c r="AB16" s="22">
        <f t="shared" si="7"/>
        <v>11.918035643630713</v>
      </c>
      <c r="AC16" s="26">
        <f t="shared" si="8"/>
        <v>2.3444602868758935E-2</v>
      </c>
      <c r="AD16" s="22">
        <f t="shared" si="2"/>
        <v>11.938386656748378</v>
      </c>
      <c r="AE16" s="26">
        <f t="shared" si="3"/>
        <v>3.5901225974908677E-2</v>
      </c>
    </row>
    <row r="17" spans="1:31">
      <c r="A17" s="49" t="s">
        <v>33</v>
      </c>
      <c r="B17" s="50">
        <v>308</v>
      </c>
      <c r="C17" s="50">
        <v>6.99</v>
      </c>
      <c r="D17" s="21">
        <v>12.448</v>
      </c>
      <c r="E17" s="26">
        <v>0.22</v>
      </c>
      <c r="F17" s="57">
        <v>0.93489999999999995</v>
      </c>
      <c r="G17" s="51">
        <v>0.93391999999999997</v>
      </c>
      <c r="H17" s="58">
        <v>0.93588000000000005</v>
      </c>
      <c r="I17" s="21">
        <v>12.769884596935587</v>
      </c>
      <c r="J17" s="22">
        <v>12.324021305896656</v>
      </c>
      <c r="K17" s="22">
        <f t="shared" si="9"/>
        <v>12.54695295141612</v>
      </c>
      <c r="L17" s="26">
        <f t="shared" si="10"/>
        <v>0.22293164551946543</v>
      </c>
      <c r="M17" s="21">
        <v>12.725477854097525</v>
      </c>
      <c r="N17" s="22">
        <v>12.281915528795841</v>
      </c>
      <c r="O17" s="22">
        <f t="shared" si="11"/>
        <v>12.503696691446683</v>
      </c>
      <c r="P17" s="26">
        <f t="shared" si="12"/>
        <v>0.22178116265084213</v>
      </c>
      <c r="Q17" s="22">
        <f t="shared" si="0"/>
        <v>12.525324821431402</v>
      </c>
      <c r="R17" s="22">
        <f t="shared" si="1"/>
        <v>0.25796763969413905</v>
      </c>
      <c r="S17" s="23">
        <v>312.13489822141753</v>
      </c>
      <c r="T17" s="24">
        <v>312.03990770900344</v>
      </c>
      <c r="U17" s="25">
        <f t="shared" si="4"/>
        <v>312.08740296521046</v>
      </c>
      <c r="V17" s="21">
        <v>12.789199766103426</v>
      </c>
      <c r="W17" s="22">
        <v>12.342907190258755</v>
      </c>
      <c r="X17" s="22">
        <f t="shared" si="5"/>
        <v>12.56605347818109</v>
      </c>
      <c r="Y17" s="26">
        <f t="shared" si="6"/>
        <v>0.2231462879223356</v>
      </c>
      <c r="Z17" s="21">
        <v>12.744282711300142</v>
      </c>
      <c r="AA17" s="22">
        <v>12.300313519369737</v>
      </c>
      <c r="AB17" s="22">
        <f t="shared" si="7"/>
        <v>12.522298115334941</v>
      </c>
      <c r="AC17" s="26">
        <f t="shared" si="8"/>
        <v>0.22198459596520248</v>
      </c>
      <c r="AD17" s="22">
        <f t="shared" si="2"/>
        <v>12.544175796758015</v>
      </c>
      <c r="AE17" s="26">
        <f t="shared" si="3"/>
        <v>0.25823592901098696</v>
      </c>
    </row>
    <row r="18" spans="1:31">
      <c r="A18" s="49" t="s">
        <v>34</v>
      </c>
      <c r="B18" s="50">
        <v>1700</v>
      </c>
      <c r="C18" s="50">
        <v>6.99</v>
      </c>
      <c r="D18" s="21">
        <v>15.347999999999999</v>
      </c>
      <c r="E18" s="26">
        <v>2.3021728866442676E-2</v>
      </c>
      <c r="F18" s="57">
        <v>0.96216000000000002</v>
      </c>
      <c r="G18" s="51">
        <v>0.96204999999999996</v>
      </c>
      <c r="H18" s="58">
        <v>0.96228000000000002</v>
      </c>
      <c r="I18" s="21">
        <v>15.303781382457171</v>
      </c>
      <c r="J18" s="22">
        <v>15.258090522375358</v>
      </c>
      <c r="K18" s="22">
        <f t="shared" si="9"/>
        <v>15.280935952416264</v>
      </c>
      <c r="L18" s="26">
        <f t="shared" si="10"/>
        <v>2.2845430040906223E-2</v>
      </c>
      <c r="M18" s="21">
        <v>15.130679331435122</v>
      </c>
      <c r="N18" s="22">
        <v>15.085770528358005</v>
      </c>
      <c r="O18" s="22">
        <f t="shared" si="11"/>
        <v>15.108224929896563</v>
      </c>
      <c r="P18" s="26">
        <f t="shared" si="12"/>
        <v>2.2454401538558599E-2</v>
      </c>
      <c r="Q18" s="22">
        <f t="shared" si="0"/>
        <v>15.194580441156413</v>
      </c>
      <c r="R18" s="22">
        <f t="shared" si="1"/>
        <v>0.10308786696182742</v>
      </c>
      <c r="S18" s="23">
        <v>1754.5007665942751</v>
      </c>
      <c r="T18" s="24">
        <v>1754.3997592288113</v>
      </c>
      <c r="U18" s="25">
        <f t="shared" si="4"/>
        <v>1754.4502629115432</v>
      </c>
      <c r="V18" s="21">
        <v>15.652938707865058</v>
      </c>
      <c r="W18" s="22">
        <v>15.606571498965149</v>
      </c>
      <c r="X18" s="22">
        <f t="shared" si="5"/>
        <v>15.629755103415103</v>
      </c>
      <c r="Y18" s="26">
        <f t="shared" si="6"/>
        <v>2.3183604449954487E-2</v>
      </c>
      <c r="Z18" s="21">
        <v>15.473369079779502</v>
      </c>
      <c r="AA18" s="22">
        <v>15.427820881091638</v>
      </c>
      <c r="AB18" s="22">
        <f t="shared" si="7"/>
        <v>15.45059498043557</v>
      </c>
      <c r="AC18" s="26">
        <f t="shared" si="8"/>
        <v>2.2774099343932264E-2</v>
      </c>
      <c r="AD18" s="22">
        <f t="shared" si="2"/>
        <v>15.540175041925337</v>
      </c>
      <c r="AE18" s="26">
        <f t="shared" si="3"/>
        <v>0.10678737112986116</v>
      </c>
    </row>
    <row r="19" spans="1:31">
      <c r="A19" s="49" t="s">
        <v>35</v>
      </c>
      <c r="B19" s="50">
        <v>316</v>
      </c>
      <c r="C19" s="50">
        <v>6.99</v>
      </c>
      <c r="D19" s="21">
        <v>13.2935</v>
      </c>
      <c r="E19" s="26">
        <v>2.5999999999999999E-2</v>
      </c>
      <c r="F19" s="57">
        <v>0.93133999999999995</v>
      </c>
      <c r="G19" s="51">
        <v>0.93123</v>
      </c>
      <c r="H19" s="58">
        <v>0.93145</v>
      </c>
      <c r="I19" s="21">
        <v>13.426926964489198</v>
      </c>
      <c r="J19" s="22">
        <v>13.37592450784871</v>
      </c>
      <c r="K19" s="22">
        <f t="shared" si="9"/>
        <v>13.401425736168953</v>
      </c>
      <c r="L19" s="26">
        <f t="shared" si="10"/>
        <v>2.5501228320243818E-2</v>
      </c>
      <c r="M19" s="21">
        <v>13.378283568809032</v>
      </c>
      <c r="N19" s="22">
        <v>13.327548879993687</v>
      </c>
      <c r="O19" s="22">
        <f t="shared" si="11"/>
        <v>13.352916224401358</v>
      </c>
      <c r="P19" s="26">
        <f t="shared" si="12"/>
        <v>2.5367344407672299E-2</v>
      </c>
      <c r="Q19" s="22">
        <f t="shared" si="0"/>
        <v>13.377170980285156</v>
      </c>
      <c r="R19" s="22">
        <f t="shared" si="1"/>
        <v>4.0582436053904491E-2</v>
      </c>
      <c r="S19" s="23">
        <v>320.38953909739649</v>
      </c>
      <c r="T19" s="24">
        <v>320.37881108174724</v>
      </c>
      <c r="U19" s="25">
        <f t="shared" si="4"/>
        <v>320.38417508957184</v>
      </c>
      <c r="V19" s="21">
        <v>13.447739496345875</v>
      </c>
      <c r="W19" s="22">
        <v>13.39668776886136</v>
      </c>
      <c r="X19" s="22">
        <f t="shared" si="5"/>
        <v>13.422213632603619</v>
      </c>
      <c r="Y19" s="26">
        <f t="shared" si="6"/>
        <v>2.5525863742257293E-2</v>
      </c>
      <c r="Z19" s="21">
        <v>13.39852845482854</v>
      </c>
      <c r="AA19" s="22">
        <v>13.347747214911559</v>
      </c>
      <c r="AB19" s="22">
        <f t="shared" si="7"/>
        <v>13.37313783487005</v>
      </c>
      <c r="AC19" s="26">
        <f t="shared" si="8"/>
        <v>2.5390619958490568E-2</v>
      </c>
      <c r="AD19" s="22">
        <f t="shared" si="2"/>
        <v>13.397675733736834</v>
      </c>
      <c r="AE19" s="26">
        <f t="shared" si="3"/>
        <v>4.0828668549258693E-2</v>
      </c>
    </row>
    <row r="20" spans="1:31">
      <c r="A20" s="49"/>
      <c r="B20" s="50"/>
      <c r="C20" s="50"/>
      <c r="D20" s="21"/>
      <c r="E20" s="26"/>
      <c r="F20" s="57"/>
      <c r="G20" s="51"/>
      <c r="H20" s="58"/>
      <c r="I20" s="21"/>
      <c r="J20" s="22"/>
      <c r="K20" s="22"/>
      <c r="L20" s="26"/>
      <c r="M20" s="21"/>
      <c r="N20" s="22"/>
      <c r="O20" s="22"/>
      <c r="P20" s="26"/>
      <c r="Q20" s="22"/>
      <c r="R20" s="22"/>
      <c r="S20" s="23"/>
      <c r="T20" s="24"/>
      <c r="U20" s="25"/>
      <c r="V20" s="21"/>
      <c r="W20" s="22"/>
      <c r="X20" s="22"/>
      <c r="Y20" s="26"/>
      <c r="Z20" s="21"/>
      <c r="AA20" s="22"/>
      <c r="AB20" s="22"/>
      <c r="AC20" s="26"/>
      <c r="AD20" s="22"/>
      <c r="AE20" s="26"/>
    </row>
    <row r="21" spans="1:31">
      <c r="A21" s="49" t="s">
        <v>36</v>
      </c>
      <c r="B21" s="50">
        <v>1500</v>
      </c>
      <c r="C21" s="50">
        <v>5</v>
      </c>
      <c r="D21" s="21">
        <v>16.61</v>
      </c>
      <c r="E21" s="26">
        <v>8.5000000000000006E-3</v>
      </c>
      <c r="F21" s="57">
        <v>0.94930000000000003</v>
      </c>
      <c r="G21" s="51">
        <v>0.94925999999999999</v>
      </c>
      <c r="H21" s="58">
        <v>0.94933999999999996</v>
      </c>
      <c r="I21" s="21">
        <v>16.651161399235818</v>
      </c>
      <c r="J21" s="22">
        <v>16.634163575040162</v>
      </c>
      <c r="K21" s="22">
        <f t="shared" ref="K21:K38" si="13">(I21+J21)/2</f>
        <v>16.64266248713799</v>
      </c>
      <c r="L21" s="26">
        <f t="shared" ref="L21:L38" si="14">(I21-J21)/2</f>
        <v>8.4989120978278265E-3</v>
      </c>
      <c r="M21" s="21">
        <v>16.461395275436448</v>
      </c>
      <c r="N21" s="22">
        <v>16.444661137802328</v>
      </c>
      <c r="O21" s="22">
        <f t="shared" ref="O21:O38" si="15">(M21+N21)/2</f>
        <v>16.453028206619386</v>
      </c>
      <c r="P21" s="26">
        <f t="shared" ref="P21:P38" si="16">(M21-N21)/2</f>
        <v>8.3670688170602858E-3</v>
      </c>
      <c r="Q21" s="22">
        <f t="shared" ref="Q21:Q38" si="17">AVERAGE(I21:J21,M21:N21)</f>
        <v>16.547845346878688</v>
      </c>
      <c r="R21" s="22">
        <f t="shared" ref="R21:R38" si="18">STDEV(I21:J21,M21:N21)</f>
        <v>0.10991760405364236</v>
      </c>
      <c r="S21" s="23">
        <v>1546.2629914228919</v>
      </c>
      <c r="T21" s="24">
        <v>1546.2343306394814</v>
      </c>
      <c r="U21" s="25">
        <f t="shared" ref="U21:U38" si="19">(S21+T21)/2</f>
        <v>1546.2486610311867</v>
      </c>
      <c r="V21" s="21">
        <v>16.948054960516068</v>
      </c>
      <c r="W21" s="22">
        <v>16.930863685315678</v>
      </c>
      <c r="X21" s="22">
        <f t="shared" ref="X21:X38" si="20">(V21+W21)/2</f>
        <v>16.939459322915873</v>
      </c>
      <c r="Y21" s="26">
        <f t="shared" ref="Y21:Y38" si="21">(V21-W21)/2</f>
        <v>8.59563760019455E-3</v>
      </c>
      <c r="Z21" s="21">
        <v>16.751614288479917</v>
      </c>
      <c r="AA21" s="22">
        <v>16.734698518356417</v>
      </c>
      <c r="AB21" s="22">
        <f t="shared" ref="AB21:AB38" si="22">(Z21+AA21)/2</f>
        <v>16.743156403418169</v>
      </c>
      <c r="AC21" s="26">
        <f t="shared" ref="AC21:AC38" si="23">(Z21-AA21)/2</f>
        <v>8.4578850617500478E-3</v>
      </c>
      <c r="AD21" s="22">
        <f t="shared" ref="AD21:AD38" si="24">AVERAGE(V21,W21,Z21,AA21)</f>
        <v>16.841307863167017</v>
      </c>
      <c r="AE21" s="26">
        <f t="shared" ref="AE21:AE38" si="25">STDEV(V21,W21,Z21,AA21)</f>
        <v>0.11376243934073912</v>
      </c>
    </row>
    <row r="22" spans="1:31">
      <c r="A22" s="49" t="s">
        <v>37</v>
      </c>
      <c r="B22" s="50">
        <v>1700</v>
      </c>
      <c r="C22" s="50">
        <v>5</v>
      </c>
      <c r="D22" s="21">
        <v>16.458500000000001</v>
      </c>
      <c r="E22" s="26">
        <v>1.6E-2</v>
      </c>
      <c r="F22" s="57">
        <v>0.95648</v>
      </c>
      <c r="G22" s="51">
        <v>0.95640000000000003</v>
      </c>
      <c r="H22" s="58">
        <v>0.95655999999999997</v>
      </c>
      <c r="I22" s="21">
        <v>16.444266373294415</v>
      </c>
      <c r="J22" s="22">
        <v>16.411486736248349</v>
      </c>
      <c r="K22" s="22">
        <f t="shared" si="13"/>
        <v>16.42787655477138</v>
      </c>
      <c r="L22" s="26">
        <f t="shared" si="14"/>
        <v>1.6389818523032673E-2</v>
      </c>
      <c r="M22" s="21">
        <v>16.251528560145481</v>
      </c>
      <c r="N22" s="22">
        <v>16.219315969625391</v>
      </c>
      <c r="O22" s="22">
        <f t="shared" si="15"/>
        <v>16.235422264885436</v>
      </c>
      <c r="P22" s="26">
        <f t="shared" si="16"/>
        <v>1.610629526004459E-2</v>
      </c>
      <c r="Q22" s="22">
        <f t="shared" si="17"/>
        <v>16.331649409828408</v>
      </c>
      <c r="R22" s="22">
        <f t="shared" si="18"/>
        <v>0.11268648468493921</v>
      </c>
      <c r="S22" s="23">
        <v>1756.9608555578791</v>
      </c>
      <c r="T22" s="24">
        <v>1756.8917376271393</v>
      </c>
      <c r="U22" s="25">
        <f t="shared" si="19"/>
        <v>1756.9262965925091</v>
      </c>
      <c r="V22" s="21">
        <v>16.809958636981953</v>
      </c>
      <c r="W22" s="22">
        <v>16.776712768645623</v>
      </c>
      <c r="X22" s="22">
        <f t="shared" si="20"/>
        <v>16.793335702813788</v>
      </c>
      <c r="Y22" s="26">
        <f t="shared" si="21"/>
        <v>1.662293416816496E-2</v>
      </c>
      <c r="Z22" s="21">
        <v>16.6098123129482</v>
      </c>
      <c r="AA22" s="22">
        <v>16.577161016004467</v>
      </c>
      <c r="AB22" s="22">
        <f t="shared" si="22"/>
        <v>16.593486664476334</v>
      </c>
      <c r="AC22" s="26">
        <f t="shared" si="23"/>
        <v>1.6325648471866572E-2</v>
      </c>
      <c r="AD22" s="22">
        <f t="shared" si="24"/>
        <v>16.693411183645061</v>
      </c>
      <c r="AE22" s="26">
        <f t="shared" si="25"/>
        <v>0.11694063394329272</v>
      </c>
    </row>
    <row r="23" spans="1:31">
      <c r="A23" s="49" t="s">
        <v>38</v>
      </c>
      <c r="B23" s="50">
        <v>1500</v>
      </c>
      <c r="C23" s="50">
        <v>5</v>
      </c>
      <c r="D23" s="21">
        <v>16.033999999999999</v>
      </c>
      <c r="E23" s="26">
        <v>1.4499999999999999E-2</v>
      </c>
      <c r="F23" s="57">
        <v>0.95211999999999997</v>
      </c>
      <c r="G23" s="51">
        <v>0.95204999999999995</v>
      </c>
      <c r="H23" s="58">
        <v>0.95220000000000005</v>
      </c>
      <c r="I23" s="21">
        <v>16.062677232996393</v>
      </c>
      <c r="J23" s="22">
        <v>16.031288733465647</v>
      </c>
      <c r="K23" s="22">
        <f t="shared" si="13"/>
        <v>16.046982983231018</v>
      </c>
      <c r="L23" s="26">
        <f t="shared" si="14"/>
        <v>1.5694249765372703E-2</v>
      </c>
      <c r="M23" s="21">
        <v>15.882026978780871</v>
      </c>
      <c r="N23" s="22">
        <v>15.851123836475395</v>
      </c>
      <c r="O23" s="22">
        <f t="shared" si="15"/>
        <v>15.866575407628133</v>
      </c>
      <c r="P23" s="26">
        <f t="shared" si="16"/>
        <v>1.5451571152738097E-2</v>
      </c>
      <c r="Q23" s="22">
        <f t="shared" si="17"/>
        <v>15.956779195429576</v>
      </c>
      <c r="R23" s="22">
        <f t="shared" si="18"/>
        <v>0.10569928159403198</v>
      </c>
      <c r="S23" s="23">
        <v>1545.2592263000256</v>
      </c>
      <c r="T23" s="24">
        <v>1545.2050115393185</v>
      </c>
      <c r="U23" s="25">
        <f t="shared" si="19"/>
        <v>1545.2321189196721</v>
      </c>
      <c r="V23" s="21">
        <v>16.352808064760165</v>
      </c>
      <c r="W23" s="22">
        <v>16.321055016017958</v>
      </c>
      <c r="X23" s="22">
        <f t="shared" si="20"/>
        <v>16.33693154038906</v>
      </c>
      <c r="Y23" s="26">
        <f t="shared" si="21"/>
        <v>1.5876524371103429E-2</v>
      </c>
      <c r="Z23" s="21">
        <v>16.165889210509015</v>
      </c>
      <c r="AA23" s="22">
        <v>16.13464298151267</v>
      </c>
      <c r="AB23" s="22">
        <f t="shared" si="22"/>
        <v>16.150266096010842</v>
      </c>
      <c r="AC23" s="26">
        <f t="shared" si="23"/>
        <v>1.5623114498172441E-2</v>
      </c>
      <c r="AD23" s="22">
        <f t="shared" si="24"/>
        <v>16.243598818199949</v>
      </c>
      <c r="AE23" s="26">
        <f t="shared" si="25"/>
        <v>0.10929513497921813</v>
      </c>
    </row>
    <row r="24" spans="1:31">
      <c r="A24" s="49" t="s">
        <v>39</v>
      </c>
      <c r="B24" s="50">
        <v>1300</v>
      </c>
      <c r="C24" s="50">
        <v>5</v>
      </c>
      <c r="D24" s="21">
        <v>15.625999999999999</v>
      </c>
      <c r="E24" s="26">
        <v>1.4999999999999999E-2</v>
      </c>
      <c r="F24" s="57">
        <v>0.94781000000000004</v>
      </c>
      <c r="G24" s="51">
        <v>0.94774000000000003</v>
      </c>
      <c r="H24" s="58">
        <v>0.94787999999999994</v>
      </c>
      <c r="I24" s="21">
        <v>15.69474026118648</v>
      </c>
      <c r="J24" s="22">
        <v>15.664824714124602</v>
      </c>
      <c r="K24" s="22">
        <f t="shared" si="13"/>
        <v>15.67978248765554</v>
      </c>
      <c r="L24" s="26">
        <f t="shared" si="14"/>
        <v>1.4957773530938745E-2</v>
      </c>
      <c r="M24" s="21">
        <v>15.529338341010201</v>
      </c>
      <c r="N24" s="22">
        <v>15.499830352106622</v>
      </c>
      <c r="O24" s="22">
        <f t="shared" si="15"/>
        <v>15.514584346558411</v>
      </c>
      <c r="P24" s="26">
        <f t="shared" si="16"/>
        <v>1.4753994451789154E-2</v>
      </c>
      <c r="Q24" s="22">
        <f t="shared" si="17"/>
        <v>15.597183417106976</v>
      </c>
      <c r="R24" s="22">
        <f t="shared" si="18"/>
        <v>9.6907613227788139E-2</v>
      </c>
      <c r="S24" s="23">
        <v>1335.0452833692761</v>
      </c>
      <c r="T24" s="24">
        <v>1335.0040595519322</v>
      </c>
      <c r="U24" s="25">
        <f t="shared" si="19"/>
        <v>1335.0246714606042</v>
      </c>
      <c r="V24" s="21">
        <v>15.918690719335181</v>
      </c>
      <c r="W24" s="22">
        <v>15.888499434484174</v>
      </c>
      <c r="X24" s="22">
        <f t="shared" si="20"/>
        <v>15.903595076909678</v>
      </c>
      <c r="Y24" s="26">
        <f t="shared" si="21"/>
        <v>1.5095642425503542E-2</v>
      </c>
      <c r="Z24" s="21">
        <v>15.748149210639056</v>
      </c>
      <c r="AA24" s="22">
        <v>15.718381689809622</v>
      </c>
      <c r="AB24" s="22">
        <f t="shared" si="22"/>
        <v>15.733265450224339</v>
      </c>
      <c r="AC24" s="26">
        <f t="shared" si="23"/>
        <v>1.4883760414717173E-2</v>
      </c>
      <c r="AD24" s="22">
        <f t="shared" si="24"/>
        <v>15.818430263567009</v>
      </c>
      <c r="AE24" s="26">
        <f t="shared" si="25"/>
        <v>9.9851541826536397E-2</v>
      </c>
    </row>
    <row r="25" spans="1:31">
      <c r="A25" s="49" t="s">
        <v>40</v>
      </c>
      <c r="B25" s="50">
        <v>1100</v>
      </c>
      <c r="C25" s="50">
        <v>5</v>
      </c>
      <c r="D25" s="21">
        <v>15.234</v>
      </c>
      <c r="E25" s="26">
        <v>1.4999999999999999E-2</v>
      </c>
      <c r="F25" s="57">
        <v>0.94357999999999997</v>
      </c>
      <c r="G25" s="51">
        <v>0.94350999999999996</v>
      </c>
      <c r="H25" s="58">
        <v>0.94364999999999999</v>
      </c>
      <c r="I25" s="21">
        <v>15.334449306945372</v>
      </c>
      <c r="J25" s="22">
        <v>15.303914194092783</v>
      </c>
      <c r="K25" s="22">
        <f t="shared" si="13"/>
        <v>15.319181750519078</v>
      </c>
      <c r="L25" s="26">
        <f t="shared" si="14"/>
        <v>1.5267556426294071E-2</v>
      </c>
      <c r="M25" s="21">
        <v>15.187515529607246</v>
      </c>
      <c r="N25" s="22">
        <v>15.157340404791968</v>
      </c>
      <c r="O25" s="22">
        <f t="shared" si="15"/>
        <v>15.172427967199607</v>
      </c>
      <c r="P25" s="26">
        <f t="shared" si="16"/>
        <v>1.5087562407638977E-2</v>
      </c>
      <c r="Q25" s="22">
        <f t="shared" si="17"/>
        <v>15.245804858859342</v>
      </c>
      <c r="R25" s="22">
        <f t="shared" si="18"/>
        <v>8.6521940484956233E-2</v>
      </c>
      <c r="S25" s="23">
        <v>1126.2529965889578</v>
      </c>
      <c r="T25" s="24">
        <v>1126.2205219095547</v>
      </c>
      <c r="U25" s="25">
        <f t="shared" si="19"/>
        <v>1126.2367592492562</v>
      </c>
      <c r="V25" s="21">
        <v>15.501187907403169</v>
      </c>
      <c r="W25" s="22">
        <v>15.470437546540783</v>
      </c>
      <c r="X25" s="22">
        <f t="shared" si="20"/>
        <v>15.485812726971975</v>
      </c>
      <c r="Y25" s="26">
        <f t="shared" si="21"/>
        <v>1.5375180431193236E-2</v>
      </c>
      <c r="Z25" s="21">
        <v>15.350207228425283</v>
      </c>
      <c r="AA25" s="22">
        <v>15.319829489567724</v>
      </c>
      <c r="AB25" s="22">
        <f t="shared" si="22"/>
        <v>15.335018358996503</v>
      </c>
      <c r="AC25" s="26">
        <f t="shared" si="23"/>
        <v>1.5188869428779839E-2</v>
      </c>
      <c r="AD25" s="22">
        <f t="shared" si="24"/>
        <v>15.410415542984239</v>
      </c>
      <c r="AE25" s="26">
        <f t="shared" si="25"/>
        <v>8.8831558335152466E-2</v>
      </c>
    </row>
    <row r="26" spans="1:31">
      <c r="A26" s="49" t="s">
        <v>41</v>
      </c>
      <c r="B26" s="50">
        <v>900</v>
      </c>
      <c r="C26" s="50">
        <v>5</v>
      </c>
      <c r="D26" s="21">
        <v>14.832000000000001</v>
      </c>
      <c r="E26" s="26">
        <v>1.4E-2</v>
      </c>
      <c r="F26" s="57">
        <v>0.93959999999999999</v>
      </c>
      <c r="G26" s="51">
        <v>0.93952999999999998</v>
      </c>
      <c r="H26" s="58">
        <v>0.93966000000000005</v>
      </c>
      <c r="I26" s="21">
        <v>14.948759306841454</v>
      </c>
      <c r="J26" s="22">
        <v>14.919852748894872</v>
      </c>
      <c r="K26" s="22">
        <f t="shared" si="13"/>
        <v>14.934306027868164</v>
      </c>
      <c r="L26" s="26">
        <f t="shared" si="14"/>
        <v>1.4453278973291184E-2</v>
      </c>
      <c r="M26" s="21">
        <v>14.823706838842963</v>
      </c>
      <c r="N26" s="22">
        <v>14.795088581580416</v>
      </c>
      <c r="O26" s="22">
        <f t="shared" si="15"/>
        <v>14.809397710211689</v>
      </c>
      <c r="P26" s="26">
        <f t="shared" si="16"/>
        <v>1.4309128631273538E-2</v>
      </c>
      <c r="Q26" s="22">
        <f t="shared" si="17"/>
        <v>14.871851869039926</v>
      </c>
      <c r="R26" s="22">
        <f t="shared" si="18"/>
        <v>7.4003118606139048E-2</v>
      </c>
      <c r="S26" s="23">
        <v>918.80376357391469</v>
      </c>
      <c r="T26" s="24">
        <v>918.78101888880803</v>
      </c>
      <c r="U26" s="25">
        <f t="shared" si="19"/>
        <v>918.79239123136131</v>
      </c>
      <c r="V26" s="21">
        <v>15.066743205532964</v>
      </c>
      <c r="W26" s="22">
        <v>15.037688401951295</v>
      </c>
      <c r="X26" s="22">
        <f t="shared" si="20"/>
        <v>15.052215803742129</v>
      </c>
      <c r="Y26" s="26">
        <f t="shared" si="21"/>
        <v>1.452740179083456E-2</v>
      </c>
      <c r="Z26" s="21">
        <v>14.938681743134715</v>
      </c>
      <c r="AA26" s="22">
        <v>14.909923913676479</v>
      </c>
      <c r="AB26" s="22">
        <f t="shared" si="22"/>
        <v>14.924302828405597</v>
      </c>
      <c r="AC26" s="26">
        <f t="shared" si="23"/>
        <v>1.4378914729118009E-2</v>
      </c>
      <c r="AD26" s="22">
        <f t="shared" si="24"/>
        <v>14.988259316073863</v>
      </c>
      <c r="AE26" s="26">
        <f t="shared" si="25"/>
        <v>7.5712892875219456E-2</v>
      </c>
    </row>
    <row r="27" spans="1:31">
      <c r="A27" s="49" t="s">
        <v>42</v>
      </c>
      <c r="B27" s="50">
        <v>700</v>
      </c>
      <c r="C27" s="50">
        <v>5</v>
      </c>
      <c r="D27" s="21">
        <v>14.452500000000001</v>
      </c>
      <c r="E27" s="26">
        <v>1.4E-2</v>
      </c>
      <c r="F27" s="57">
        <v>0.93574999999999997</v>
      </c>
      <c r="G27" s="51">
        <v>0.93569000000000002</v>
      </c>
      <c r="H27" s="58">
        <v>0.93581999999999999</v>
      </c>
      <c r="I27" s="21">
        <v>14.571245279877207</v>
      </c>
      <c r="J27" s="22">
        <v>14.541789974120864</v>
      </c>
      <c r="K27" s="22">
        <f t="shared" si="13"/>
        <v>14.556517626999035</v>
      </c>
      <c r="L27" s="26">
        <f t="shared" si="14"/>
        <v>1.4727652878171682E-2</v>
      </c>
      <c r="M27" s="21">
        <v>14.470692087678971</v>
      </c>
      <c r="N27" s="22">
        <v>14.441478485116905</v>
      </c>
      <c r="O27" s="22">
        <f t="shared" si="15"/>
        <v>14.456085286397938</v>
      </c>
      <c r="P27" s="26">
        <f t="shared" si="16"/>
        <v>1.4606801281033199E-2</v>
      </c>
      <c r="Q27" s="22">
        <f t="shared" si="17"/>
        <v>14.506301456698486</v>
      </c>
      <c r="R27" s="22">
        <f t="shared" si="18"/>
        <v>6.0407449442768275E-2</v>
      </c>
      <c r="S27" s="23">
        <v>712.687829453277</v>
      </c>
      <c r="T27" s="24">
        <v>712.67167681042611</v>
      </c>
      <c r="U27" s="25">
        <f t="shared" si="19"/>
        <v>712.67975313185161</v>
      </c>
      <c r="V27" s="21">
        <v>14.64883026631172</v>
      </c>
      <c r="W27" s="22">
        <v>14.619273175326612</v>
      </c>
      <c r="X27" s="22">
        <f t="shared" si="20"/>
        <v>14.634051720819166</v>
      </c>
      <c r="Y27" s="26">
        <f t="shared" si="21"/>
        <v>1.4778545492553974E-2</v>
      </c>
      <c r="Z27" s="21">
        <v>14.546209229634504</v>
      </c>
      <c r="AA27" s="22">
        <v>14.516899773192984</v>
      </c>
      <c r="AB27" s="22">
        <f t="shared" si="22"/>
        <v>14.531554501413744</v>
      </c>
      <c r="AC27" s="26">
        <f t="shared" si="23"/>
        <v>1.4654728220760305E-2</v>
      </c>
      <c r="AD27" s="22">
        <f t="shared" si="24"/>
        <v>14.582803111116455</v>
      </c>
      <c r="AE27" s="26">
        <f t="shared" si="25"/>
        <v>6.1568425127502852E-2</v>
      </c>
    </row>
    <row r="28" spans="1:31">
      <c r="A28" s="49" t="s">
        <v>43</v>
      </c>
      <c r="B28" s="50">
        <v>500</v>
      </c>
      <c r="C28" s="50">
        <v>5</v>
      </c>
      <c r="D28" s="21">
        <v>14.064</v>
      </c>
      <c r="E28" s="26">
        <v>1.55E-2</v>
      </c>
      <c r="F28" s="57">
        <v>0.93228</v>
      </c>
      <c r="G28" s="51">
        <v>0.93220000000000003</v>
      </c>
      <c r="H28" s="58">
        <v>0.93233999999999995</v>
      </c>
      <c r="I28" s="21">
        <v>14.180215512194392</v>
      </c>
      <c r="J28" s="22">
        <v>14.147932642243649</v>
      </c>
      <c r="K28" s="22">
        <f t="shared" si="13"/>
        <v>14.16407407721902</v>
      </c>
      <c r="L28" s="26">
        <f t="shared" si="14"/>
        <v>1.614143497537146E-2</v>
      </c>
      <c r="M28" s="21">
        <v>14.106029181462405</v>
      </c>
      <c r="N28" s="22">
        <v>14.073957670322624</v>
      </c>
      <c r="O28" s="22">
        <f t="shared" si="15"/>
        <v>14.089993425892516</v>
      </c>
      <c r="P28" s="26">
        <f t="shared" si="16"/>
        <v>1.6035755569890675E-2</v>
      </c>
      <c r="Q28" s="22">
        <f t="shared" si="17"/>
        <v>14.127033751555768</v>
      </c>
      <c r="R28" s="22">
        <f t="shared" si="18"/>
        <v>4.6630911280259153E-2</v>
      </c>
      <c r="S28" s="23">
        <v>507.84245106657238</v>
      </c>
      <c r="T28" s="24">
        <v>507.83112740544084</v>
      </c>
      <c r="U28" s="25">
        <f t="shared" si="19"/>
        <v>507.83678923600661</v>
      </c>
      <c r="V28" s="21">
        <v>14.22518554857834</v>
      </c>
      <c r="W28" s="22">
        <v>14.192836907668905</v>
      </c>
      <c r="X28" s="22">
        <f t="shared" si="20"/>
        <v>14.209011228123622</v>
      </c>
      <c r="Y28" s="26">
        <f t="shared" si="21"/>
        <v>1.6174320454717339E-2</v>
      </c>
      <c r="Z28" s="21">
        <v>14.149759791469371</v>
      </c>
      <c r="AA28" s="22">
        <v>14.11762630840397</v>
      </c>
      <c r="AB28" s="22">
        <f t="shared" si="22"/>
        <v>14.133693049936671</v>
      </c>
      <c r="AC28" s="26">
        <f t="shared" si="23"/>
        <v>1.606674153270049E-2</v>
      </c>
      <c r="AD28" s="22">
        <f t="shared" si="24"/>
        <v>14.171352139030146</v>
      </c>
      <c r="AE28" s="26">
        <f t="shared" si="25"/>
        <v>4.7301605387493208E-2</v>
      </c>
    </row>
    <row r="29" spans="1:31">
      <c r="A29" s="49" t="s">
        <v>44</v>
      </c>
      <c r="B29" s="50">
        <v>306</v>
      </c>
      <c r="C29" s="50">
        <v>5</v>
      </c>
      <c r="D29" s="21">
        <v>13.734999999999999</v>
      </c>
      <c r="E29" s="26">
        <v>1.4999999999999999E-2</v>
      </c>
      <c r="F29" s="57">
        <v>0.92920999999999998</v>
      </c>
      <c r="G29" s="51">
        <v>0.92913999999999997</v>
      </c>
      <c r="H29" s="58">
        <v>0.92927000000000004</v>
      </c>
      <c r="I29" s="21">
        <v>13.867748251023697</v>
      </c>
      <c r="J29" s="22">
        <v>13.837262252063695</v>
      </c>
      <c r="K29" s="22">
        <f t="shared" si="13"/>
        <v>13.852505251543697</v>
      </c>
      <c r="L29" s="26">
        <f t="shared" si="14"/>
        <v>1.5242999480000741E-2</v>
      </c>
      <c r="M29" s="21">
        <v>13.817842572953779</v>
      </c>
      <c r="N29" s="22">
        <v>13.787515263755799</v>
      </c>
      <c r="O29" s="22">
        <f t="shared" si="15"/>
        <v>13.80267891835479</v>
      </c>
      <c r="P29" s="26">
        <f t="shared" si="16"/>
        <v>1.5163654598990384E-2</v>
      </c>
      <c r="Q29" s="22">
        <f t="shared" si="17"/>
        <v>13.827592084949243</v>
      </c>
      <c r="R29" s="22">
        <f t="shared" si="18"/>
        <v>3.3700812981991748E-2</v>
      </c>
      <c r="S29" s="23">
        <v>310.33059405813992</v>
      </c>
      <c r="T29" s="24">
        <v>310.32452305820942</v>
      </c>
      <c r="U29" s="25">
        <f t="shared" si="19"/>
        <v>310.3275585581747</v>
      </c>
      <c r="V29" s="21">
        <v>13.887855708552928</v>
      </c>
      <c r="W29" s="22">
        <v>13.857342557071217</v>
      </c>
      <c r="X29" s="22">
        <f t="shared" si="20"/>
        <v>13.872599132812073</v>
      </c>
      <c r="Y29" s="26">
        <f t="shared" si="21"/>
        <v>1.5256575740855816E-2</v>
      </c>
      <c r="Z29" s="21">
        <v>13.837390218294859</v>
      </c>
      <c r="AA29" s="22">
        <v>13.807037295887124</v>
      </c>
      <c r="AB29" s="22">
        <f t="shared" si="22"/>
        <v>13.822213757090992</v>
      </c>
      <c r="AC29" s="26">
        <f t="shared" si="23"/>
        <v>1.5176461203867397E-2</v>
      </c>
      <c r="AD29" s="22">
        <f t="shared" si="24"/>
        <v>13.847406444951531</v>
      </c>
      <c r="AE29" s="26">
        <f t="shared" si="25"/>
        <v>3.3984615355444045E-2</v>
      </c>
    </row>
    <row r="30" spans="1:31">
      <c r="A30" s="49" t="s">
        <v>45</v>
      </c>
      <c r="B30" s="50">
        <v>1500</v>
      </c>
      <c r="C30" s="50">
        <v>4</v>
      </c>
      <c r="D30" s="21">
        <v>14.3035</v>
      </c>
      <c r="E30" s="26">
        <v>0.01</v>
      </c>
      <c r="F30" s="57">
        <v>0.96084999999999998</v>
      </c>
      <c r="G30" s="51">
        <v>0.96079999999999999</v>
      </c>
      <c r="H30" s="58">
        <v>0.96089999999999998</v>
      </c>
      <c r="I30" s="21">
        <v>14.273573814843912</v>
      </c>
      <c r="J30" s="22">
        <v>14.25361228210487</v>
      </c>
      <c r="K30" s="22">
        <f t="shared" si="13"/>
        <v>14.263593048474391</v>
      </c>
      <c r="L30" s="26">
        <f t="shared" si="14"/>
        <v>9.9807663695212767E-3</v>
      </c>
      <c r="M30" s="21">
        <v>14.120383575834968</v>
      </c>
      <c r="N30" s="22">
        <v>14.100725481232647</v>
      </c>
      <c r="O30" s="22">
        <f t="shared" si="15"/>
        <v>14.110554528533807</v>
      </c>
      <c r="P30" s="26">
        <f t="shared" si="16"/>
        <v>9.8290473011601875E-3</v>
      </c>
      <c r="Q30" s="22">
        <f t="shared" si="17"/>
        <v>14.187073788504097</v>
      </c>
      <c r="R30" s="22">
        <f t="shared" si="18"/>
        <v>8.9094033324249033E-2</v>
      </c>
      <c r="S30" s="23">
        <v>1542.0522551595536</v>
      </c>
      <c r="T30" s="24">
        <v>1542.01506304281</v>
      </c>
      <c r="U30" s="25">
        <f t="shared" si="19"/>
        <v>1542.0336591011819</v>
      </c>
      <c r="V30" s="21">
        <v>14.542260133945096</v>
      </c>
      <c r="W30" s="22">
        <v>14.522051275310297</v>
      </c>
      <c r="X30" s="22">
        <f t="shared" si="20"/>
        <v>14.532155704627696</v>
      </c>
      <c r="Y30" s="26">
        <f t="shared" si="21"/>
        <v>1.0104429317399521E-2</v>
      </c>
      <c r="Z30" s="21">
        <v>14.383991588819461</v>
      </c>
      <c r="AA30" s="22">
        <v>14.364099047901954</v>
      </c>
      <c r="AB30" s="22">
        <f t="shared" si="22"/>
        <v>14.374045318360707</v>
      </c>
      <c r="AC30" s="26">
        <f t="shared" si="23"/>
        <v>9.9462704587534034E-3</v>
      </c>
      <c r="AD30" s="22">
        <f t="shared" si="24"/>
        <v>14.453100511494201</v>
      </c>
      <c r="AE30" s="26">
        <f t="shared" si="25"/>
        <v>9.2016212015844229E-2</v>
      </c>
    </row>
    <row r="31" spans="1:31">
      <c r="A31" s="49" t="s">
        <v>46</v>
      </c>
      <c r="B31" s="50">
        <v>1600</v>
      </c>
      <c r="C31" s="50">
        <v>4</v>
      </c>
      <c r="D31" s="21">
        <v>14.0525</v>
      </c>
      <c r="E31" s="26">
        <v>1.6E-2</v>
      </c>
      <c r="F31" s="57">
        <v>0.96555000000000002</v>
      </c>
      <c r="G31" s="51">
        <v>0.96547000000000005</v>
      </c>
      <c r="H31" s="58">
        <v>0.96564000000000005</v>
      </c>
      <c r="I31" s="21">
        <v>13.991017361945808</v>
      </c>
      <c r="J31" s="22">
        <v>13.957899306493275</v>
      </c>
      <c r="K31" s="22">
        <f t="shared" si="13"/>
        <v>13.974458334219541</v>
      </c>
      <c r="L31" s="26">
        <f t="shared" si="14"/>
        <v>1.6559027726266606E-2</v>
      </c>
      <c r="M31" s="21">
        <v>13.840576665930893</v>
      </c>
      <c r="N31" s="22">
        <v>13.807987927625218</v>
      </c>
      <c r="O31" s="22">
        <f t="shared" si="15"/>
        <v>13.824282296778055</v>
      </c>
      <c r="P31" s="26">
        <f t="shared" si="16"/>
        <v>1.629436915283744E-2</v>
      </c>
      <c r="Q31" s="22">
        <f t="shared" si="17"/>
        <v>13.8993703154988</v>
      </c>
      <c r="R31" s="22">
        <f t="shared" si="18"/>
        <v>8.8754827009169632E-2</v>
      </c>
      <c r="S31" s="23">
        <v>1646.3846565295337</v>
      </c>
      <c r="T31" s="24">
        <v>1646.3148592450002</v>
      </c>
      <c r="U31" s="25">
        <f t="shared" si="19"/>
        <v>1646.3497578872671</v>
      </c>
      <c r="V31" s="21">
        <v>14.287398036621086</v>
      </c>
      <c r="W31" s="22">
        <v>14.253816435685614</v>
      </c>
      <c r="X31" s="22">
        <f t="shared" si="20"/>
        <v>14.270607236153349</v>
      </c>
      <c r="Y31" s="26">
        <f t="shared" si="21"/>
        <v>1.6790800467735956E-2</v>
      </c>
      <c r="Z31" s="21">
        <v>14.131775391850342</v>
      </c>
      <c r="AA31" s="22">
        <v>14.098746393709501</v>
      </c>
      <c r="AB31" s="22">
        <f t="shared" si="22"/>
        <v>14.115260892779922</v>
      </c>
      <c r="AC31" s="26">
        <f t="shared" si="23"/>
        <v>1.6514499070420463E-2</v>
      </c>
      <c r="AD31" s="22">
        <f t="shared" si="24"/>
        <v>14.192934064466634</v>
      </c>
      <c r="AE31" s="26">
        <f t="shared" si="25"/>
        <v>9.1727505361048955E-2</v>
      </c>
    </row>
    <row r="32" spans="1:31">
      <c r="A32" s="49" t="s">
        <v>47</v>
      </c>
      <c r="B32" s="50">
        <v>1500</v>
      </c>
      <c r="C32" s="50">
        <v>4</v>
      </c>
      <c r="D32" s="21">
        <v>13.713999999999999</v>
      </c>
      <c r="E32" s="26">
        <v>1.7500000000000002E-2</v>
      </c>
      <c r="F32" s="57">
        <v>0.96392</v>
      </c>
      <c r="G32" s="51">
        <v>0.96382999999999996</v>
      </c>
      <c r="H32" s="58">
        <v>0.96401000000000003</v>
      </c>
      <c r="I32" s="21">
        <v>13.673510514475744</v>
      </c>
      <c r="J32" s="22">
        <v>13.63817205882291</v>
      </c>
      <c r="K32" s="22">
        <f t="shared" si="13"/>
        <v>13.655841286649327</v>
      </c>
      <c r="L32" s="26">
        <f t="shared" si="14"/>
        <v>1.7669227826417E-2</v>
      </c>
      <c r="M32" s="21">
        <v>13.529405495440995</v>
      </c>
      <c r="N32" s="22">
        <v>13.494599587506354</v>
      </c>
      <c r="O32" s="22">
        <f t="shared" si="15"/>
        <v>13.512002541473674</v>
      </c>
      <c r="P32" s="26">
        <f t="shared" si="16"/>
        <v>1.7402953967320833E-2</v>
      </c>
      <c r="Q32" s="22">
        <f t="shared" si="17"/>
        <v>13.583921914061502</v>
      </c>
      <c r="R32" s="22">
        <f t="shared" si="18"/>
        <v>8.5478483552387449E-2</v>
      </c>
      <c r="S32" s="23">
        <v>1540.9196458268411</v>
      </c>
      <c r="T32" s="24">
        <v>1540.8519871918909</v>
      </c>
      <c r="U32" s="25">
        <f t="shared" si="19"/>
        <v>1540.8858165093661</v>
      </c>
      <c r="V32" s="21">
        <v>13.934678366088292</v>
      </c>
      <c r="W32" s="22">
        <v>13.898891639528841</v>
      </c>
      <c r="X32" s="22">
        <f t="shared" si="20"/>
        <v>13.916785002808567</v>
      </c>
      <c r="Y32" s="26">
        <f t="shared" si="21"/>
        <v>1.7893363279725349E-2</v>
      </c>
      <c r="Z32" s="21">
        <v>13.785878054421548</v>
      </c>
      <c r="AA32" s="22">
        <v>13.750646158183692</v>
      </c>
      <c r="AB32" s="22">
        <f t="shared" si="22"/>
        <v>13.76826210630262</v>
      </c>
      <c r="AC32" s="26">
        <f t="shared" si="23"/>
        <v>1.7615948118928415E-2</v>
      </c>
      <c r="AD32" s="22">
        <f t="shared" si="24"/>
        <v>13.842523554555592</v>
      </c>
      <c r="AE32" s="26">
        <f t="shared" si="25"/>
        <v>8.8166582750484571E-2</v>
      </c>
    </row>
    <row r="33" spans="1:31">
      <c r="A33" s="49" t="s">
        <v>48</v>
      </c>
      <c r="B33" s="50">
        <v>1300</v>
      </c>
      <c r="C33" s="50">
        <v>4</v>
      </c>
      <c r="D33" s="21">
        <v>13.242000000000001</v>
      </c>
      <c r="E33" s="26">
        <v>1.6E-2</v>
      </c>
      <c r="F33" s="57">
        <v>0.95967000000000002</v>
      </c>
      <c r="G33" s="51">
        <v>0.95957999999999999</v>
      </c>
      <c r="H33" s="58">
        <v>0.95974999999999999</v>
      </c>
      <c r="I33" s="21">
        <v>13.242870336547028</v>
      </c>
      <c r="J33" s="22">
        <v>13.208794220656177</v>
      </c>
      <c r="K33" s="22">
        <f t="shared" si="13"/>
        <v>13.225832278601603</v>
      </c>
      <c r="L33" s="26">
        <f t="shared" si="14"/>
        <v>1.7038057945425678E-2</v>
      </c>
      <c r="M33" s="21">
        <v>13.11053009205426</v>
      </c>
      <c r="N33" s="22">
        <v>13.076906772668716</v>
      </c>
      <c r="O33" s="22">
        <f t="shared" si="15"/>
        <v>13.093718432361488</v>
      </c>
      <c r="P33" s="26">
        <f t="shared" si="16"/>
        <v>1.6811659692772096E-2</v>
      </c>
      <c r="Q33" s="22">
        <f t="shared" si="17"/>
        <v>13.159775355481544</v>
      </c>
      <c r="R33" s="22">
        <f t="shared" si="18"/>
        <v>7.8739915774891908E-2</v>
      </c>
      <c r="S33" s="23">
        <v>1331.4841247900385</v>
      </c>
      <c r="T33" s="24">
        <v>1331.4318337979305</v>
      </c>
      <c r="U33" s="25">
        <f t="shared" si="19"/>
        <v>1331.4579792939844</v>
      </c>
      <c r="V33" s="21">
        <v>13.443177273145988</v>
      </c>
      <c r="W33" s="22">
        <v>13.4087564916309</v>
      </c>
      <c r="X33" s="22">
        <f t="shared" si="20"/>
        <v>13.425966882388444</v>
      </c>
      <c r="Y33" s="26">
        <f t="shared" si="21"/>
        <v>1.7210390757544047E-2</v>
      </c>
      <c r="Z33" s="21">
        <v>13.306977737626838</v>
      </c>
      <c r="AA33" s="22">
        <v>13.273026807343532</v>
      </c>
      <c r="AB33" s="22">
        <f t="shared" si="22"/>
        <v>13.290002272485186</v>
      </c>
      <c r="AC33" s="26">
        <f t="shared" si="23"/>
        <v>1.6975465141652712E-2</v>
      </c>
      <c r="AD33" s="22">
        <f t="shared" si="24"/>
        <v>13.357984577436815</v>
      </c>
      <c r="AE33" s="26">
        <f t="shared" si="25"/>
        <v>8.0942578576319632E-2</v>
      </c>
    </row>
    <row r="34" spans="1:31">
      <c r="A34" s="49" t="s">
        <v>49</v>
      </c>
      <c r="B34" s="50">
        <v>1100</v>
      </c>
      <c r="C34" s="50">
        <v>4</v>
      </c>
      <c r="D34" s="21">
        <v>12.791</v>
      </c>
      <c r="E34" s="26">
        <v>1.2500000000000001E-2</v>
      </c>
      <c r="F34" s="57">
        <v>0.95545999999999998</v>
      </c>
      <c r="G34" s="51">
        <v>0.95540000000000003</v>
      </c>
      <c r="H34" s="58">
        <v>0.95552000000000004</v>
      </c>
      <c r="I34" s="21">
        <v>12.821381664495563</v>
      </c>
      <c r="J34" s="22">
        <v>12.796829231361006</v>
      </c>
      <c r="K34" s="22">
        <f t="shared" si="13"/>
        <v>12.809105447928285</v>
      </c>
      <c r="L34" s="26">
        <f t="shared" si="14"/>
        <v>1.227621656727873E-2</v>
      </c>
      <c r="M34" s="21">
        <v>12.70378696376989</v>
      </c>
      <c r="N34" s="22">
        <v>12.679517022776949</v>
      </c>
      <c r="O34" s="22">
        <f t="shared" si="15"/>
        <v>12.691651993273419</v>
      </c>
      <c r="P34" s="26">
        <f t="shared" si="16"/>
        <v>1.2134970496470388E-2</v>
      </c>
      <c r="Q34" s="22">
        <f t="shared" si="17"/>
        <v>12.750378720600853</v>
      </c>
      <c r="R34" s="22">
        <f t="shared" si="18"/>
        <v>6.9260955847375585E-2</v>
      </c>
      <c r="S34" s="23">
        <v>1123.4295961140976</v>
      </c>
      <c r="T34" s="24">
        <v>1123.4003894554855</v>
      </c>
      <c r="U34" s="25">
        <f t="shared" si="19"/>
        <v>1123.4149927847916</v>
      </c>
      <c r="V34" s="21">
        <v>12.969541507045065</v>
      </c>
      <c r="W34" s="22">
        <v>12.94479823264626</v>
      </c>
      <c r="X34" s="22">
        <f t="shared" si="20"/>
        <v>12.957169869845663</v>
      </c>
      <c r="Y34" s="26">
        <f t="shared" si="21"/>
        <v>1.2371637199402485E-2</v>
      </c>
      <c r="Z34" s="21">
        <v>12.848903390869136</v>
      </c>
      <c r="AA34" s="22">
        <v>12.824452019473998</v>
      </c>
      <c r="AB34" s="22">
        <f t="shared" si="22"/>
        <v>12.836677705171567</v>
      </c>
      <c r="AC34" s="26">
        <f t="shared" si="23"/>
        <v>1.2225685697568878E-2</v>
      </c>
      <c r="AD34" s="22">
        <f t="shared" si="24"/>
        <v>12.896923787508616</v>
      </c>
      <c r="AE34" s="26">
        <f t="shared" si="25"/>
        <v>7.1000965588241732E-2</v>
      </c>
    </row>
    <row r="35" spans="1:31">
      <c r="A35" s="49" t="s">
        <v>50</v>
      </c>
      <c r="B35" s="50">
        <v>900</v>
      </c>
      <c r="C35" s="50">
        <v>4</v>
      </c>
      <c r="D35" s="21">
        <v>12.309000000000001</v>
      </c>
      <c r="E35" s="26">
        <v>1.8499999999999999E-2</v>
      </c>
      <c r="F35" s="57">
        <v>0.95160999999999996</v>
      </c>
      <c r="G35" s="51">
        <v>0.95150999999999997</v>
      </c>
      <c r="H35" s="58">
        <v>0.95169999999999999</v>
      </c>
      <c r="I35" s="21">
        <v>12.367849229483454</v>
      </c>
      <c r="J35" s="22">
        <v>12.328239276364004</v>
      </c>
      <c r="K35" s="22">
        <f t="shared" si="13"/>
        <v>12.348044252923728</v>
      </c>
      <c r="L35" s="26">
        <f t="shared" si="14"/>
        <v>1.980497655972524E-2</v>
      </c>
      <c r="M35" s="21">
        <v>12.268290885090108</v>
      </c>
      <c r="N35" s="22">
        <v>12.22906626542461</v>
      </c>
      <c r="O35" s="22">
        <f t="shared" si="15"/>
        <v>12.248678575257358</v>
      </c>
      <c r="P35" s="26">
        <f t="shared" si="16"/>
        <v>1.9612309832749197E-2</v>
      </c>
      <c r="Q35" s="22">
        <f t="shared" si="17"/>
        <v>12.298361414090543</v>
      </c>
      <c r="R35" s="22">
        <f t="shared" si="18"/>
        <v>6.171789984845278E-2</v>
      </c>
      <c r="S35" s="23">
        <v>916.65290710438069</v>
      </c>
      <c r="T35" s="24">
        <v>916.6178488110387</v>
      </c>
      <c r="U35" s="25">
        <f t="shared" si="19"/>
        <v>916.63537795770969</v>
      </c>
      <c r="V35" s="21">
        <v>12.471909737335739</v>
      </c>
      <c r="W35" s="22">
        <v>12.432074337018911</v>
      </c>
      <c r="X35" s="22">
        <f t="shared" si="20"/>
        <v>12.451992037177325</v>
      </c>
      <c r="Y35" s="26">
        <f t="shared" si="21"/>
        <v>1.991770015841432E-2</v>
      </c>
      <c r="Z35" s="21">
        <v>12.370090779655705</v>
      </c>
      <c r="AA35" s="22">
        <v>12.330651751182009</v>
      </c>
      <c r="AB35" s="22">
        <f t="shared" si="22"/>
        <v>12.350371265418858</v>
      </c>
      <c r="AC35" s="26">
        <f t="shared" si="23"/>
        <v>1.9719514236848035E-2</v>
      </c>
      <c r="AD35" s="22">
        <f t="shared" si="24"/>
        <v>12.40118165129809</v>
      </c>
      <c r="AE35" s="26">
        <f t="shared" si="25"/>
        <v>6.2975998855284029E-2</v>
      </c>
    </row>
    <row r="36" spans="1:31">
      <c r="A36" s="49" t="s">
        <v>51</v>
      </c>
      <c r="B36" s="50">
        <v>700</v>
      </c>
      <c r="C36" s="50">
        <v>4</v>
      </c>
      <c r="D36" s="21">
        <v>11.952999999999999</v>
      </c>
      <c r="E36" s="26">
        <v>1.7999999999999999E-2</v>
      </c>
      <c r="F36" s="57">
        <v>0.94738</v>
      </c>
      <c r="G36" s="51">
        <v>0.94728999999999997</v>
      </c>
      <c r="H36" s="58">
        <v>0.94745999999999997</v>
      </c>
      <c r="I36" s="21">
        <v>12.022048394427479</v>
      </c>
      <c r="J36" s="22">
        <v>11.985855130753524</v>
      </c>
      <c r="K36" s="22">
        <f t="shared" si="13"/>
        <v>12.003951762590502</v>
      </c>
      <c r="L36" s="26">
        <f t="shared" si="14"/>
        <v>1.8096631836977295E-2</v>
      </c>
      <c r="M36" s="21">
        <v>11.942221062525755</v>
      </c>
      <c r="N36" s="22">
        <v>11.906317561385871</v>
      </c>
      <c r="O36" s="22">
        <f t="shared" si="15"/>
        <v>11.924269311955813</v>
      </c>
      <c r="P36" s="26">
        <f t="shared" si="16"/>
        <v>1.7951750569942249E-2</v>
      </c>
      <c r="Q36" s="22">
        <f t="shared" si="17"/>
        <v>11.964110537273157</v>
      </c>
      <c r="R36" s="22">
        <f t="shared" si="18"/>
        <v>5.0493563298987743E-2</v>
      </c>
      <c r="S36" s="23">
        <v>711.20687993058948</v>
      </c>
      <c r="T36" s="24">
        <v>711.18454429333235</v>
      </c>
      <c r="U36" s="25">
        <f t="shared" si="19"/>
        <v>711.19571211196092</v>
      </c>
      <c r="V36" s="21">
        <v>12.090353264309934</v>
      </c>
      <c r="W36" s="22">
        <v>12.054020791551347</v>
      </c>
      <c r="X36" s="22">
        <f t="shared" si="20"/>
        <v>12.07218702793064</v>
      </c>
      <c r="Y36" s="26">
        <f t="shared" si="21"/>
        <v>1.8166236379293821E-2</v>
      </c>
      <c r="Z36" s="21">
        <v>12.008955892276447</v>
      </c>
      <c r="AA36" s="22">
        <v>11.972920002242221</v>
      </c>
      <c r="AB36" s="22">
        <f t="shared" si="22"/>
        <v>11.990937947259333</v>
      </c>
      <c r="AC36" s="26">
        <f t="shared" si="23"/>
        <v>1.8017945017112957E-2</v>
      </c>
      <c r="AD36" s="22">
        <f t="shared" si="24"/>
        <v>12.031562487594986</v>
      </c>
      <c r="AE36" s="26">
        <f t="shared" si="25"/>
        <v>5.1350852260336324E-2</v>
      </c>
    </row>
    <row r="37" spans="1:31">
      <c r="A37" s="49" t="s">
        <v>52</v>
      </c>
      <c r="B37" s="50">
        <v>500</v>
      </c>
      <c r="C37" s="50">
        <v>4</v>
      </c>
      <c r="D37" s="21">
        <v>11.4785</v>
      </c>
      <c r="E37" s="26">
        <v>1.2E-2</v>
      </c>
      <c r="F37" s="57">
        <v>0.94403999999999999</v>
      </c>
      <c r="G37" s="51">
        <v>0.94399</v>
      </c>
      <c r="H37" s="58">
        <v>0.94410000000000005</v>
      </c>
      <c r="I37" s="21">
        <v>11.544501341859974</v>
      </c>
      <c r="J37" s="22">
        <v>11.520684590402217</v>
      </c>
      <c r="K37" s="22">
        <f t="shared" si="13"/>
        <v>11.532592966131094</v>
      </c>
      <c r="L37" s="26">
        <f t="shared" si="14"/>
        <v>1.1908375728878262E-2</v>
      </c>
      <c r="M37" s="21">
        <v>11.487390493398776</v>
      </c>
      <c r="N37" s="22">
        <v>11.463725248440374</v>
      </c>
      <c r="O37" s="22">
        <f t="shared" si="15"/>
        <v>11.475557870919575</v>
      </c>
      <c r="P37" s="26">
        <f t="shared" si="16"/>
        <v>1.1832622479200694E-2</v>
      </c>
      <c r="Q37" s="22">
        <f t="shared" si="17"/>
        <v>11.504075418525336</v>
      </c>
      <c r="R37" s="22">
        <f t="shared" si="18"/>
        <v>3.5668112837930567E-2</v>
      </c>
      <c r="S37" s="23">
        <v>506.85996032891904</v>
      </c>
      <c r="T37" s="24">
        <v>506.85050081838335</v>
      </c>
      <c r="U37" s="25">
        <f t="shared" si="19"/>
        <v>506.85523057365117</v>
      </c>
      <c r="V37" s="21">
        <v>11.583781916699039</v>
      </c>
      <c r="W37" s="22">
        <v>11.559910540491014</v>
      </c>
      <c r="X37" s="22">
        <f t="shared" si="20"/>
        <v>11.571846228595026</v>
      </c>
      <c r="Y37" s="26">
        <f t="shared" si="21"/>
        <v>1.1935688104012243E-2</v>
      </c>
      <c r="Z37" s="21">
        <v>11.525733466294712</v>
      </c>
      <c r="AA37" s="22">
        <v>11.502016238200895</v>
      </c>
      <c r="AB37" s="22">
        <f t="shared" si="22"/>
        <v>11.513874852247802</v>
      </c>
      <c r="AC37" s="26">
        <f t="shared" si="23"/>
        <v>1.1858614046908578E-2</v>
      </c>
      <c r="AD37" s="22">
        <f t="shared" si="24"/>
        <v>11.542860540421415</v>
      </c>
      <c r="AE37" s="26">
        <f t="shared" si="25"/>
        <v>3.6179438132964203E-2</v>
      </c>
    </row>
    <row r="38" spans="1:31">
      <c r="A38" s="49" t="s">
        <v>53</v>
      </c>
      <c r="B38" s="50">
        <v>305</v>
      </c>
      <c r="C38" s="50">
        <v>4</v>
      </c>
      <c r="D38" s="21">
        <v>11.0745</v>
      </c>
      <c r="E38" s="26">
        <v>1.7000000000000001E-2</v>
      </c>
      <c r="F38" s="57">
        <v>0.94105000000000005</v>
      </c>
      <c r="G38" s="51">
        <v>0.94096999999999997</v>
      </c>
      <c r="H38" s="58">
        <v>0.94113000000000002</v>
      </c>
      <c r="I38" s="21">
        <v>11.173741789177381</v>
      </c>
      <c r="J38" s="22">
        <v>11.138519492952138</v>
      </c>
      <c r="K38" s="22">
        <f t="shared" si="13"/>
        <v>11.15613064106476</v>
      </c>
      <c r="L38" s="26">
        <f t="shared" si="14"/>
        <v>1.7611148112621322E-2</v>
      </c>
      <c r="M38" s="21">
        <v>11.137763085617062</v>
      </c>
      <c r="N38" s="22">
        <v>11.1027173522557</v>
      </c>
      <c r="O38" s="22">
        <f t="shared" si="15"/>
        <v>11.120240218936381</v>
      </c>
      <c r="P38" s="26">
        <f t="shared" si="16"/>
        <v>1.7522866680680593E-2</v>
      </c>
      <c r="Q38" s="22">
        <f t="shared" si="17"/>
        <v>11.13818543000057</v>
      </c>
      <c r="R38" s="22">
        <f t="shared" si="18"/>
        <v>2.899729406720793E-2</v>
      </c>
      <c r="S38" s="23">
        <v>308.7461417314114</v>
      </c>
      <c r="T38" s="24">
        <v>308.73818550684456</v>
      </c>
      <c r="U38" s="25">
        <f t="shared" si="19"/>
        <v>308.74216361912795</v>
      </c>
      <c r="V38" s="21">
        <v>11.191182156309003</v>
      </c>
      <c r="W38" s="22">
        <v>11.155923959231993</v>
      </c>
      <c r="X38" s="22">
        <f t="shared" si="20"/>
        <v>11.173553057770498</v>
      </c>
      <c r="Y38" s="26">
        <f t="shared" si="21"/>
        <v>1.7629098538504806E-2</v>
      </c>
      <c r="Z38" s="21">
        <v>11.154779634900979</v>
      </c>
      <c r="AA38" s="22">
        <v>11.11969970063476</v>
      </c>
      <c r="AB38" s="22">
        <f t="shared" si="22"/>
        <v>11.137239667767869</v>
      </c>
      <c r="AC38" s="26">
        <f t="shared" si="23"/>
        <v>1.7539967133109791E-2</v>
      </c>
      <c r="AD38" s="22">
        <f t="shared" si="24"/>
        <v>11.155396362769183</v>
      </c>
      <c r="AE38" s="26">
        <f t="shared" si="25"/>
        <v>2.9186374778337625E-2</v>
      </c>
    </row>
    <row r="39" spans="1:31">
      <c r="A39" s="49"/>
      <c r="B39" s="50"/>
      <c r="C39" s="50"/>
      <c r="D39" s="21"/>
      <c r="E39" s="26"/>
      <c r="F39" s="57"/>
      <c r="G39" s="51"/>
      <c r="H39" s="58"/>
      <c r="I39" s="21"/>
      <c r="J39" s="22"/>
      <c r="K39" s="22"/>
      <c r="L39" s="26"/>
      <c r="M39" s="21"/>
      <c r="N39" s="22"/>
      <c r="O39" s="22"/>
      <c r="P39" s="26"/>
      <c r="Q39" s="22"/>
      <c r="R39" s="22"/>
      <c r="S39" s="23"/>
      <c r="T39" s="24"/>
      <c r="U39" s="25"/>
      <c r="V39" s="21"/>
      <c r="W39" s="22"/>
      <c r="X39" s="22"/>
      <c r="Y39" s="26"/>
      <c r="Z39" s="21"/>
      <c r="AA39" s="22"/>
      <c r="AB39" s="22"/>
      <c r="AC39" s="26"/>
      <c r="AD39" s="22"/>
      <c r="AE39" s="26"/>
    </row>
    <row r="40" spans="1:31">
      <c r="A40" s="49" t="s">
        <v>54</v>
      </c>
      <c r="B40" s="50">
        <v>1500</v>
      </c>
      <c r="C40" s="50">
        <v>7</v>
      </c>
      <c r="D40" s="21">
        <v>17.283999999999999</v>
      </c>
      <c r="E40" s="26">
        <v>1.7000000000000001E-2</v>
      </c>
      <c r="F40" s="57">
        <v>0.94606000000000001</v>
      </c>
      <c r="G40" s="51">
        <v>0.94596999999999998</v>
      </c>
      <c r="H40" s="58">
        <v>0.94613999999999998</v>
      </c>
      <c r="I40" s="21">
        <v>17.356591333603095</v>
      </c>
      <c r="J40" s="22">
        <v>17.319832946377307</v>
      </c>
      <c r="K40" s="22">
        <f t="shared" ref="K40:K74" si="26">(I40+J40)/2</f>
        <v>17.338212139990201</v>
      </c>
      <c r="L40" s="26">
        <f t="shared" ref="L40:L74" si="27">(I40-J40)/2</f>
        <v>1.8379193612894085E-2</v>
      </c>
      <c r="M40" s="21">
        <v>17.155867088004495</v>
      </c>
      <c r="N40" s="22">
        <v>17.119680287493832</v>
      </c>
      <c r="O40" s="22">
        <f t="shared" ref="O40:O74" si="28">(M40+N40)/2</f>
        <v>17.137773687749164</v>
      </c>
      <c r="P40" s="26">
        <f t="shared" ref="P40:P74" si="29">(M40-N40)/2</f>
        <v>1.809340025533146E-2</v>
      </c>
      <c r="Q40" s="22">
        <f t="shared" ref="Q40:Q74" si="30">AVERAGE(I40:J40,M40:N40)</f>
        <v>17.237992913869682</v>
      </c>
      <c r="R40" s="22">
        <f t="shared" ref="R40:R74" si="31">STDEV(I40:J40,M40:N40)</f>
        <v>0.11762355903205569</v>
      </c>
      <c r="S40" s="23">
        <v>1547.4356204112883</v>
      </c>
      <c r="T40" s="24">
        <v>1547.3753143409422</v>
      </c>
      <c r="U40" s="25">
        <f t="shared" ref="U40:U74" si="32">(S40+T40)/2</f>
        <v>1547.4054673761152</v>
      </c>
      <c r="V40" s="21">
        <v>17.661418023193043</v>
      </c>
      <c r="W40" s="22">
        <v>17.624250768730452</v>
      </c>
      <c r="X40" s="22">
        <f t="shared" ref="X40:X74" si="33">(V40+W40)/2</f>
        <v>17.642834395961749</v>
      </c>
      <c r="Y40" s="26">
        <f t="shared" ref="Y40:Y74" si="34">(V40-W40)/2</f>
        <v>1.8583627231295807E-2</v>
      </c>
      <c r="Z40" s="21">
        <v>17.453524052862427</v>
      </c>
      <c r="AA40" s="22">
        <v>17.41695440937708</v>
      </c>
      <c r="AB40" s="22">
        <f t="shared" ref="AB40:AB74" si="35">(Z40+AA40)/2</f>
        <v>17.435239231119752</v>
      </c>
      <c r="AC40" s="26">
        <f t="shared" ref="AC40:AC74" si="36">(Z40-AA40)/2</f>
        <v>1.8284821742673429E-2</v>
      </c>
      <c r="AD40" s="22">
        <f t="shared" ref="AD40:AD74" si="37">AVERAGE(V40,W40,Z40,AA40)</f>
        <v>17.539036813540751</v>
      </c>
      <c r="AE40" s="26">
        <f t="shared" ref="AE40:AE74" si="38">STDEV(V40,W40,Z40,AA40)</f>
        <v>0.12173074697906139</v>
      </c>
    </row>
    <row r="41" spans="1:31">
      <c r="A41" s="49" t="s">
        <v>55</v>
      </c>
      <c r="B41" s="50">
        <v>1500</v>
      </c>
      <c r="C41" s="50">
        <v>7</v>
      </c>
      <c r="D41" s="21">
        <v>17.135000000000002</v>
      </c>
      <c r="E41" s="26">
        <v>1.6500000000000001E-2</v>
      </c>
      <c r="F41" s="57">
        <v>0.94677</v>
      </c>
      <c r="G41" s="51">
        <v>0.94669000000000003</v>
      </c>
      <c r="H41" s="58">
        <v>0.94684999999999997</v>
      </c>
      <c r="I41" s="21">
        <v>17.20113943277406</v>
      </c>
      <c r="J41" s="22">
        <v>17.166676484662375</v>
      </c>
      <c r="K41" s="22">
        <f t="shared" si="26"/>
        <v>17.183907958718216</v>
      </c>
      <c r="L41" s="26">
        <f t="shared" si="27"/>
        <v>1.7231474055842355E-2</v>
      </c>
      <c r="M41" s="21">
        <v>17.002832078140521</v>
      </c>
      <c r="N41" s="22">
        <v>16.968904808009473</v>
      </c>
      <c r="O41" s="22">
        <f t="shared" si="28"/>
        <v>16.985868443074999</v>
      </c>
      <c r="P41" s="26">
        <f t="shared" si="29"/>
        <v>1.696363506552423E-2</v>
      </c>
      <c r="Q41" s="22">
        <f t="shared" si="30"/>
        <v>17.084888200896607</v>
      </c>
      <c r="R41" s="22">
        <f t="shared" si="31"/>
        <v>0.11603020724757865</v>
      </c>
      <c r="S41" s="23">
        <v>1547.1799952480574</v>
      </c>
      <c r="T41" s="24">
        <v>1547.1231143531884</v>
      </c>
      <c r="U41" s="25">
        <f t="shared" si="32"/>
        <v>1547.1515548006228</v>
      </c>
      <c r="V41" s="21">
        <v>17.504233680687641</v>
      </c>
      <c r="W41" s="22">
        <v>17.469385470652036</v>
      </c>
      <c r="X41" s="22">
        <f t="shared" si="33"/>
        <v>17.486809575669838</v>
      </c>
      <c r="Y41" s="26">
        <f t="shared" si="34"/>
        <v>1.742410501780256E-2</v>
      </c>
      <c r="Z41" s="21">
        <v>17.298866494752293</v>
      </c>
      <c r="AA41" s="22">
        <v>17.264578267225094</v>
      </c>
      <c r="AB41" s="22">
        <f t="shared" si="35"/>
        <v>17.281722380988693</v>
      </c>
      <c r="AC41" s="26">
        <f t="shared" si="36"/>
        <v>1.7144113763599478E-2</v>
      </c>
      <c r="AD41" s="22">
        <f t="shared" si="37"/>
        <v>17.384265978329264</v>
      </c>
      <c r="AE41" s="26">
        <f t="shared" si="38"/>
        <v>0.12007747161312578</v>
      </c>
    </row>
    <row r="42" spans="1:31">
      <c r="A42" s="49" t="s">
        <v>102</v>
      </c>
      <c r="B42" s="50">
        <v>1600</v>
      </c>
      <c r="C42" s="50">
        <v>7</v>
      </c>
      <c r="D42" s="21">
        <v>17.121500000000001</v>
      </c>
      <c r="E42" s="26">
        <v>1.6E-2</v>
      </c>
      <c r="F42" s="57">
        <v>0.94998000000000005</v>
      </c>
      <c r="G42" s="51">
        <v>0.94989000000000001</v>
      </c>
      <c r="H42" s="58">
        <v>0.95004999999999995</v>
      </c>
      <c r="I42" s="21">
        <v>17.159402943820254</v>
      </c>
      <c r="J42" s="22">
        <v>17.125489264358393</v>
      </c>
      <c r="K42" s="22">
        <f t="shared" si="26"/>
        <v>17.142446104089323</v>
      </c>
      <c r="L42" s="26">
        <f t="shared" si="27"/>
        <v>1.695683973093054E-2</v>
      </c>
      <c r="M42" s="21">
        <v>16.957405484967111</v>
      </c>
      <c r="N42" s="22">
        <v>16.924050101910161</v>
      </c>
      <c r="O42" s="22">
        <f t="shared" si="28"/>
        <v>16.940727793438636</v>
      </c>
      <c r="P42" s="26">
        <f t="shared" si="29"/>
        <v>1.667769152847498E-2</v>
      </c>
      <c r="Q42" s="22">
        <f t="shared" si="30"/>
        <v>17.041586948763978</v>
      </c>
      <c r="R42" s="22">
        <f t="shared" si="31"/>
        <v>0.11807008719192447</v>
      </c>
      <c r="S42" s="23">
        <v>1652.6252004730675</v>
      </c>
      <c r="T42" s="24">
        <v>1652.5625921473127</v>
      </c>
      <c r="U42" s="25">
        <f t="shared" si="32"/>
        <v>1652.5938963101901</v>
      </c>
      <c r="V42" s="21">
        <v>17.49763785460458</v>
      </c>
      <c r="W42" s="22">
        <v>17.463299962686207</v>
      </c>
      <c r="X42" s="22">
        <f t="shared" si="33"/>
        <v>17.480468908645392</v>
      </c>
      <c r="Y42" s="26">
        <f t="shared" si="34"/>
        <v>1.7168945959186388E-2</v>
      </c>
      <c r="Z42" s="21">
        <v>17.288102202181165</v>
      </c>
      <c r="AA42" s="22">
        <v>17.254349049658888</v>
      </c>
      <c r="AB42" s="22">
        <f t="shared" si="35"/>
        <v>17.271225625920025</v>
      </c>
      <c r="AC42" s="26">
        <f t="shared" si="36"/>
        <v>1.6876576261138254E-2</v>
      </c>
      <c r="AD42" s="22">
        <f t="shared" si="37"/>
        <v>17.375847267282708</v>
      </c>
      <c r="AE42" s="26">
        <f t="shared" si="38"/>
        <v>0.12239544439913194</v>
      </c>
    </row>
    <row r="43" spans="1:31">
      <c r="A43" s="49" t="s">
        <v>103</v>
      </c>
      <c r="B43" s="50">
        <v>1700</v>
      </c>
      <c r="C43" s="50">
        <v>7</v>
      </c>
      <c r="D43" s="21">
        <v>17.090499999999999</v>
      </c>
      <c r="E43" s="26">
        <v>1.6E-2</v>
      </c>
      <c r="F43" s="57">
        <v>0.95331999999999995</v>
      </c>
      <c r="G43" s="51">
        <v>0.95323999999999998</v>
      </c>
      <c r="H43" s="58">
        <v>0.95340000000000003</v>
      </c>
      <c r="I43" s="21">
        <v>17.097517181239454</v>
      </c>
      <c r="J43" s="22">
        <v>17.064171945356854</v>
      </c>
      <c r="K43" s="22">
        <f t="shared" si="26"/>
        <v>17.080844563298154</v>
      </c>
      <c r="L43" s="26">
        <f t="shared" si="27"/>
        <v>1.6672617941299706E-2</v>
      </c>
      <c r="M43" s="21">
        <v>16.893453347314015</v>
      </c>
      <c r="N43" s="22">
        <v>16.860687309866208</v>
      </c>
      <c r="O43" s="22">
        <f t="shared" si="28"/>
        <v>16.877070328590111</v>
      </c>
      <c r="P43" s="26">
        <f t="shared" si="29"/>
        <v>1.6383018723903575E-2</v>
      </c>
      <c r="Q43" s="22">
        <f t="shared" si="30"/>
        <v>16.978957445944133</v>
      </c>
      <c r="R43" s="22">
        <f t="shared" si="31"/>
        <v>0.11918710460713583</v>
      </c>
      <c r="S43" s="23">
        <v>1758.319593759971</v>
      </c>
      <c r="T43" s="24">
        <v>1758.2510836986366</v>
      </c>
      <c r="U43" s="25">
        <f t="shared" si="32"/>
        <v>1758.2853387293039</v>
      </c>
      <c r="V43" s="21">
        <v>17.472395115147073</v>
      </c>
      <c r="W43" s="22">
        <v>17.43858578015077</v>
      </c>
      <c r="X43" s="22">
        <f t="shared" si="33"/>
        <v>17.45549044764892</v>
      </c>
      <c r="Y43" s="26">
        <f t="shared" si="34"/>
        <v>1.6904667498151227E-2</v>
      </c>
      <c r="Z43" s="21">
        <v>17.260368621104185</v>
      </c>
      <c r="AA43" s="22">
        <v>17.227167025228297</v>
      </c>
      <c r="AB43" s="22">
        <f t="shared" si="35"/>
        <v>17.243767823166241</v>
      </c>
      <c r="AC43" s="26">
        <f t="shared" si="36"/>
        <v>1.6600797937943668E-2</v>
      </c>
      <c r="AD43" s="22">
        <f t="shared" si="37"/>
        <v>17.349629135407582</v>
      </c>
      <c r="AE43" s="26">
        <f t="shared" si="38"/>
        <v>0.12375941481847375</v>
      </c>
    </row>
    <row r="44" spans="1:31">
      <c r="A44" s="49" t="s">
        <v>104</v>
      </c>
      <c r="B44" s="50">
        <v>1700</v>
      </c>
      <c r="C44" s="50">
        <v>7</v>
      </c>
      <c r="D44" s="21">
        <v>16.892000000000003</v>
      </c>
      <c r="E44" s="26">
        <v>1.0500000000000001E-2</v>
      </c>
      <c r="F44" s="57">
        <v>0.95430999999999999</v>
      </c>
      <c r="G44" s="51">
        <v>0.95425000000000004</v>
      </c>
      <c r="H44" s="58">
        <v>0.95435999999999999</v>
      </c>
      <c r="I44" s="21">
        <v>16.887508715232599</v>
      </c>
      <c r="J44" s="22">
        <v>16.864705753357363</v>
      </c>
      <c r="K44" s="22">
        <f t="shared" si="26"/>
        <v>16.876107234294981</v>
      </c>
      <c r="L44" s="26">
        <f t="shared" si="27"/>
        <v>1.1401480937617947E-2</v>
      </c>
      <c r="M44" s="21">
        <v>16.687090916659258</v>
      </c>
      <c r="N44" s="22">
        <v>16.664683584539372</v>
      </c>
      <c r="O44" s="22">
        <f t="shared" si="28"/>
        <v>16.675887250599317</v>
      </c>
      <c r="P44" s="26">
        <f t="shared" si="29"/>
        <v>1.1203666059943274E-2</v>
      </c>
      <c r="Q44" s="22">
        <f t="shared" si="30"/>
        <v>16.775997242447147</v>
      </c>
      <c r="R44" s="22">
        <f t="shared" si="31"/>
        <v>0.1163315286477974</v>
      </c>
      <c r="S44" s="23">
        <v>1757.8866150149524</v>
      </c>
      <c r="T44" s="24">
        <v>1757.8393856181656</v>
      </c>
      <c r="U44" s="25">
        <f t="shared" si="32"/>
        <v>1757.863000316559</v>
      </c>
      <c r="V44" s="21">
        <v>17.259455270525255</v>
      </c>
      <c r="W44" s="22">
        <v>17.236332795980953</v>
      </c>
      <c r="X44" s="22">
        <f t="shared" si="33"/>
        <v>17.247894033253104</v>
      </c>
      <c r="Y44" s="26">
        <f t="shared" si="34"/>
        <v>1.1561237272150748E-2</v>
      </c>
      <c r="Z44" s="21">
        <v>17.051254111243004</v>
      </c>
      <c r="AA44" s="22">
        <v>17.028546670215661</v>
      </c>
      <c r="AB44" s="22">
        <f t="shared" si="35"/>
        <v>17.039900390729333</v>
      </c>
      <c r="AC44" s="26">
        <f t="shared" si="36"/>
        <v>1.1353720513671561E-2</v>
      </c>
      <c r="AD44" s="22">
        <f t="shared" si="37"/>
        <v>17.143897211991217</v>
      </c>
      <c r="AE44" s="26">
        <f t="shared" si="38"/>
        <v>0.12081182845488458</v>
      </c>
    </row>
    <row r="45" spans="1:31">
      <c r="A45" s="49" t="s">
        <v>105</v>
      </c>
      <c r="B45" s="50">
        <v>1500</v>
      </c>
      <c r="C45" s="50">
        <v>7</v>
      </c>
      <c r="D45" s="21">
        <v>16.486000000000001</v>
      </c>
      <c r="E45" s="26">
        <v>1.55E-2</v>
      </c>
      <c r="F45" s="57">
        <v>0.94989999999999997</v>
      </c>
      <c r="G45" s="51">
        <v>0.94982999999999995</v>
      </c>
      <c r="H45" s="58">
        <v>0.94998000000000005</v>
      </c>
      <c r="I45" s="21">
        <v>16.530211908856295</v>
      </c>
      <c r="J45" s="22">
        <v>16.498444898784474</v>
      </c>
      <c r="K45" s="22">
        <f t="shared" si="26"/>
        <v>16.514328403820386</v>
      </c>
      <c r="L45" s="26">
        <f t="shared" si="27"/>
        <v>1.5883505035910517E-2</v>
      </c>
      <c r="M45" s="21">
        <v>16.342321621778709</v>
      </c>
      <c r="N45" s="22">
        <v>16.3110471163059</v>
      </c>
      <c r="O45" s="22">
        <f t="shared" si="28"/>
        <v>16.326684369042304</v>
      </c>
      <c r="P45" s="26">
        <f t="shared" si="29"/>
        <v>1.563725273640415E-2</v>
      </c>
      <c r="Q45" s="22">
        <f t="shared" si="30"/>
        <v>16.420506386431345</v>
      </c>
      <c r="R45" s="22">
        <f t="shared" si="31"/>
        <v>0.10985430138526381</v>
      </c>
      <c r="S45" s="23">
        <v>1546.058628777105</v>
      </c>
      <c r="T45" s="24">
        <v>1546.0047892189871</v>
      </c>
      <c r="U45" s="25">
        <f t="shared" si="32"/>
        <v>1546.031708998046</v>
      </c>
      <c r="V45" s="21">
        <v>16.825726546310108</v>
      </c>
      <c r="W45" s="22">
        <v>16.793596434040353</v>
      </c>
      <c r="X45" s="22">
        <f t="shared" si="33"/>
        <v>16.80966149017523</v>
      </c>
      <c r="Y45" s="26">
        <f t="shared" si="34"/>
        <v>1.6065056134877409E-2</v>
      </c>
      <c r="Z45" s="21">
        <v>16.631245687916639</v>
      </c>
      <c r="AA45" s="22">
        <v>16.599630090514317</v>
      </c>
      <c r="AB45" s="22">
        <f t="shared" si="35"/>
        <v>16.615437889215478</v>
      </c>
      <c r="AC45" s="26">
        <f t="shared" si="36"/>
        <v>1.5807798701160891E-2</v>
      </c>
      <c r="AD45" s="22">
        <f t="shared" si="37"/>
        <v>16.712549689695354</v>
      </c>
      <c r="AE45" s="26">
        <f t="shared" si="38"/>
        <v>0.11363501840917326</v>
      </c>
    </row>
    <row r="46" spans="1:31">
      <c r="A46" s="49" t="s">
        <v>106</v>
      </c>
      <c r="B46" s="50">
        <v>1300</v>
      </c>
      <c r="C46" s="50">
        <v>7</v>
      </c>
      <c r="D46" s="21">
        <v>16.0535</v>
      </c>
      <c r="E46" s="26">
        <v>1.7500000000000002E-2</v>
      </c>
      <c r="F46" s="57">
        <v>0.94576000000000005</v>
      </c>
      <c r="G46" s="51">
        <v>0.94567000000000001</v>
      </c>
      <c r="H46" s="58">
        <v>0.94584000000000001</v>
      </c>
      <c r="I46" s="21">
        <v>16.139705975845086</v>
      </c>
      <c r="J46" s="22">
        <v>16.102975624228648</v>
      </c>
      <c r="K46" s="22">
        <f t="shared" si="26"/>
        <v>16.121340800036869</v>
      </c>
      <c r="L46" s="26">
        <f t="shared" si="27"/>
        <v>1.8365175808218837E-2</v>
      </c>
      <c r="M46" s="21">
        <v>15.968234871682018</v>
      </c>
      <c r="N46" s="22">
        <v>15.932005965808701</v>
      </c>
      <c r="O46" s="22">
        <f t="shared" si="28"/>
        <v>15.95012041874536</v>
      </c>
      <c r="P46" s="26">
        <f t="shared" si="29"/>
        <v>1.8114452936658587E-2</v>
      </c>
      <c r="Q46" s="22">
        <f t="shared" si="30"/>
        <v>16.035730609391113</v>
      </c>
      <c r="R46" s="22">
        <f t="shared" si="31"/>
        <v>0.10107298541966538</v>
      </c>
      <c r="S46" s="23">
        <v>1335.6524776016695</v>
      </c>
      <c r="T46" s="24">
        <v>1335.6027744996525</v>
      </c>
      <c r="U46" s="25">
        <f t="shared" si="32"/>
        <v>1335.6276260506611</v>
      </c>
      <c r="V46" s="21">
        <v>16.36772374607019</v>
      </c>
      <c r="W46" s="22">
        <v>16.330660036478914</v>
      </c>
      <c r="X46" s="22">
        <f t="shared" si="33"/>
        <v>16.34919189127455</v>
      </c>
      <c r="Y46" s="26">
        <f t="shared" si="34"/>
        <v>1.8531854795638125E-2</v>
      </c>
      <c r="Z46" s="21">
        <v>16.190870451101699</v>
      </c>
      <c r="AA46" s="22">
        <v>16.154328322083899</v>
      </c>
      <c r="AB46" s="22">
        <f t="shared" si="35"/>
        <v>16.1725993865928</v>
      </c>
      <c r="AC46" s="26">
        <f t="shared" si="36"/>
        <v>1.8271064508899926E-2</v>
      </c>
      <c r="AD46" s="22">
        <f t="shared" si="37"/>
        <v>16.260895638933675</v>
      </c>
      <c r="AE46" s="26">
        <f t="shared" si="38"/>
        <v>0.10414642831239287</v>
      </c>
    </row>
    <row r="47" spans="1:31">
      <c r="A47" s="49" t="s">
        <v>107</v>
      </c>
      <c r="B47" s="50">
        <v>1100</v>
      </c>
      <c r="C47" s="50">
        <v>7</v>
      </c>
      <c r="D47" s="21">
        <v>15.595500000000001</v>
      </c>
      <c r="E47" s="26">
        <v>1.6500000000000001E-2</v>
      </c>
      <c r="F47" s="57">
        <v>0.94188000000000005</v>
      </c>
      <c r="G47" s="51">
        <v>0.94179999999999997</v>
      </c>
      <c r="H47" s="58">
        <v>0.94196000000000002</v>
      </c>
      <c r="I47" s="21">
        <v>15.709274273026423</v>
      </c>
      <c r="J47" s="22">
        <v>15.674056656115905</v>
      </c>
      <c r="K47" s="22">
        <f t="shared" si="26"/>
        <v>15.691665464571164</v>
      </c>
      <c r="L47" s="26">
        <f t="shared" si="27"/>
        <v>1.7608808455259251E-2</v>
      </c>
      <c r="M47" s="21">
        <v>15.557917895803829</v>
      </c>
      <c r="N47" s="22">
        <v>15.523116072458361</v>
      </c>
      <c r="O47" s="22">
        <f t="shared" si="28"/>
        <v>15.540516984131095</v>
      </c>
      <c r="P47" s="26">
        <f t="shared" si="29"/>
        <v>1.7400911672734054E-2</v>
      </c>
      <c r="Q47" s="22">
        <f t="shared" si="30"/>
        <v>15.616091224351131</v>
      </c>
      <c r="R47" s="22">
        <f t="shared" si="31"/>
        <v>8.957601402134123E-2</v>
      </c>
      <c r="S47" s="23">
        <v>1126.6482588076101</v>
      </c>
      <c r="T47" s="24">
        <v>1126.6113835943595</v>
      </c>
      <c r="U47" s="25">
        <f t="shared" si="32"/>
        <v>1126.6298212009847</v>
      </c>
      <c r="V47" s="21">
        <v>15.87863584293857</v>
      </c>
      <c r="W47" s="22">
        <v>15.843173276947516</v>
      </c>
      <c r="X47" s="22">
        <f t="shared" si="33"/>
        <v>15.860904559943043</v>
      </c>
      <c r="Y47" s="26">
        <f t="shared" si="34"/>
        <v>1.7731282995526954E-2</v>
      </c>
      <c r="Z47" s="21">
        <v>15.723076674936724</v>
      </c>
      <c r="AA47" s="22">
        <v>15.6880446120489</v>
      </c>
      <c r="AB47" s="22">
        <f t="shared" si="35"/>
        <v>15.705560643492813</v>
      </c>
      <c r="AC47" s="26">
        <f t="shared" si="36"/>
        <v>1.7516031443912006E-2</v>
      </c>
      <c r="AD47" s="22">
        <f t="shared" si="37"/>
        <v>15.783232601717927</v>
      </c>
      <c r="AE47" s="26">
        <f t="shared" si="38"/>
        <v>9.1967660777252533E-2</v>
      </c>
    </row>
    <row r="48" spans="1:31">
      <c r="A48" s="49" t="s">
        <v>108</v>
      </c>
      <c r="B48" s="50">
        <v>900</v>
      </c>
      <c r="C48" s="50">
        <v>7</v>
      </c>
      <c r="D48" s="21">
        <v>15.068999999999999</v>
      </c>
      <c r="E48" s="26">
        <v>1.0500000000000001E-2</v>
      </c>
      <c r="F48" s="57">
        <v>0.9385</v>
      </c>
      <c r="G48" s="51">
        <v>0.93845000000000001</v>
      </c>
      <c r="H48" s="58">
        <v>0.93855</v>
      </c>
      <c r="I48" s="21">
        <v>15.189687248756343</v>
      </c>
      <c r="J48" s="22">
        <v>15.167320410703772</v>
      </c>
      <c r="K48" s="22">
        <f t="shared" si="26"/>
        <v>15.178503829730058</v>
      </c>
      <c r="L48" s="26">
        <f t="shared" si="27"/>
        <v>1.1183419026285613E-2</v>
      </c>
      <c r="M48" s="21">
        <v>15.062230756265993</v>
      </c>
      <c r="N48" s="22">
        <v>15.040087174799547</v>
      </c>
      <c r="O48" s="22">
        <f t="shared" si="28"/>
        <v>15.051158965532771</v>
      </c>
      <c r="P48" s="26">
        <f t="shared" si="29"/>
        <v>1.1071790733223175E-2</v>
      </c>
      <c r="Q48" s="22">
        <f t="shared" si="30"/>
        <v>15.114831397631415</v>
      </c>
      <c r="R48" s="22">
        <f t="shared" si="31"/>
        <v>7.4636946301727819E-2</v>
      </c>
      <c r="S48" s="23">
        <v>918.99224489217295</v>
      </c>
      <c r="T48" s="24">
        <v>918.97482832278229</v>
      </c>
      <c r="U48" s="25">
        <f t="shared" si="32"/>
        <v>918.98353660747762</v>
      </c>
      <c r="V48" s="21">
        <v>15.308900521544935</v>
      </c>
      <c r="W48" s="22">
        <v>15.286420016676168</v>
      </c>
      <c r="X48" s="22">
        <f t="shared" si="33"/>
        <v>15.297660269110551</v>
      </c>
      <c r="Y48" s="26">
        <f t="shared" si="34"/>
        <v>1.1240252434383535E-2</v>
      </c>
      <c r="Z48" s="21">
        <v>15.178362510595081</v>
      </c>
      <c r="AA48" s="22">
        <v>15.156112012579349</v>
      </c>
      <c r="AB48" s="22">
        <f t="shared" si="35"/>
        <v>15.167237261587214</v>
      </c>
      <c r="AC48" s="26">
        <f t="shared" si="36"/>
        <v>1.1125249007865712E-2</v>
      </c>
      <c r="AD48" s="22">
        <f t="shared" si="37"/>
        <v>15.232448765348883</v>
      </c>
      <c r="AE48" s="26">
        <f t="shared" si="38"/>
        <v>7.6398930559669398E-2</v>
      </c>
    </row>
    <row r="49" spans="1:31">
      <c r="A49" s="49" t="s">
        <v>109</v>
      </c>
      <c r="B49" s="50">
        <v>700</v>
      </c>
      <c r="C49" s="50">
        <v>7</v>
      </c>
      <c r="D49" s="21">
        <v>14.598500000000001</v>
      </c>
      <c r="E49" s="26">
        <v>0.01</v>
      </c>
      <c r="F49" s="57">
        <v>0.93510000000000004</v>
      </c>
      <c r="G49" s="51">
        <v>0.93505000000000005</v>
      </c>
      <c r="H49" s="58">
        <v>0.93513999999999997</v>
      </c>
      <c r="I49" s="21">
        <v>14.716555463703877</v>
      </c>
      <c r="J49" s="22">
        <v>14.696091104322704</v>
      </c>
      <c r="K49" s="22">
        <f t="shared" si="26"/>
        <v>14.70632328401329</v>
      </c>
      <c r="L49" s="26">
        <f t="shared" si="27"/>
        <v>1.0232179690586207E-2</v>
      </c>
      <c r="M49" s="21">
        <v>14.614809591907605</v>
      </c>
      <c r="N49" s="22">
        <v>14.594513227831046</v>
      </c>
      <c r="O49" s="22">
        <f t="shared" si="28"/>
        <v>14.604661409869326</v>
      </c>
      <c r="P49" s="26">
        <f t="shared" si="29"/>
        <v>1.0148182038279607E-2</v>
      </c>
      <c r="Q49" s="22">
        <f t="shared" si="30"/>
        <v>14.655492346941308</v>
      </c>
      <c r="R49" s="22">
        <f t="shared" si="31"/>
        <v>5.9862350032577331E-2</v>
      </c>
      <c r="S49" s="23">
        <v>712.76721207761761</v>
      </c>
      <c r="T49" s="24">
        <v>712.75606271991433</v>
      </c>
      <c r="U49" s="25">
        <f t="shared" si="32"/>
        <v>712.76163739876597</v>
      </c>
      <c r="V49" s="21">
        <v>14.794640871098185</v>
      </c>
      <c r="W49" s="22">
        <v>14.774106207577628</v>
      </c>
      <c r="X49" s="22">
        <f t="shared" si="33"/>
        <v>14.784373539337906</v>
      </c>
      <c r="Y49" s="26">
        <f t="shared" si="34"/>
        <v>1.0267331760278608E-2</v>
      </c>
      <c r="Z49" s="21">
        <v>14.690797838374042</v>
      </c>
      <c r="AA49" s="22">
        <v>14.670435304428588</v>
      </c>
      <c r="AB49" s="22">
        <f t="shared" si="35"/>
        <v>14.680616571401316</v>
      </c>
      <c r="AC49" s="26">
        <f t="shared" si="36"/>
        <v>1.018126697272681E-2</v>
      </c>
      <c r="AD49" s="22">
        <f t="shared" si="37"/>
        <v>14.732495055369609</v>
      </c>
      <c r="AE49" s="26">
        <f t="shared" si="38"/>
        <v>6.1056424703400142E-2</v>
      </c>
    </row>
    <row r="50" spans="1:31">
      <c r="A50" s="49" t="s">
        <v>56</v>
      </c>
      <c r="B50" s="50">
        <v>500</v>
      </c>
      <c r="C50" s="50">
        <v>7</v>
      </c>
      <c r="D50" s="21">
        <v>14.2165</v>
      </c>
      <c r="E50" s="26">
        <v>1.7000000000000001E-2</v>
      </c>
      <c r="F50" s="57">
        <v>0.93159999999999998</v>
      </c>
      <c r="G50" s="51">
        <v>0.93152000000000001</v>
      </c>
      <c r="H50" s="58">
        <v>0.93167999999999995</v>
      </c>
      <c r="I50" s="21">
        <v>14.337362356515316</v>
      </c>
      <c r="J50" s="22">
        <v>14.300335189616254</v>
      </c>
      <c r="K50" s="22">
        <f t="shared" si="26"/>
        <v>14.318848773065785</v>
      </c>
      <c r="L50" s="26">
        <f t="shared" si="27"/>
        <v>1.8513583449530913E-2</v>
      </c>
      <c r="M50" s="21">
        <v>14.262146918419489</v>
      </c>
      <c r="N50" s="22">
        <v>14.225362264984396</v>
      </c>
      <c r="O50" s="22">
        <f t="shared" si="28"/>
        <v>14.243754591701943</v>
      </c>
      <c r="P50" s="26">
        <f t="shared" si="29"/>
        <v>1.8392326717546759E-2</v>
      </c>
      <c r="Q50" s="22">
        <f t="shared" si="30"/>
        <v>14.281301682383864</v>
      </c>
      <c r="R50" s="22">
        <f t="shared" si="31"/>
        <v>4.8308718961698409E-2</v>
      </c>
      <c r="S50" s="23">
        <v>507.89734194159729</v>
      </c>
      <c r="T50" s="24">
        <v>507.88444276466561</v>
      </c>
      <c r="U50" s="25">
        <f t="shared" si="32"/>
        <v>507.89089235313145</v>
      </c>
      <c r="V50" s="21">
        <v>14.382651285578623</v>
      </c>
      <c r="W50" s="22">
        <v>14.345549169267262</v>
      </c>
      <c r="X50" s="22">
        <f t="shared" si="33"/>
        <v>14.364100227422941</v>
      </c>
      <c r="Y50" s="26">
        <f t="shared" si="34"/>
        <v>1.85510581556807E-2</v>
      </c>
      <c r="Z50" s="21">
        <v>14.306177895949903</v>
      </c>
      <c r="AA50" s="22">
        <v>14.269322662805543</v>
      </c>
      <c r="AB50" s="22">
        <f t="shared" si="35"/>
        <v>14.287750279377722</v>
      </c>
      <c r="AC50" s="26">
        <f t="shared" si="36"/>
        <v>1.842761657217995E-2</v>
      </c>
      <c r="AD50" s="22">
        <f t="shared" si="37"/>
        <v>14.325925253400332</v>
      </c>
      <c r="AE50" s="26">
        <f t="shared" si="38"/>
        <v>4.897874433180581E-2</v>
      </c>
    </row>
    <row r="51" spans="1:31">
      <c r="A51" s="49" t="s">
        <v>57</v>
      </c>
      <c r="B51" s="50">
        <v>307</v>
      </c>
      <c r="C51" s="50">
        <v>7</v>
      </c>
      <c r="D51" s="21">
        <v>13.792</v>
      </c>
      <c r="E51" s="26">
        <v>1.7999999999999999E-2</v>
      </c>
      <c r="F51" s="57">
        <v>0.92898000000000003</v>
      </c>
      <c r="G51" s="51">
        <v>0.92891000000000001</v>
      </c>
      <c r="H51" s="58">
        <v>0.92906</v>
      </c>
      <c r="I51" s="21">
        <v>13.926363275697339</v>
      </c>
      <c r="J51" s="22">
        <v>13.891146091014871</v>
      </c>
      <c r="K51" s="22">
        <f t="shared" si="26"/>
        <v>13.908754683356104</v>
      </c>
      <c r="L51" s="26">
        <f t="shared" si="27"/>
        <v>1.7608592341233908E-2</v>
      </c>
      <c r="M51" s="21">
        <v>13.876047455778641</v>
      </c>
      <c r="N51" s="22">
        <v>13.841013821821925</v>
      </c>
      <c r="O51" s="22">
        <f t="shared" si="28"/>
        <v>13.858530638800282</v>
      </c>
      <c r="P51" s="26">
        <f t="shared" si="29"/>
        <v>1.7516816978358385E-2</v>
      </c>
      <c r="Q51" s="22">
        <f t="shared" si="30"/>
        <v>13.883642661078193</v>
      </c>
      <c r="R51" s="22">
        <f t="shared" si="31"/>
        <v>3.5384824685785597E-2</v>
      </c>
      <c r="S51" s="23">
        <v>311.35722623833624</v>
      </c>
      <c r="T51" s="24">
        <v>311.35020662851065</v>
      </c>
      <c r="U51" s="25">
        <f t="shared" si="32"/>
        <v>311.35371643342341</v>
      </c>
      <c r="V51" s="21">
        <v>13.946635148883249</v>
      </c>
      <c r="W51" s="22">
        <v>13.911386494539617</v>
      </c>
      <c r="X51" s="22">
        <f t="shared" si="33"/>
        <v>13.929010821711433</v>
      </c>
      <c r="Y51" s="26">
        <f t="shared" si="34"/>
        <v>1.762432717181639E-2</v>
      </c>
      <c r="Z51" s="21">
        <v>13.895753406381504</v>
      </c>
      <c r="AA51" s="22">
        <v>13.86069009297997</v>
      </c>
      <c r="AB51" s="22">
        <f t="shared" si="35"/>
        <v>13.878221749680737</v>
      </c>
      <c r="AC51" s="26">
        <f t="shared" si="36"/>
        <v>1.7531656700766618E-2</v>
      </c>
      <c r="AD51" s="22">
        <f t="shared" si="37"/>
        <v>13.903616285696085</v>
      </c>
      <c r="AE51" s="26">
        <f t="shared" si="38"/>
        <v>3.566268651127652E-2</v>
      </c>
    </row>
    <row r="52" spans="1:31">
      <c r="A52" s="49" t="s">
        <v>58</v>
      </c>
      <c r="B52" s="50">
        <v>1700</v>
      </c>
      <c r="C52" s="50">
        <v>8</v>
      </c>
      <c r="D52" s="21">
        <v>17.864000000000001</v>
      </c>
      <c r="E52" s="26">
        <v>1.7000000000000001E-2</v>
      </c>
      <c r="F52" s="57">
        <v>0.94952000000000003</v>
      </c>
      <c r="G52" s="51">
        <v>0.94943999999999995</v>
      </c>
      <c r="H52" s="58">
        <v>0.94960999999999995</v>
      </c>
      <c r="I52" s="21">
        <v>17.898009024223207</v>
      </c>
      <c r="J52" s="22">
        <v>17.861844937298013</v>
      </c>
      <c r="K52" s="22">
        <f t="shared" si="26"/>
        <v>17.879926980760608</v>
      </c>
      <c r="L52" s="26">
        <f t="shared" si="27"/>
        <v>1.8082043462596786E-2</v>
      </c>
      <c r="M52" s="21">
        <v>17.680014934708154</v>
      </c>
      <c r="N52" s="22">
        <v>17.644481069107421</v>
      </c>
      <c r="O52" s="22">
        <f t="shared" si="28"/>
        <v>17.662248001907788</v>
      </c>
      <c r="P52" s="26">
        <f t="shared" si="29"/>
        <v>1.7766932800366675E-2</v>
      </c>
      <c r="Q52" s="22">
        <f t="shared" si="30"/>
        <v>17.7710874913342</v>
      </c>
      <c r="R52" s="22">
        <f t="shared" si="31"/>
        <v>0.12737004648953559</v>
      </c>
      <c r="S52" s="23">
        <v>1759.9379387286833</v>
      </c>
      <c r="T52" s="24">
        <v>1759.8658938400429</v>
      </c>
      <c r="U52" s="25">
        <f t="shared" si="32"/>
        <v>1759.9019162843631</v>
      </c>
      <c r="V52" s="21">
        <v>18.28387982387941</v>
      </c>
      <c r="W52" s="22">
        <v>18.247225120644032</v>
      </c>
      <c r="X52" s="22">
        <f t="shared" si="33"/>
        <v>18.265552472261721</v>
      </c>
      <c r="Y52" s="26">
        <f t="shared" si="34"/>
        <v>1.8327351617688947E-2</v>
      </c>
      <c r="Z52" s="21">
        <v>18.057230066773968</v>
      </c>
      <c r="AA52" s="22">
        <v>18.021237210666147</v>
      </c>
      <c r="AB52" s="22">
        <f t="shared" si="35"/>
        <v>18.039233638720056</v>
      </c>
      <c r="AC52" s="26">
        <f t="shared" si="36"/>
        <v>1.7996428053910662E-2</v>
      </c>
      <c r="AD52" s="22">
        <f t="shared" si="37"/>
        <v>18.15239305549089</v>
      </c>
      <c r="AE52" s="26">
        <f t="shared" si="38"/>
        <v>0.13233762490399956</v>
      </c>
    </row>
    <row r="53" spans="1:31">
      <c r="A53" s="49" t="s">
        <v>59</v>
      </c>
      <c r="B53" s="50">
        <v>1500</v>
      </c>
      <c r="C53" s="50">
        <v>8</v>
      </c>
      <c r="D53" s="21">
        <v>17.4755</v>
      </c>
      <c r="E53" s="26">
        <v>1.6500000000000001E-2</v>
      </c>
      <c r="F53" s="57">
        <v>0.94513999999999998</v>
      </c>
      <c r="G53" s="51">
        <v>0.94506000000000001</v>
      </c>
      <c r="H53" s="58">
        <v>0.94521999999999995</v>
      </c>
      <c r="I53" s="21">
        <v>17.553930946822938</v>
      </c>
      <c r="J53" s="22">
        <v>17.519163658770449</v>
      </c>
      <c r="K53" s="22">
        <f t="shared" si="26"/>
        <v>17.536547302796691</v>
      </c>
      <c r="L53" s="26">
        <f t="shared" si="27"/>
        <v>1.7383644026244482E-2</v>
      </c>
      <c r="M53" s="21">
        <v>17.350137325482052</v>
      </c>
      <c r="N53" s="22">
        <v>17.315910886731551</v>
      </c>
      <c r="O53" s="22">
        <f t="shared" si="28"/>
        <v>17.333024106106802</v>
      </c>
      <c r="P53" s="26">
        <f t="shared" si="29"/>
        <v>1.7113219375250566E-2</v>
      </c>
      <c r="Q53" s="22">
        <f t="shared" si="30"/>
        <v>17.434785704451748</v>
      </c>
      <c r="R53" s="22">
        <f t="shared" si="31"/>
        <v>0.11918025326496777</v>
      </c>
      <c r="S53" s="23">
        <v>1547.7579142878214</v>
      </c>
      <c r="T53" s="24">
        <v>1547.7013106214997</v>
      </c>
      <c r="U53" s="25">
        <f t="shared" si="32"/>
        <v>1547.7296124546606</v>
      </c>
      <c r="V53" s="21">
        <v>17.86094439612787</v>
      </c>
      <c r="W53" s="22">
        <v>17.825792850985064</v>
      </c>
      <c r="X53" s="22">
        <f t="shared" si="33"/>
        <v>17.843368623556465</v>
      </c>
      <c r="Y53" s="26">
        <f t="shared" si="34"/>
        <v>1.7575772571403192E-2</v>
      </c>
      <c r="Z53" s="21">
        <v>17.649840931852406</v>
      </c>
      <c r="AA53" s="22">
        <v>17.615254971332458</v>
      </c>
      <c r="AB53" s="22">
        <f t="shared" si="35"/>
        <v>17.632547951592432</v>
      </c>
      <c r="AC53" s="26">
        <f t="shared" si="36"/>
        <v>1.7292980259973945E-2</v>
      </c>
      <c r="AD53" s="22">
        <f t="shared" si="37"/>
        <v>17.73795828757445</v>
      </c>
      <c r="AE53" s="26">
        <f t="shared" si="38"/>
        <v>0.12337107389615846</v>
      </c>
    </row>
    <row r="54" spans="1:31">
      <c r="A54" s="49" t="s">
        <v>60</v>
      </c>
      <c r="B54" s="50">
        <v>1300</v>
      </c>
      <c r="C54" s="50">
        <v>8</v>
      </c>
      <c r="D54" s="21">
        <v>16.9605</v>
      </c>
      <c r="E54" s="26">
        <v>1.7000000000000001E-2</v>
      </c>
      <c r="F54" s="57">
        <v>0.94147999999999998</v>
      </c>
      <c r="G54" s="51">
        <v>0.94138999999999995</v>
      </c>
      <c r="H54" s="58">
        <v>0.94155</v>
      </c>
      <c r="I54" s="21">
        <v>17.075612392122856</v>
      </c>
      <c r="J54" s="22">
        <v>17.04023587402871</v>
      </c>
      <c r="K54" s="22">
        <f t="shared" si="26"/>
        <v>17.057924133075783</v>
      </c>
      <c r="L54" s="26">
        <f t="shared" si="27"/>
        <v>1.7688259047073274E-2</v>
      </c>
      <c r="M54" s="21">
        <v>16.891345923459216</v>
      </c>
      <c r="N54" s="22">
        <v>16.856453483480834</v>
      </c>
      <c r="O54" s="22">
        <f t="shared" si="28"/>
        <v>16.873899703470023</v>
      </c>
      <c r="P54" s="26">
        <f t="shared" si="29"/>
        <v>1.7446219989190936E-2</v>
      </c>
      <c r="Q54" s="22">
        <f t="shared" si="30"/>
        <v>16.965911918272905</v>
      </c>
      <c r="R54" s="22">
        <f t="shared" si="31"/>
        <v>0.10816573840143009</v>
      </c>
      <c r="S54" s="23">
        <v>1336.894455094673</v>
      </c>
      <c r="T54" s="24">
        <v>1336.8483447770143</v>
      </c>
      <c r="U54" s="25">
        <f t="shared" si="32"/>
        <v>1336.8713999358438</v>
      </c>
      <c r="V54" s="21">
        <v>17.311985103578237</v>
      </c>
      <c r="W54" s="22">
        <v>17.276297519198394</v>
      </c>
      <c r="X54" s="22">
        <f t="shared" si="33"/>
        <v>17.294141311388316</v>
      </c>
      <c r="Y54" s="26">
        <f t="shared" si="34"/>
        <v>1.7843792189921714E-2</v>
      </c>
      <c r="Z54" s="21">
        <v>17.121817066858217</v>
      </c>
      <c r="AA54" s="22">
        <v>17.08663340789969</v>
      </c>
      <c r="AB54" s="22">
        <f t="shared" si="35"/>
        <v>17.104225237378955</v>
      </c>
      <c r="AC54" s="26">
        <f t="shared" si="36"/>
        <v>1.759182947926341E-2</v>
      </c>
      <c r="AD54" s="22">
        <f t="shared" si="37"/>
        <v>17.199183274383635</v>
      </c>
      <c r="AE54" s="26">
        <f t="shared" si="38"/>
        <v>0.11154051869973648</v>
      </c>
    </row>
    <row r="55" spans="1:31">
      <c r="A55" s="49" t="s">
        <v>61</v>
      </c>
      <c r="B55" s="50">
        <v>1100</v>
      </c>
      <c r="C55" s="50">
        <v>8</v>
      </c>
      <c r="D55" s="21">
        <v>16.513500000000001</v>
      </c>
      <c r="E55" s="26">
        <v>1.9000000000000003E-2</v>
      </c>
      <c r="F55" s="57">
        <v>0.93762999999999996</v>
      </c>
      <c r="G55" s="51">
        <v>0.93754999999999999</v>
      </c>
      <c r="H55" s="58">
        <v>0.93772</v>
      </c>
      <c r="I55" s="21">
        <v>16.655913254289693</v>
      </c>
      <c r="J55" s="22">
        <v>16.61763120103798</v>
      </c>
      <c r="K55" s="22">
        <f t="shared" si="26"/>
        <v>16.636772227663837</v>
      </c>
      <c r="L55" s="26">
        <f t="shared" si="27"/>
        <v>1.9141026625856483E-2</v>
      </c>
      <c r="M55" s="21">
        <v>16.493369071175024</v>
      </c>
      <c r="N55" s="22">
        <v>16.455539655608991</v>
      </c>
      <c r="O55" s="22">
        <f t="shared" si="28"/>
        <v>16.474454363392006</v>
      </c>
      <c r="P55" s="26">
        <f t="shared" si="29"/>
        <v>1.8914707783016738E-2</v>
      </c>
      <c r="Q55" s="22">
        <f t="shared" si="30"/>
        <v>16.555613295527923</v>
      </c>
      <c r="R55" s="22">
        <f t="shared" si="31"/>
        <v>9.6255526600442079E-2</v>
      </c>
      <c r="S55" s="23">
        <v>1127.6197731607795</v>
      </c>
      <c r="T55" s="24">
        <v>1127.5812026994115</v>
      </c>
      <c r="U55" s="25">
        <f t="shared" si="32"/>
        <v>1127.6004879300954</v>
      </c>
      <c r="V55" s="21">
        <v>16.831746869796756</v>
      </c>
      <c r="W55" s="22">
        <v>16.793207170182356</v>
      </c>
      <c r="X55" s="22">
        <f t="shared" si="33"/>
        <v>16.812477019989558</v>
      </c>
      <c r="Y55" s="26">
        <f t="shared" si="34"/>
        <v>1.9269849807200146E-2</v>
      </c>
      <c r="Z55" s="21">
        <v>16.664599844053015</v>
      </c>
      <c r="AA55" s="22">
        <v>16.626529129529928</v>
      </c>
      <c r="AB55" s="22">
        <f t="shared" si="35"/>
        <v>16.645564486791471</v>
      </c>
      <c r="AC55" s="26">
        <f t="shared" si="36"/>
        <v>1.9035357261543595E-2</v>
      </c>
      <c r="AD55" s="22">
        <f t="shared" si="37"/>
        <v>16.729020753390515</v>
      </c>
      <c r="AE55" s="26">
        <f t="shared" si="38"/>
        <v>9.8872203060204694E-2</v>
      </c>
    </row>
    <row r="56" spans="1:31">
      <c r="A56" s="49" t="s">
        <v>62</v>
      </c>
      <c r="B56" s="50">
        <v>900</v>
      </c>
      <c r="C56" s="50">
        <v>8</v>
      </c>
      <c r="D56" s="21">
        <v>15.9535</v>
      </c>
      <c r="E56" s="26">
        <v>1.7000000000000001E-2</v>
      </c>
      <c r="F56" s="57">
        <v>0.93447999999999998</v>
      </c>
      <c r="G56" s="51">
        <v>0.93440999999999996</v>
      </c>
      <c r="H56" s="58">
        <v>0.93455999999999995</v>
      </c>
      <c r="I56" s="21">
        <v>16.103416080053776</v>
      </c>
      <c r="J56" s="22">
        <v>16.069135355614524</v>
      </c>
      <c r="K56" s="22">
        <f t="shared" si="26"/>
        <v>16.086275717834148</v>
      </c>
      <c r="L56" s="26">
        <f t="shared" si="27"/>
        <v>1.7140362219626226E-2</v>
      </c>
      <c r="M56" s="21">
        <v>15.96683234301773</v>
      </c>
      <c r="N56" s="22">
        <v>15.93289411215736</v>
      </c>
      <c r="O56" s="22">
        <f t="shared" si="28"/>
        <v>15.949863227587546</v>
      </c>
      <c r="P56" s="26">
        <f t="shared" si="29"/>
        <v>1.6969115430184978E-2</v>
      </c>
      <c r="Q56" s="22">
        <f t="shared" si="30"/>
        <v>16.018069472710845</v>
      </c>
      <c r="R56" s="22">
        <f t="shared" si="31"/>
        <v>8.1182619827739777E-2</v>
      </c>
      <c r="S56" s="23">
        <v>919.68997112260797</v>
      </c>
      <c r="T56" s="24">
        <v>919.66426768836561</v>
      </c>
      <c r="U56" s="25">
        <f t="shared" si="32"/>
        <v>919.67711940548679</v>
      </c>
      <c r="V56" s="21">
        <v>16.227194437344888</v>
      </c>
      <c r="W56" s="22">
        <v>16.192745135631384</v>
      </c>
      <c r="X56" s="22">
        <f t="shared" si="33"/>
        <v>16.209969786488138</v>
      </c>
      <c r="Y56" s="26">
        <f t="shared" si="34"/>
        <v>1.7224650856752177E-2</v>
      </c>
      <c r="Z56" s="21">
        <v>16.087250488237405</v>
      </c>
      <c r="AA56" s="22">
        <v>16.053154236264632</v>
      </c>
      <c r="AB56" s="22">
        <f t="shared" si="35"/>
        <v>16.070202362251017</v>
      </c>
      <c r="AC56" s="26">
        <f t="shared" si="36"/>
        <v>1.7048125986386609E-2</v>
      </c>
      <c r="AD56" s="22">
        <f t="shared" si="37"/>
        <v>16.140086074369577</v>
      </c>
      <c r="AE56" s="26">
        <f t="shared" si="38"/>
        <v>8.3085472599903218E-2</v>
      </c>
    </row>
    <row r="57" spans="1:31">
      <c r="A57" s="49" t="s">
        <v>63</v>
      </c>
      <c r="B57" s="50">
        <v>700</v>
      </c>
      <c r="C57" s="50">
        <v>8</v>
      </c>
      <c r="D57" s="21">
        <v>15.5</v>
      </c>
      <c r="E57" s="26">
        <v>1.7000000000000001E-2</v>
      </c>
      <c r="F57" s="57">
        <v>0.93108000000000002</v>
      </c>
      <c r="G57" s="51">
        <v>0.93101</v>
      </c>
      <c r="H57" s="58">
        <v>0.93115000000000003</v>
      </c>
      <c r="I57" s="21">
        <v>15.645413615253579</v>
      </c>
      <c r="J57" s="22">
        <v>15.612888125429684</v>
      </c>
      <c r="K57" s="22">
        <f t="shared" si="26"/>
        <v>15.629150870341633</v>
      </c>
      <c r="L57" s="26">
        <f t="shared" si="27"/>
        <v>1.6262744911947458E-2</v>
      </c>
      <c r="M57" s="21">
        <v>15.5360390103366</v>
      </c>
      <c r="N57" s="22">
        <v>15.503780607553091</v>
      </c>
      <c r="O57" s="22">
        <f t="shared" si="28"/>
        <v>15.519909808944846</v>
      </c>
      <c r="P57" s="26">
        <f t="shared" si="29"/>
        <v>1.6129201391754222E-2</v>
      </c>
      <c r="Q57" s="22">
        <f t="shared" si="30"/>
        <v>15.574530339643239</v>
      </c>
      <c r="R57" s="22">
        <f t="shared" si="31"/>
        <v>6.5784662635779825E-2</v>
      </c>
      <c r="S57" s="23">
        <v>713.26313815410265</v>
      </c>
      <c r="T57" s="24">
        <v>713.24609887072847</v>
      </c>
      <c r="U57" s="25">
        <f t="shared" si="32"/>
        <v>713.25461851241562</v>
      </c>
      <c r="V57" s="21">
        <v>15.726632802309638</v>
      </c>
      <c r="W57" s="22">
        <v>15.693999420701887</v>
      </c>
      <c r="X57" s="22">
        <f t="shared" si="33"/>
        <v>15.710316111505762</v>
      </c>
      <c r="Y57" s="26">
        <f t="shared" si="34"/>
        <v>1.6316690803875211E-2</v>
      </c>
      <c r="Z57" s="21">
        <v>15.614971535100075</v>
      </c>
      <c r="AA57" s="22">
        <v>15.582611935458267</v>
      </c>
      <c r="AB57" s="22">
        <f t="shared" si="35"/>
        <v>15.598791735279171</v>
      </c>
      <c r="AC57" s="26">
        <f t="shared" si="36"/>
        <v>1.6179799820903895E-2</v>
      </c>
      <c r="AD57" s="22">
        <f t="shared" si="37"/>
        <v>15.654553923392466</v>
      </c>
      <c r="AE57" s="26">
        <f t="shared" si="38"/>
        <v>6.7066452455252362E-2</v>
      </c>
    </row>
    <row r="58" spans="1:31">
      <c r="A58" s="49" t="s">
        <v>64</v>
      </c>
      <c r="B58" s="50">
        <v>500</v>
      </c>
      <c r="C58" s="50">
        <v>8</v>
      </c>
      <c r="D58" s="21">
        <v>15.096</v>
      </c>
      <c r="E58" s="26">
        <v>1.7000000000000001E-2</v>
      </c>
      <c r="F58" s="57">
        <v>0.92776000000000003</v>
      </c>
      <c r="G58" s="51">
        <v>0.92769000000000001</v>
      </c>
      <c r="H58" s="58">
        <v>0.92784</v>
      </c>
      <c r="I58" s="21">
        <v>15.233224702463723</v>
      </c>
      <c r="J58" s="22">
        <v>15.197792298122994</v>
      </c>
      <c r="K58" s="22">
        <f t="shared" si="26"/>
        <v>15.215508500293359</v>
      </c>
      <c r="L58" s="26">
        <f t="shared" si="27"/>
        <v>1.771620217036407E-2</v>
      </c>
      <c r="M58" s="21">
        <v>15.152140615613405</v>
      </c>
      <c r="N58" s="22">
        <v>15.11694020371416</v>
      </c>
      <c r="O58" s="22">
        <f t="shared" si="28"/>
        <v>15.134540409663781</v>
      </c>
      <c r="P58" s="26">
        <f t="shared" si="29"/>
        <v>1.7600205949622527E-2</v>
      </c>
      <c r="Q58" s="22">
        <f t="shared" si="30"/>
        <v>15.175024454978571</v>
      </c>
      <c r="R58" s="22">
        <f t="shared" si="31"/>
        <v>5.1000306658620369E-2</v>
      </c>
      <c r="S58" s="23">
        <v>508.2031852378957</v>
      </c>
      <c r="T58" s="24">
        <v>508.19131087956384</v>
      </c>
      <c r="U58" s="25">
        <f t="shared" si="32"/>
        <v>508.19724805872977</v>
      </c>
      <c r="V58" s="21">
        <v>15.280292683466788</v>
      </c>
      <c r="W58" s="22">
        <v>15.244791134803979</v>
      </c>
      <c r="X58" s="22">
        <f t="shared" si="33"/>
        <v>15.262541909135383</v>
      </c>
      <c r="Y58" s="26">
        <f t="shared" si="34"/>
        <v>1.7750774331404706E-2</v>
      </c>
      <c r="Z58" s="21">
        <v>15.197844061572294</v>
      </c>
      <c r="AA58" s="22">
        <v>15.162578751057021</v>
      </c>
      <c r="AB58" s="22">
        <f t="shared" si="35"/>
        <v>15.180211406314658</v>
      </c>
      <c r="AC58" s="26">
        <f t="shared" si="36"/>
        <v>1.7632655257636465E-2</v>
      </c>
      <c r="AD58" s="22">
        <f t="shared" si="37"/>
        <v>15.221376657725019</v>
      </c>
      <c r="AE58" s="26">
        <f t="shared" si="38"/>
        <v>5.173751938491003E-2</v>
      </c>
    </row>
    <row r="59" spans="1:31">
      <c r="A59" s="49" t="s">
        <v>65</v>
      </c>
      <c r="B59" s="50">
        <v>307</v>
      </c>
      <c r="C59" s="50">
        <v>8</v>
      </c>
      <c r="D59" s="21">
        <v>14.698</v>
      </c>
      <c r="E59" s="26">
        <v>1.7000000000000001E-2</v>
      </c>
      <c r="F59" s="57">
        <v>0.92510999999999999</v>
      </c>
      <c r="G59" s="51">
        <v>0.92503999999999997</v>
      </c>
      <c r="H59" s="58">
        <v>0.92518</v>
      </c>
      <c r="I59" s="21">
        <v>14.844788142001825</v>
      </c>
      <c r="J59" s="22">
        <v>14.811231495533413</v>
      </c>
      <c r="K59" s="22">
        <f t="shared" si="26"/>
        <v>14.828009818767619</v>
      </c>
      <c r="L59" s="26">
        <f t="shared" si="27"/>
        <v>1.6778323234206027E-2</v>
      </c>
      <c r="M59" s="21">
        <v>14.789682780787134</v>
      </c>
      <c r="N59" s="22">
        <v>14.75630106979669</v>
      </c>
      <c r="O59" s="22">
        <f t="shared" si="28"/>
        <v>14.772991925291912</v>
      </c>
      <c r="P59" s="26">
        <f t="shared" si="29"/>
        <v>1.6690855495221868E-2</v>
      </c>
      <c r="Q59" s="22">
        <f t="shared" si="30"/>
        <v>14.800500872029765</v>
      </c>
      <c r="R59" s="22">
        <f t="shared" si="31"/>
        <v>3.7180470581260811E-2</v>
      </c>
      <c r="S59" s="23">
        <v>311.53647738248696</v>
      </c>
      <c r="T59" s="24">
        <v>311.53005384546589</v>
      </c>
      <c r="U59" s="25">
        <f t="shared" si="32"/>
        <v>311.53326561397643</v>
      </c>
      <c r="V59" s="21">
        <v>14.865862106759439</v>
      </c>
      <c r="W59" s="22">
        <v>14.832276767527054</v>
      </c>
      <c r="X59" s="22">
        <f t="shared" si="33"/>
        <v>14.849069437143246</v>
      </c>
      <c r="Y59" s="26">
        <f t="shared" si="34"/>
        <v>1.6792669616192413E-2</v>
      </c>
      <c r="Z59" s="21">
        <v>14.810143915039998</v>
      </c>
      <c r="AA59" s="22">
        <v>14.776735232149145</v>
      </c>
      <c r="AB59" s="22">
        <f t="shared" si="35"/>
        <v>14.793439573594572</v>
      </c>
      <c r="AC59" s="26">
        <f t="shared" si="36"/>
        <v>1.6704341445426429E-2</v>
      </c>
      <c r="AD59" s="22">
        <f t="shared" si="37"/>
        <v>14.821254505368907</v>
      </c>
      <c r="AE59" s="26">
        <f t="shared" si="38"/>
        <v>3.7491062358790524E-2</v>
      </c>
    </row>
    <row r="60" spans="1:31">
      <c r="A60" s="49" t="s">
        <v>66</v>
      </c>
      <c r="B60" s="50">
        <v>1700</v>
      </c>
      <c r="C60" s="50">
        <v>9</v>
      </c>
      <c r="D60" s="21">
        <v>18.73</v>
      </c>
      <c r="E60" s="26">
        <v>1.2500000000000001E-2</v>
      </c>
      <c r="F60" s="57">
        <v>0.94535999999999998</v>
      </c>
      <c r="G60" s="51">
        <v>0.94530000000000003</v>
      </c>
      <c r="H60" s="58">
        <v>0.94542000000000004</v>
      </c>
      <c r="I60" s="21">
        <v>18.789047155113153</v>
      </c>
      <c r="J60" s="22">
        <v>18.762938491454427</v>
      </c>
      <c r="K60" s="22">
        <f t="shared" si="26"/>
        <v>18.77599282328379</v>
      </c>
      <c r="L60" s="26">
        <f t="shared" si="27"/>
        <v>1.3054331829362553E-2</v>
      </c>
      <c r="M60" s="21">
        <v>18.555509796687836</v>
      </c>
      <c r="N60" s="22">
        <v>18.529856836559549</v>
      </c>
      <c r="O60" s="22">
        <f t="shared" si="28"/>
        <v>18.542683316623695</v>
      </c>
      <c r="P60" s="26">
        <f t="shared" si="29"/>
        <v>1.2826480064143553E-2</v>
      </c>
      <c r="Q60" s="22">
        <f t="shared" si="30"/>
        <v>18.659338069953741</v>
      </c>
      <c r="R60" s="22">
        <f t="shared" si="31"/>
        <v>0.13552760387792087</v>
      </c>
      <c r="S60" s="23">
        <v>1761.632171103267</v>
      </c>
      <c r="T60" s="24">
        <v>1761.632171103267</v>
      </c>
      <c r="U60" s="25">
        <f t="shared" si="32"/>
        <v>1761.632171103267</v>
      </c>
      <c r="V60" s="21">
        <v>19.186834419337188</v>
      </c>
      <c r="W60" s="22">
        <v>19.160381169469311</v>
      </c>
      <c r="X60" s="22">
        <f t="shared" si="33"/>
        <v>19.173607794403249</v>
      </c>
      <c r="Y60" s="26">
        <f t="shared" si="34"/>
        <v>1.322662493393878E-2</v>
      </c>
      <c r="Z60" s="21">
        <v>18.943853148859173</v>
      </c>
      <c r="AA60" s="22">
        <v>18.917878939295008</v>
      </c>
      <c r="AB60" s="22">
        <f t="shared" si="35"/>
        <v>18.930866044077092</v>
      </c>
      <c r="AC60" s="26">
        <f t="shared" si="36"/>
        <v>1.2987104782082426E-2</v>
      </c>
      <c r="AD60" s="22">
        <f t="shared" si="37"/>
        <v>19.052236919240169</v>
      </c>
      <c r="AE60" s="26">
        <f t="shared" si="38"/>
        <v>0.14096190306478215</v>
      </c>
    </row>
    <row r="61" spans="1:31">
      <c r="A61" s="49" t="s">
        <v>67</v>
      </c>
      <c r="B61" s="50">
        <v>1500</v>
      </c>
      <c r="C61" s="50">
        <v>9</v>
      </c>
      <c r="D61" s="21">
        <v>18.158999999999999</v>
      </c>
      <c r="E61" s="26">
        <v>1.8000000000000002E-2</v>
      </c>
      <c r="F61" s="57">
        <v>0.94191999999999998</v>
      </c>
      <c r="G61" s="51">
        <v>0.94182999999999995</v>
      </c>
      <c r="H61" s="58">
        <v>0.94199999999999995</v>
      </c>
      <c r="I61" s="21">
        <v>18.262248647611941</v>
      </c>
      <c r="J61" s="22">
        <v>18.224660474286647</v>
      </c>
      <c r="K61" s="22">
        <f t="shared" si="26"/>
        <v>18.243454560949296</v>
      </c>
      <c r="L61" s="26">
        <f t="shared" si="27"/>
        <v>1.8794086662646592E-2</v>
      </c>
      <c r="M61" s="21">
        <v>18.047431663471322</v>
      </c>
      <c r="N61" s="22">
        <v>18.010428556416926</v>
      </c>
      <c r="O61" s="22">
        <f t="shared" si="28"/>
        <v>18.028930109944124</v>
      </c>
      <c r="P61" s="26">
        <f t="shared" si="29"/>
        <v>1.8501553527197956E-2</v>
      </c>
      <c r="Q61" s="22">
        <f t="shared" si="30"/>
        <v>18.136192335446708</v>
      </c>
      <c r="R61" s="22">
        <f t="shared" si="31"/>
        <v>0.12571368320098822</v>
      </c>
      <c r="S61" s="23">
        <v>1548.894906293621</v>
      </c>
      <c r="T61" s="24">
        <v>1548.835331883696</v>
      </c>
      <c r="U61" s="25">
        <f t="shared" si="32"/>
        <v>1548.8651190886585</v>
      </c>
      <c r="V61" s="21">
        <v>18.57699916940734</v>
      </c>
      <c r="W61" s="22">
        <v>18.539004711966292</v>
      </c>
      <c r="X61" s="22">
        <f t="shared" si="33"/>
        <v>18.558001940686815</v>
      </c>
      <c r="Y61" s="26">
        <f t="shared" si="34"/>
        <v>1.8997228720524006E-2</v>
      </c>
      <c r="Z61" s="21">
        <v>18.354363940087396</v>
      </c>
      <c r="AA61" s="22">
        <v>18.316981737644042</v>
      </c>
      <c r="AB61" s="22">
        <f t="shared" si="35"/>
        <v>18.335672838865719</v>
      </c>
      <c r="AC61" s="26">
        <f t="shared" si="36"/>
        <v>1.8691101221676831E-2</v>
      </c>
      <c r="AD61" s="22">
        <f t="shared" si="37"/>
        <v>18.446837389776267</v>
      </c>
      <c r="AE61" s="26">
        <f t="shared" si="38"/>
        <v>0.13019310458501468</v>
      </c>
    </row>
    <row r="62" spans="1:31">
      <c r="A62" s="49" t="s">
        <v>68</v>
      </c>
      <c r="B62" s="50">
        <v>1300</v>
      </c>
      <c r="C62" s="50">
        <v>9</v>
      </c>
      <c r="D62" s="21">
        <v>17.663</v>
      </c>
      <c r="E62" s="26">
        <v>1.7999999999999999E-2</v>
      </c>
      <c r="F62" s="57">
        <v>0.93823000000000001</v>
      </c>
      <c r="G62" s="51">
        <v>0.93815000000000004</v>
      </c>
      <c r="H62" s="58">
        <v>0.93830999999999998</v>
      </c>
      <c r="I62" s="21">
        <v>17.798579617088649</v>
      </c>
      <c r="J62" s="22">
        <v>17.762580929883015</v>
      </c>
      <c r="K62" s="22">
        <f t="shared" si="26"/>
        <v>17.780580273485832</v>
      </c>
      <c r="L62" s="26">
        <f t="shared" si="27"/>
        <v>1.7999343602816964E-2</v>
      </c>
      <c r="M62" s="21">
        <v>17.604419436321642</v>
      </c>
      <c r="N62" s="22">
        <v>17.568913306911874</v>
      </c>
      <c r="O62" s="22">
        <f t="shared" si="28"/>
        <v>17.586666371616758</v>
      </c>
      <c r="P62" s="26">
        <f t="shared" si="29"/>
        <v>1.7753064704884025E-2</v>
      </c>
      <c r="Q62" s="22">
        <f t="shared" si="30"/>
        <v>17.683623322551295</v>
      </c>
      <c r="R62" s="22">
        <f t="shared" si="31"/>
        <v>0.11384330853002142</v>
      </c>
      <c r="S62" s="23">
        <v>1337.8230213233494</v>
      </c>
      <c r="T62" s="24">
        <v>1337.777394404605</v>
      </c>
      <c r="U62" s="25">
        <f t="shared" si="32"/>
        <v>1337.8002078639772</v>
      </c>
      <c r="V62" s="21">
        <v>18.041231417108644</v>
      </c>
      <c r="W62" s="22">
        <v>18.004923524049023</v>
      </c>
      <c r="X62" s="22">
        <f t="shared" si="33"/>
        <v>18.023077470578833</v>
      </c>
      <c r="Y62" s="26">
        <f t="shared" si="34"/>
        <v>1.8153946529810838E-2</v>
      </c>
      <c r="Z62" s="21">
        <v>17.840760542889374</v>
      </c>
      <c r="AA62" s="22">
        <v>17.804965734405258</v>
      </c>
      <c r="AB62" s="22">
        <f t="shared" si="35"/>
        <v>17.822863138647314</v>
      </c>
      <c r="AC62" s="26">
        <f t="shared" si="36"/>
        <v>1.7897404242058101E-2</v>
      </c>
      <c r="AD62" s="22">
        <f t="shared" si="37"/>
        <v>17.922970304613074</v>
      </c>
      <c r="AE62" s="26">
        <f t="shared" si="38"/>
        <v>0.11745289043868566</v>
      </c>
    </row>
    <row r="63" spans="1:31">
      <c r="A63" s="49" t="s">
        <v>69</v>
      </c>
      <c r="B63" s="50">
        <v>1100</v>
      </c>
      <c r="C63" s="50">
        <v>9</v>
      </c>
      <c r="D63" s="21">
        <v>17.132999999999999</v>
      </c>
      <c r="E63" s="26">
        <v>1.95E-2</v>
      </c>
      <c r="F63" s="57">
        <v>0.93483000000000005</v>
      </c>
      <c r="G63" s="51">
        <v>0.93474000000000002</v>
      </c>
      <c r="H63" s="58">
        <v>0.93491000000000002</v>
      </c>
      <c r="I63" s="21">
        <v>17.293784175646643</v>
      </c>
      <c r="J63" s="22">
        <v>17.254919905401316</v>
      </c>
      <c r="K63" s="22">
        <f t="shared" si="26"/>
        <v>17.274352040523979</v>
      </c>
      <c r="L63" s="26">
        <f t="shared" si="27"/>
        <v>1.9432135122663396E-2</v>
      </c>
      <c r="M63" s="21">
        <v>17.123699944468093</v>
      </c>
      <c r="N63" s="22">
        <v>17.085294873364603</v>
      </c>
      <c r="O63" s="22">
        <f t="shared" si="28"/>
        <v>17.104497408916348</v>
      </c>
      <c r="P63" s="26">
        <f t="shared" si="29"/>
        <v>1.9202535551745115E-2</v>
      </c>
      <c r="Q63" s="22">
        <f t="shared" si="30"/>
        <v>17.189424724720162</v>
      </c>
      <c r="R63" s="22">
        <f t="shared" si="31"/>
        <v>0.10057051650897662</v>
      </c>
      <c r="S63" s="23">
        <v>1128.2539215258989</v>
      </c>
      <c r="T63" s="24">
        <v>1128.2157366827551</v>
      </c>
      <c r="U63" s="25">
        <f t="shared" si="32"/>
        <v>1128.234829104327</v>
      </c>
      <c r="V63" s="21">
        <v>17.473862363192151</v>
      </c>
      <c r="W63" s="22">
        <v>17.434742047910216</v>
      </c>
      <c r="X63" s="22">
        <f t="shared" si="33"/>
        <v>17.454302205551183</v>
      </c>
      <c r="Y63" s="26">
        <f t="shared" si="34"/>
        <v>1.9560157640967191E-2</v>
      </c>
      <c r="Z63" s="21">
        <v>17.298900905705992</v>
      </c>
      <c r="AA63" s="22">
        <v>17.260256612855816</v>
      </c>
      <c r="AB63" s="22">
        <f t="shared" si="35"/>
        <v>17.279578759280902</v>
      </c>
      <c r="AC63" s="26">
        <f t="shared" si="36"/>
        <v>1.9322146425087894E-2</v>
      </c>
      <c r="AD63" s="22">
        <f t="shared" si="37"/>
        <v>17.366940482416044</v>
      </c>
      <c r="AE63" s="26">
        <f t="shared" si="38"/>
        <v>0.10334436429624876</v>
      </c>
    </row>
    <row r="64" spans="1:31">
      <c r="A64" s="49" t="s">
        <v>70</v>
      </c>
      <c r="B64" s="50">
        <v>900</v>
      </c>
      <c r="C64" s="50">
        <v>9</v>
      </c>
      <c r="D64" s="21">
        <v>16.662500000000001</v>
      </c>
      <c r="E64" s="26">
        <v>1.1000000000000001E-2</v>
      </c>
      <c r="F64" s="57">
        <v>0.93132999999999999</v>
      </c>
      <c r="G64" s="51">
        <v>0.93128</v>
      </c>
      <c r="H64" s="58">
        <v>0.93137999999999999</v>
      </c>
      <c r="I64" s="21">
        <v>16.825068948479409</v>
      </c>
      <c r="J64" s="22">
        <v>16.801825115983178</v>
      </c>
      <c r="K64" s="22">
        <f t="shared" si="26"/>
        <v>16.813447032231295</v>
      </c>
      <c r="L64" s="26">
        <f t="shared" si="27"/>
        <v>1.1621916248115483E-2</v>
      </c>
      <c r="M64" s="21">
        <v>16.681279727599996</v>
      </c>
      <c r="N64" s="22">
        <v>16.658267773353632</v>
      </c>
      <c r="O64" s="22">
        <f t="shared" si="28"/>
        <v>16.669773750476814</v>
      </c>
      <c r="P64" s="26">
        <f t="shared" si="29"/>
        <v>1.1505977123182021E-2</v>
      </c>
      <c r="Q64" s="22">
        <f t="shared" si="30"/>
        <v>16.741610391354055</v>
      </c>
      <c r="R64" s="22">
        <f t="shared" si="31"/>
        <v>8.4017706038224879E-2</v>
      </c>
      <c r="S64" s="23">
        <v>920.2228708221221</v>
      </c>
      <c r="T64" s="24">
        <v>920.2059455239978</v>
      </c>
      <c r="U64" s="25">
        <f t="shared" si="32"/>
        <v>920.21440817305995</v>
      </c>
      <c r="V64" s="21">
        <v>16.952349571191398</v>
      </c>
      <c r="W64" s="22">
        <v>16.928994289266207</v>
      </c>
      <c r="X64" s="22">
        <f t="shared" si="33"/>
        <v>16.940671930228802</v>
      </c>
      <c r="Y64" s="26">
        <f t="shared" si="34"/>
        <v>1.1677640962595603E-2</v>
      </c>
      <c r="Z64" s="21">
        <v>16.804976198449101</v>
      </c>
      <c r="AA64" s="22">
        <v>16.781860057617902</v>
      </c>
      <c r="AB64" s="22">
        <f t="shared" si="35"/>
        <v>16.793418128033501</v>
      </c>
      <c r="AC64" s="26">
        <f t="shared" si="36"/>
        <v>1.1558070415599531E-2</v>
      </c>
      <c r="AD64" s="22">
        <f t="shared" si="37"/>
        <v>16.867045029131152</v>
      </c>
      <c r="AE64" s="26">
        <f t="shared" si="38"/>
        <v>8.6068954606833392E-2</v>
      </c>
    </row>
    <row r="65" spans="1:31">
      <c r="A65" s="49" t="s">
        <v>71</v>
      </c>
      <c r="B65" s="50">
        <v>700</v>
      </c>
      <c r="C65" s="50">
        <v>9</v>
      </c>
      <c r="D65" s="21">
        <v>16.238</v>
      </c>
      <c r="E65" s="26">
        <v>1.6500000000000001E-2</v>
      </c>
      <c r="F65" s="57">
        <v>0.92786000000000002</v>
      </c>
      <c r="G65" s="51">
        <v>0.92778000000000005</v>
      </c>
      <c r="H65" s="58">
        <v>0.92793000000000003</v>
      </c>
      <c r="I65" s="21">
        <v>16.4026358424249</v>
      </c>
      <c r="J65" s="22">
        <v>16.367179905701697</v>
      </c>
      <c r="K65" s="22">
        <f t="shared" si="26"/>
        <v>16.384907874063298</v>
      </c>
      <c r="L65" s="26">
        <f t="shared" si="27"/>
        <v>1.7727968361601398E-2</v>
      </c>
      <c r="M65" s="21">
        <v>16.287050140686105</v>
      </c>
      <c r="N65" s="22">
        <v>16.251884622821137</v>
      </c>
      <c r="O65" s="22">
        <f t="shared" si="28"/>
        <v>16.269467381753621</v>
      </c>
      <c r="P65" s="26">
        <f t="shared" si="29"/>
        <v>1.7582758932483955E-2</v>
      </c>
      <c r="Q65" s="22">
        <f t="shared" si="30"/>
        <v>16.327187627908458</v>
      </c>
      <c r="R65" s="22">
        <f t="shared" si="31"/>
        <v>6.9697861785749132E-2</v>
      </c>
      <c r="S65" s="23">
        <v>713.65344146968562</v>
      </c>
      <c r="T65" s="24">
        <v>713.63543371028913</v>
      </c>
      <c r="U65" s="25">
        <f t="shared" si="32"/>
        <v>713.64443758998732</v>
      </c>
      <c r="V65" s="21">
        <v>16.486330850189056</v>
      </c>
      <c r="W65" s="22">
        <v>16.450760494078324</v>
      </c>
      <c r="X65" s="22">
        <f t="shared" si="33"/>
        <v>16.46854567213369</v>
      </c>
      <c r="Y65" s="26">
        <f t="shared" si="34"/>
        <v>1.7785178055365947E-2</v>
      </c>
      <c r="Z65" s="21">
        <v>16.368301478424552</v>
      </c>
      <c r="AA65" s="22">
        <v>16.333028940503354</v>
      </c>
      <c r="AB65" s="22">
        <f t="shared" si="35"/>
        <v>16.350665209463955</v>
      </c>
      <c r="AC65" s="26">
        <f t="shared" si="36"/>
        <v>1.7636268960599111E-2</v>
      </c>
      <c r="AD65" s="22">
        <f t="shared" si="37"/>
        <v>16.409605440798821</v>
      </c>
      <c r="AE65" s="26">
        <f t="shared" si="38"/>
        <v>7.1064535369513529E-2</v>
      </c>
    </row>
    <row r="66" spans="1:31">
      <c r="A66" s="49" t="s">
        <v>72</v>
      </c>
      <c r="B66" s="50">
        <v>500</v>
      </c>
      <c r="C66" s="50">
        <v>9</v>
      </c>
      <c r="D66" s="21">
        <v>15.8025</v>
      </c>
      <c r="E66" s="26">
        <v>1.6500000000000001E-2</v>
      </c>
      <c r="F66" s="57">
        <v>0.92474000000000001</v>
      </c>
      <c r="G66" s="51">
        <v>0.92466999999999999</v>
      </c>
      <c r="H66" s="58">
        <v>0.92481000000000002</v>
      </c>
      <c r="I66" s="21">
        <v>15.952679060036999</v>
      </c>
      <c r="J66" s="22">
        <v>15.919069325308717</v>
      </c>
      <c r="K66" s="22">
        <f t="shared" si="26"/>
        <v>15.935874192672859</v>
      </c>
      <c r="L66" s="26">
        <f t="shared" si="27"/>
        <v>1.6804867364140996E-2</v>
      </c>
      <c r="M66" s="21">
        <v>15.866891466691117</v>
      </c>
      <c r="N66" s="22">
        <v>15.833501066385388</v>
      </c>
      <c r="O66" s="22">
        <f t="shared" si="28"/>
        <v>15.850196266538251</v>
      </c>
      <c r="P66" s="26">
        <f t="shared" si="29"/>
        <v>1.6695200152864409E-2</v>
      </c>
      <c r="Q66" s="22">
        <f t="shared" si="30"/>
        <v>15.893035229605555</v>
      </c>
      <c r="R66" s="22">
        <f t="shared" si="31"/>
        <v>5.311300398605516E-2</v>
      </c>
      <c r="S66" s="23">
        <v>508.44051515531879</v>
      </c>
      <c r="T66" s="24">
        <v>508.42958532383489</v>
      </c>
      <c r="U66" s="25">
        <f t="shared" si="32"/>
        <v>508.43505023957687</v>
      </c>
      <c r="V66" s="21">
        <v>16.001130297950453</v>
      </c>
      <c r="W66" s="22">
        <v>15.967456804816575</v>
      </c>
      <c r="X66" s="22">
        <f t="shared" si="33"/>
        <v>15.984293551383514</v>
      </c>
      <c r="Y66" s="26">
        <f t="shared" si="34"/>
        <v>1.6836746566939453E-2</v>
      </c>
      <c r="Z66" s="21">
        <v>15.913891458104779</v>
      </c>
      <c r="AA66" s="22">
        <v>15.880441370849166</v>
      </c>
      <c r="AB66" s="22">
        <f t="shared" si="35"/>
        <v>15.897166414476972</v>
      </c>
      <c r="AC66" s="26">
        <f t="shared" si="36"/>
        <v>1.6725043627806357E-2</v>
      </c>
      <c r="AD66" s="22">
        <f t="shared" si="37"/>
        <v>15.940729982930243</v>
      </c>
      <c r="AE66" s="26">
        <f t="shared" si="38"/>
        <v>5.3905918735497035E-2</v>
      </c>
    </row>
    <row r="67" spans="1:31">
      <c r="A67" s="49" t="s">
        <v>73</v>
      </c>
      <c r="B67" s="50">
        <v>308</v>
      </c>
      <c r="C67" s="50">
        <v>9</v>
      </c>
      <c r="D67" s="21">
        <v>15.378</v>
      </c>
      <c r="E67" s="26">
        <v>1.7000000000000001E-2</v>
      </c>
      <c r="F67" s="57">
        <v>0.92227000000000003</v>
      </c>
      <c r="G67" s="51">
        <v>0.92220000000000002</v>
      </c>
      <c r="H67" s="58">
        <v>0.92234000000000005</v>
      </c>
      <c r="I67" s="21">
        <v>15.535576534879986</v>
      </c>
      <c r="J67" s="22">
        <v>15.501507268858777</v>
      </c>
      <c r="K67" s="22">
        <f t="shared" si="26"/>
        <v>15.518541901869382</v>
      </c>
      <c r="L67" s="26">
        <f t="shared" si="27"/>
        <v>1.7034633010604594E-2</v>
      </c>
      <c r="M67" s="21">
        <v>15.476761136927065</v>
      </c>
      <c r="N67" s="22">
        <v>15.442869079169542</v>
      </c>
      <c r="O67" s="22">
        <f t="shared" si="28"/>
        <v>15.459815108048304</v>
      </c>
      <c r="P67" s="26">
        <f t="shared" si="29"/>
        <v>1.694602887876151E-2</v>
      </c>
      <c r="Q67" s="22">
        <f t="shared" si="30"/>
        <v>15.489178504958842</v>
      </c>
      <c r="R67" s="22">
        <f t="shared" si="31"/>
        <v>3.9172820278159846E-2</v>
      </c>
      <c r="S67" s="23">
        <v>312.68276393456347</v>
      </c>
      <c r="T67" s="24">
        <v>312.67640893076907</v>
      </c>
      <c r="U67" s="25">
        <f t="shared" si="32"/>
        <v>312.67958643266627</v>
      </c>
      <c r="V67" s="21">
        <v>15.557352173104205</v>
      </c>
      <c r="W67" s="22">
        <v>15.523254520856163</v>
      </c>
      <c r="X67" s="22">
        <f t="shared" si="33"/>
        <v>15.540303346980185</v>
      </c>
      <c r="Y67" s="26">
        <f t="shared" si="34"/>
        <v>1.70488261240207E-2</v>
      </c>
      <c r="Z67" s="21">
        <v>15.497884754816473</v>
      </c>
      <c r="AA67" s="22">
        <v>15.463966078381008</v>
      </c>
      <c r="AB67" s="22">
        <f t="shared" si="35"/>
        <v>15.48092541659874</v>
      </c>
      <c r="AC67" s="26">
        <f t="shared" si="36"/>
        <v>1.6959338217732878E-2</v>
      </c>
      <c r="AD67" s="22">
        <f t="shared" si="37"/>
        <v>15.510614381789463</v>
      </c>
      <c r="AE67" s="26">
        <f t="shared" si="38"/>
        <v>3.9506547416703126E-2</v>
      </c>
    </row>
    <row r="68" spans="1:31">
      <c r="A68" s="49" t="s">
        <v>74</v>
      </c>
      <c r="B68" s="50">
        <v>1300</v>
      </c>
      <c r="C68" s="50">
        <v>9</v>
      </c>
      <c r="D68" s="21">
        <v>18.483000000000001</v>
      </c>
      <c r="E68" s="26">
        <v>1.2500000000000001E-2</v>
      </c>
      <c r="F68" s="57">
        <v>0.9345</v>
      </c>
      <c r="G68" s="51">
        <v>0.93444000000000005</v>
      </c>
      <c r="H68" s="58">
        <v>0.93455999999999995</v>
      </c>
      <c r="I68" s="21">
        <v>18.64204655843881</v>
      </c>
      <c r="J68" s="22">
        <v>18.614500413298728</v>
      </c>
      <c r="K68" s="22">
        <f t="shared" si="26"/>
        <v>18.628273485868768</v>
      </c>
      <c r="L68" s="26">
        <f t="shared" si="27"/>
        <v>1.3773072570041123E-2</v>
      </c>
      <c r="M68" s="21">
        <v>18.436355504763121</v>
      </c>
      <c r="N68" s="22">
        <v>18.409185513147801</v>
      </c>
      <c r="O68" s="22">
        <f t="shared" si="28"/>
        <v>18.422770508955459</v>
      </c>
      <c r="P68" s="26">
        <f t="shared" si="29"/>
        <v>1.358499580766015E-2</v>
      </c>
      <c r="Q68" s="22">
        <f t="shared" si="30"/>
        <v>18.525521997412113</v>
      </c>
      <c r="R68" s="22">
        <f t="shared" si="31"/>
        <v>0.11969401655674543</v>
      </c>
      <c r="S68" s="23">
        <v>1338.8745274348184</v>
      </c>
      <c r="T68" s="24">
        <v>1338.8407076823312</v>
      </c>
      <c r="U68" s="25">
        <f t="shared" si="32"/>
        <v>1338.8576175585749</v>
      </c>
      <c r="V68" s="21">
        <v>18.891844004957811</v>
      </c>
      <c r="W68" s="22">
        <v>18.864067434330899</v>
      </c>
      <c r="X68" s="22">
        <f t="shared" si="33"/>
        <v>18.877955719644355</v>
      </c>
      <c r="Y68" s="26">
        <f t="shared" si="34"/>
        <v>1.3888285313456095E-2</v>
      </c>
      <c r="Z68" s="21">
        <v>18.67935686922781</v>
      </c>
      <c r="AA68" s="22">
        <v>18.65197243498034</v>
      </c>
      <c r="AB68" s="22">
        <f t="shared" si="35"/>
        <v>18.665664652104077</v>
      </c>
      <c r="AC68" s="26">
        <f t="shared" si="36"/>
        <v>1.3692217123734807E-2</v>
      </c>
      <c r="AD68" s="22">
        <f t="shared" si="37"/>
        <v>18.771810185874216</v>
      </c>
      <c r="AE68" s="26">
        <f t="shared" si="38"/>
        <v>0.12359641299381691</v>
      </c>
    </row>
    <row r="69" spans="1:31">
      <c r="A69" s="49" t="s">
        <v>75</v>
      </c>
      <c r="B69" s="50">
        <v>1100</v>
      </c>
      <c r="C69" s="50">
        <v>9</v>
      </c>
      <c r="D69" s="21">
        <v>18.021999999999998</v>
      </c>
      <c r="E69" s="26">
        <v>1.4500000000000001E-2</v>
      </c>
      <c r="F69" s="57">
        <v>0.93086000000000002</v>
      </c>
      <c r="G69" s="51">
        <v>0.93079999999999996</v>
      </c>
      <c r="H69" s="58">
        <v>0.93091999999999997</v>
      </c>
      <c r="I69" s="21">
        <v>18.204533389586995</v>
      </c>
      <c r="J69" s="22">
        <v>18.176509397051017</v>
      </c>
      <c r="K69" s="22">
        <f t="shared" si="26"/>
        <v>18.190521393319006</v>
      </c>
      <c r="L69" s="26">
        <f t="shared" si="27"/>
        <v>1.4011996267988991E-2</v>
      </c>
      <c r="M69" s="21">
        <v>18.023704021913833</v>
      </c>
      <c r="N69" s="22">
        <v>17.99601007174175</v>
      </c>
      <c r="O69" s="22">
        <f t="shared" si="28"/>
        <v>18.00985704682779</v>
      </c>
      <c r="P69" s="26">
        <f t="shared" si="29"/>
        <v>1.3846975086041269E-2</v>
      </c>
      <c r="Q69" s="22">
        <f t="shared" si="30"/>
        <v>18.1001892200734</v>
      </c>
      <c r="R69" s="22">
        <f t="shared" si="31"/>
        <v>0.10553949594029209</v>
      </c>
      <c r="S69" s="23">
        <v>1129.1325974985771</v>
      </c>
      <c r="T69" s="24">
        <v>1129.106011583845</v>
      </c>
      <c r="U69" s="25">
        <f t="shared" si="32"/>
        <v>1129.119304541211</v>
      </c>
      <c r="V69" s="21">
        <v>18.390520258889229</v>
      </c>
      <c r="W69" s="22">
        <v>18.362317008108008</v>
      </c>
      <c r="X69" s="22">
        <f t="shared" si="33"/>
        <v>18.376418633498616</v>
      </c>
      <c r="Y69" s="26">
        <f t="shared" si="34"/>
        <v>1.410162539061055E-2</v>
      </c>
      <c r="Z69" s="21">
        <v>18.204415690580042</v>
      </c>
      <c r="AA69" s="22">
        <v>18.176554831705786</v>
      </c>
      <c r="AB69" s="22">
        <f t="shared" si="35"/>
        <v>18.190485261142914</v>
      </c>
      <c r="AC69" s="26">
        <f t="shared" si="36"/>
        <v>1.3930429437127856E-2</v>
      </c>
      <c r="AD69" s="22">
        <f t="shared" si="37"/>
        <v>18.283451947320764</v>
      </c>
      <c r="AE69" s="26">
        <f t="shared" si="38"/>
        <v>0.108561878455691</v>
      </c>
    </row>
    <row r="70" spans="1:31">
      <c r="A70" s="49" t="s">
        <v>76</v>
      </c>
      <c r="B70" s="50">
        <v>900</v>
      </c>
      <c r="C70" s="50">
        <v>9</v>
      </c>
      <c r="D70" s="21">
        <v>17.5245</v>
      </c>
      <c r="E70" s="26">
        <v>2.3E-2</v>
      </c>
      <c r="F70" s="57">
        <v>0.92754999999999999</v>
      </c>
      <c r="G70" s="51">
        <v>0.92745</v>
      </c>
      <c r="H70" s="58">
        <v>0.92766000000000004</v>
      </c>
      <c r="I70" s="21">
        <v>17.724754365775688</v>
      </c>
      <c r="J70" s="22">
        <v>17.674944090085713</v>
      </c>
      <c r="K70" s="22">
        <f t="shared" si="26"/>
        <v>17.699849227930699</v>
      </c>
      <c r="L70" s="26">
        <f t="shared" si="27"/>
        <v>2.4905137844987379E-2</v>
      </c>
      <c r="M70" s="21">
        <v>17.572008332550141</v>
      </c>
      <c r="N70" s="22">
        <v>17.522692795750395</v>
      </c>
      <c r="O70" s="22">
        <f t="shared" si="28"/>
        <v>17.547350564150268</v>
      </c>
      <c r="P70" s="26">
        <f t="shared" si="29"/>
        <v>2.4657768399872992E-2</v>
      </c>
      <c r="Q70" s="22">
        <f t="shared" si="30"/>
        <v>17.623599896040481</v>
      </c>
      <c r="R70" s="22">
        <f t="shared" si="31"/>
        <v>9.2578588816739374E-2</v>
      </c>
      <c r="S70" s="23">
        <v>920.86628039789912</v>
      </c>
      <c r="T70" s="24">
        <v>920.83124202590352</v>
      </c>
      <c r="U70" s="25">
        <f t="shared" si="32"/>
        <v>920.84876121190132</v>
      </c>
      <c r="V70" s="21">
        <v>17.856282488602528</v>
      </c>
      <c r="W70" s="22">
        <v>17.806240355091941</v>
      </c>
      <c r="X70" s="22">
        <f t="shared" si="33"/>
        <v>17.831261421847234</v>
      </c>
      <c r="Y70" s="26">
        <f t="shared" si="34"/>
        <v>2.5021066755293475E-2</v>
      </c>
      <c r="Z70" s="21">
        <v>17.699668764289662</v>
      </c>
      <c r="AA70" s="22">
        <v>17.650137187443597</v>
      </c>
      <c r="AB70" s="22">
        <f t="shared" si="35"/>
        <v>17.67490297586663</v>
      </c>
      <c r="AC70" s="26">
        <f t="shared" si="36"/>
        <v>2.476578842303212E-2</v>
      </c>
      <c r="AD70" s="22">
        <f t="shared" si="37"/>
        <v>17.75308219885693</v>
      </c>
      <c r="AE70" s="26">
        <f t="shared" si="38"/>
        <v>9.473957241660616E-2</v>
      </c>
    </row>
    <row r="71" spans="1:31">
      <c r="A71" s="49" t="s">
        <v>77</v>
      </c>
      <c r="B71" s="50">
        <v>700</v>
      </c>
      <c r="C71" s="50">
        <v>9</v>
      </c>
      <c r="D71" s="21">
        <v>17.141500000000001</v>
      </c>
      <c r="E71" s="26">
        <v>2.1000000000000001E-2</v>
      </c>
      <c r="F71" s="57">
        <v>0.92398000000000002</v>
      </c>
      <c r="G71" s="51">
        <v>0.92388999999999999</v>
      </c>
      <c r="H71" s="58">
        <v>0.92406999999999995</v>
      </c>
      <c r="I71" s="21">
        <v>17.332145561100695</v>
      </c>
      <c r="J71" s="22">
        <v>17.288706144380779</v>
      </c>
      <c r="K71" s="22">
        <f t="shared" si="26"/>
        <v>17.310425852740735</v>
      </c>
      <c r="L71" s="26">
        <f t="shared" si="27"/>
        <v>2.171970835995829E-2</v>
      </c>
      <c r="M71" s="21">
        <v>17.208968993819621</v>
      </c>
      <c r="N71" s="22">
        <v>17.16588315878958</v>
      </c>
      <c r="O71" s="22">
        <f t="shared" si="28"/>
        <v>17.1874260763046</v>
      </c>
      <c r="P71" s="26">
        <f t="shared" si="29"/>
        <v>2.1542917515020577E-2</v>
      </c>
      <c r="Q71" s="22">
        <f t="shared" si="30"/>
        <v>17.24892596452267</v>
      </c>
      <c r="R71" s="22">
        <f t="shared" si="31"/>
        <v>7.5278662439279304E-2</v>
      </c>
      <c r="S71" s="23">
        <v>714.11656646980316</v>
      </c>
      <c r="T71" s="24">
        <v>714.09529833007787</v>
      </c>
      <c r="U71" s="25">
        <f t="shared" si="32"/>
        <v>714.10593239994046</v>
      </c>
      <c r="V71" s="21">
        <v>17.418789763379145</v>
      </c>
      <c r="W71" s="22">
        <v>17.375214629234872</v>
      </c>
      <c r="X71" s="22">
        <f t="shared" si="33"/>
        <v>17.397002196307007</v>
      </c>
      <c r="Y71" s="26">
        <f t="shared" si="34"/>
        <v>2.1787567072136582E-2</v>
      </c>
      <c r="Z71" s="21">
        <v>17.292973973560656</v>
      </c>
      <c r="AA71" s="22">
        <v>17.249761625265343</v>
      </c>
      <c r="AB71" s="22">
        <f t="shared" si="35"/>
        <v>17.271367799412999</v>
      </c>
      <c r="AC71" s="26">
        <f t="shared" si="36"/>
        <v>2.1606174147656532E-2</v>
      </c>
      <c r="AD71" s="22">
        <f t="shared" si="37"/>
        <v>17.334184997860003</v>
      </c>
      <c r="AE71" s="26">
        <f t="shared" si="38"/>
        <v>7.6739931724765051E-2</v>
      </c>
    </row>
    <row r="72" spans="1:31">
      <c r="A72" s="49" t="s">
        <v>78</v>
      </c>
      <c r="B72" s="50">
        <v>500</v>
      </c>
      <c r="C72" s="50">
        <v>9</v>
      </c>
      <c r="D72" s="21">
        <v>16.717500000000001</v>
      </c>
      <c r="E72" s="26">
        <v>2.1000000000000001E-2</v>
      </c>
      <c r="F72" s="57">
        <v>0.92088999999999999</v>
      </c>
      <c r="G72" s="51">
        <v>0.92079999999999995</v>
      </c>
      <c r="H72" s="58">
        <v>0.92098000000000002</v>
      </c>
      <c r="I72" s="21">
        <v>16.891784135148502</v>
      </c>
      <c r="J72" s="22">
        <v>16.84767232549947</v>
      </c>
      <c r="K72" s="22">
        <f t="shared" si="26"/>
        <v>16.869728230323986</v>
      </c>
      <c r="L72" s="26">
        <f t="shared" si="27"/>
        <v>2.2055904824515693E-2</v>
      </c>
      <c r="M72" s="21">
        <v>16.799891666835567</v>
      </c>
      <c r="N72" s="22">
        <v>16.75606540417559</v>
      </c>
      <c r="O72" s="22">
        <f t="shared" si="28"/>
        <v>16.777978535505579</v>
      </c>
      <c r="P72" s="26">
        <f t="shared" si="29"/>
        <v>2.1913131329988289E-2</v>
      </c>
      <c r="Q72" s="22">
        <f t="shared" si="30"/>
        <v>16.82385338291478</v>
      </c>
      <c r="R72" s="22">
        <f t="shared" si="31"/>
        <v>5.8740397864665783E-2</v>
      </c>
      <c r="S72" s="23">
        <v>508.7399590782631</v>
      </c>
      <c r="T72" s="24">
        <v>508.72614438454571</v>
      </c>
      <c r="U72" s="25">
        <f t="shared" si="32"/>
        <v>508.73305173140443</v>
      </c>
      <c r="V72" s="21">
        <v>16.941984304453822</v>
      </c>
      <c r="W72" s="22">
        <v>16.897791715556252</v>
      </c>
      <c r="X72" s="22">
        <f t="shared" si="33"/>
        <v>16.919888010005039</v>
      </c>
      <c r="Y72" s="26">
        <f t="shared" si="34"/>
        <v>2.2096294448784803E-2</v>
      </c>
      <c r="Z72" s="21">
        <v>16.848526064253573</v>
      </c>
      <c r="AA72" s="22">
        <v>16.804624433514</v>
      </c>
      <c r="AB72" s="22">
        <f t="shared" si="35"/>
        <v>16.826575248883785</v>
      </c>
      <c r="AC72" s="26">
        <f t="shared" si="36"/>
        <v>2.195081536978627E-2</v>
      </c>
      <c r="AD72" s="22">
        <f t="shared" si="37"/>
        <v>16.873231629444412</v>
      </c>
      <c r="AE72" s="26">
        <f t="shared" si="38"/>
        <v>5.9574716213069374E-2</v>
      </c>
    </row>
    <row r="73" spans="1:31">
      <c r="A73" s="49" t="s">
        <v>79</v>
      </c>
      <c r="B73" s="50">
        <v>307</v>
      </c>
      <c r="C73" s="50">
        <v>9</v>
      </c>
      <c r="D73" s="21">
        <v>16.334</v>
      </c>
      <c r="E73" s="26">
        <v>3.7999999999999999E-2</v>
      </c>
      <c r="F73" s="57">
        <v>0.91830000000000001</v>
      </c>
      <c r="G73" s="51">
        <v>0.91815000000000002</v>
      </c>
      <c r="H73" s="58">
        <v>0.91846000000000005</v>
      </c>
      <c r="I73" s="21">
        <v>16.527649737927604</v>
      </c>
      <c r="J73" s="22">
        <v>16.450594932908821</v>
      </c>
      <c r="K73" s="22">
        <f t="shared" si="26"/>
        <v>16.489122335418212</v>
      </c>
      <c r="L73" s="26">
        <f t="shared" si="27"/>
        <v>3.8527402509391351E-2</v>
      </c>
      <c r="M73" s="21">
        <v>16.463817710482221</v>
      </c>
      <c r="N73" s="22">
        <v>16.387159453055801</v>
      </c>
      <c r="O73" s="22">
        <f t="shared" si="28"/>
        <v>16.425488581769009</v>
      </c>
      <c r="P73" s="26">
        <f t="shared" si="29"/>
        <v>3.8329128713209926E-2</v>
      </c>
      <c r="Q73" s="22">
        <f t="shared" si="30"/>
        <v>16.457305458593613</v>
      </c>
      <c r="R73" s="22">
        <f t="shared" si="31"/>
        <v>5.7608507206129866E-2</v>
      </c>
      <c r="S73" s="23">
        <v>311.8472538797954</v>
      </c>
      <c r="T73" s="24">
        <v>311.83348905814864</v>
      </c>
      <c r="U73" s="25">
        <f t="shared" si="32"/>
        <v>311.84037146897202</v>
      </c>
      <c r="V73" s="21">
        <v>16.550107327281136</v>
      </c>
      <c r="W73" s="22">
        <v>16.472991430067033</v>
      </c>
      <c r="X73" s="22">
        <f t="shared" si="33"/>
        <v>16.511549378674083</v>
      </c>
      <c r="Y73" s="26">
        <f t="shared" si="34"/>
        <v>3.8557948607051529E-2</v>
      </c>
      <c r="Z73" s="21">
        <v>16.485575620503752</v>
      </c>
      <c r="AA73" s="22">
        <v>16.408860267674175</v>
      </c>
      <c r="AB73" s="22">
        <f t="shared" si="35"/>
        <v>16.447217944088962</v>
      </c>
      <c r="AC73" s="26">
        <f t="shared" si="36"/>
        <v>3.83576764147886E-2</v>
      </c>
      <c r="AD73" s="22">
        <f t="shared" si="37"/>
        <v>16.479383661381522</v>
      </c>
      <c r="AE73" s="26">
        <f t="shared" si="38"/>
        <v>5.7892391432239766E-2</v>
      </c>
    </row>
    <row r="74" spans="1:31">
      <c r="A74" s="49" t="s">
        <v>80</v>
      </c>
      <c r="B74" s="50">
        <v>304</v>
      </c>
      <c r="C74" s="50">
        <v>15</v>
      </c>
      <c r="D74" s="21">
        <v>18.047000000000001</v>
      </c>
      <c r="E74" s="26">
        <v>2.1999999999999999E-2</v>
      </c>
      <c r="F74" s="57">
        <v>0.91137000000000001</v>
      </c>
      <c r="G74" s="51">
        <v>0.91129000000000004</v>
      </c>
      <c r="H74" s="58">
        <v>0.91146000000000005</v>
      </c>
      <c r="I74" s="21">
        <v>18.252140459695159</v>
      </c>
      <c r="J74" s="22">
        <v>18.208289080131756</v>
      </c>
      <c r="K74" s="22">
        <f t="shared" si="26"/>
        <v>18.230214769913459</v>
      </c>
      <c r="L74" s="26">
        <f t="shared" si="27"/>
        <v>2.1925689781701507E-2</v>
      </c>
      <c r="M74" s="21">
        <v>18.179948534902223</v>
      </c>
      <c r="N74" s="22">
        <v>18.136315228359067</v>
      </c>
      <c r="O74" s="22">
        <f t="shared" si="28"/>
        <v>18.158131881630645</v>
      </c>
      <c r="P74" s="26">
        <f t="shared" si="29"/>
        <v>2.1816653271578446E-2</v>
      </c>
      <c r="Q74" s="22">
        <f t="shared" si="30"/>
        <v>18.194173325772052</v>
      </c>
      <c r="R74" s="22">
        <f t="shared" si="31"/>
        <v>4.8680411008754552E-2</v>
      </c>
      <c r="S74" s="23">
        <v>309.09167798285927</v>
      </c>
      <c r="T74" s="24">
        <v>309.08443220676418</v>
      </c>
      <c r="U74" s="25">
        <f t="shared" si="32"/>
        <v>309.08805509481169</v>
      </c>
      <c r="V74" s="21">
        <v>18.275512435345259</v>
      </c>
      <c r="W74" s="22">
        <v>18.231629381802275</v>
      </c>
      <c r="X74" s="22">
        <f t="shared" si="33"/>
        <v>18.253570908573767</v>
      </c>
      <c r="Y74" s="26">
        <f t="shared" si="34"/>
        <v>2.1941526771492192E-2</v>
      </c>
      <c r="Z74" s="21">
        <v>18.202544675270023</v>
      </c>
      <c r="AA74" s="22">
        <v>18.158881940679962</v>
      </c>
      <c r="AB74" s="22">
        <f t="shared" si="35"/>
        <v>18.18071330797499</v>
      </c>
      <c r="AC74" s="26">
        <f t="shared" si="36"/>
        <v>2.1831367295030546E-2</v>
      </c>
      <c r="AD74" s="22">
        <f t="shared" si="37"/>
        <v>18.217142108274381</v>
      </c>
      <c r="AE74" s="26">
        <f t="shared" si="38"/>
        <v>4.9072423875600811E-2</v>
      </c>
    </row>
    <row r="75" spans="1:31">
      <c r="A75" s="49"/>
      <c r="B75" s="50"/>
      <c r="C75" s="50"/>
      <c r="D75" s="21"/>
      <c r="E75" s="26"/>
      <c r="F75" s="57"/>
      <c r="G75" s="51"/>
      <c r="H75" s="58"/>
      <c r="I75" s="21"/>
      <c r="J75" s="22"/>
      <c r="K75" s="22"/>
      <c r="L75" s="26"/>
      <c r="M75" s="21"/>
      <c r="N75" s="22"/>
      <c r="O75" s="22"/>
      <c r="P75" s="26"/>
      <c r="Q75" s="22"/>
      <c r="R75" s="22"/>
      <c r="S75" s="23"/>
      <c r="T75" s="24"/>
      <c r="U75" s="25"/>
      <c r="V75" s="21"/>
      <c r="W75" s="22"/>
      <c r="X75" s="22"/>
      <c r="Y75" s="26"/>
      <c r="Z75" s="21"/>
      <c r="AA75" s="22"/>
      <c r="AB75" s="22"/>
      <c r="AC75" s="26"/>
      <c r="AD75" s="22"/>
      <c r="AE75" s="26"/>
    </row>
    <row r="76" spans="1:31">
      <c r="A76" s="49" t="s">
        <v>81</v>
      </c>
      <c r="B76" s="50">
        <v>1700</v>
      </c>
      <c r="C76" s="50">
        <v>7.5</v>
      </c>
      <c r="D76" s="21">
        <v>18.3367</v>
      </c>
      <c r="E76" s="26">
        <v>0.160748</v>
      </c>
      <c r="F76" s="57">
        <v>0.94723999999999997</v>
      </c>
      <c r="G76" s="51">
        <v>0.94647000000000003</v>
      </c>
      <c r="H76" s="58">
        <v>0.94801000000000002</v>
      </c>
      <c r="I76" s="21">
        <v>18.535208170866028</v>
      </c>
      <c r="J76" s="22">
        <v>18.203531997468318</v>
      </c>
      <c r="K76" s="22">
        <f t="shared" ref="K76:K90" si="39">(I76+J76)/2</f>
        <v>18.369370084167173</v>
      </c>
      <c r="L76" s="26">
        <f t="shared" ref="L76:L90" si="40">(I76-J76)/2</f>
        <v>0.16583808669885514</v>
      </c>
      <c r="M76" s="21">
        <v>18.306100950365533</v>
      </c>
      <c r="N76" s="22">
        <v>17.980211222409917</v>
      </c>
      <c r="O76" s="22">
        <f t="shared" ref="O76:O90" si="41">(M76+N76)/2</f>
        <v>18.143156086387727</v>
      </c>
      <c r="P76" s="26">
        <f t="shared" ref="P76:P90" si="42">(M76-N76)/2</f>
        <v>0.16294486397780794</v>
      </c>
      <c r="Q76" s="22">
        <f t="shared" ref="Q76:Q90" si="43">AVERAGE(I76:J76,M76:N76)</f>
        <v>18.25626308527745</v>
      </c>
      <c r="R76" s="22">
        <f t="shared" ref="R76:R90" si="44">STDEV(I76:J76,M76:N76)</f>
        <v>0.23041945243745282</v>
      </c>
      <c r="S76" s="23">
        <v>1761.1913719758895</v>
      </c>
      <c r="T76" s="24">
        <v>1760.5426724239076</v>
      </c>
      <c r="U76" s="25">
        <f t="shared" ref="U76:U90" si="45">(S76+T76)/2</f>
        <v>1760.8670221998987</v>
      </c>
      <c r="V76" s="21">
        <v>18.929633693421678</v>
      </c>
      <c r="W76" s="22">
        <v>18.593525607907665</v>
      </c>
      <c r="X76" s="22">
        <f t="shared" ref="X76:X90" si="46">(V76+W76)/2</f>
        <v>18.761579650664672</v>
      </c>
      <c r="Y76" s="26">
        <f t="shared" ref="Y76:Y90" si="47">(V76-W76)/2</f>
        <v>0.16805404275700653</v>
      </c>
      <c r="Z76" s="21">
        <v>18.691308847442244</v>
      </c>
      <c r="AA76" s="22">
        <v>18.361280822622291</v>
      </c>
      <c r="AB76" s="22">
        <f t="shared" ref="AB76:AB90" si="48">(Z76+AA76)/2</f>
        <v>18.526294835032267</v>
      </c>
      <c r="AC76" s="26">
        <f t="shared" ref="AC76:AC90" si="49">(Z76-AA76)/2</f>
        <v>0.16501401240997637</v>
      </c>
      <c r="AD76" s="22">
        <f t="shared" ref="AD76:AD90" si="50">AVERAGE(V76,W76,Z76,AA76)</f>
        <v>18.64393724284847</v>
      </c>
      <c r="AE76" s="26">
        <f t="shared" ref="AE76:AE90" si="51">STDEV(V76,W76,Z76,AA76)</f>
        <v>0.23544462592040741</v>
      </c>
    </row>
    <row r="77" spans="1:31">
      <c r="A77" s="49" t="s">
        <v>82</v>
      </c>
      <c r="B77" s="50">
        <v>1800</v>
      </c>
      <c r="C77" s="50">
        <v>7.5</v>
      </c>
      <c r="D77" s="21">
        <v>18.055299999999999</v>
      </c>
      <c r="E77" s="26">
        <v>0.1686</v>
      </c>
      <c r="F77" s="57">
        <v>0.95176000000000005</v>
      </c>
      <c r="G77" s="51">
        <v>0.95094000000000001</v>
      </c>
      <c r="H77" s="58">
        <v>0.95259000000000005</v>
      </c>
      <c r="I77" s="21">
        <v>18.223611484895741</v>
      </c>
      <c r="J77" s="22">
        <v>17.876408435613342</v>
      </c>
      <c r="K77" s="22">
        <f t="shared" si="39"/>
        <v>18.050009960254542</v>
      </c>
      <c r="L77" s="26">
        <f t="shared" si="40"/>
        <v>0.17360152464119949</v>
      </c>
      <c r="M77" s="21">
        <v>17.997022858000747</v>
      </c>
      <c r="N77" s="22">
        <v>17.656194112872559</v>
      </c>
      <c r="O77" s="22">
        <f t="shared" si="41"/>
        <v>17.826608485436651</v>
      </c>
      <c r="P77" s="26">
        <f t="shared" si="42"/>
        <v>0.17041437256409431</v>
      </c>
      <c r="Q77" s="22">
        <f t="shared" si="43"/>
        <v>17.938309222845596</v>
      </c>
      <c r="R77" s="22">
        <f t="shared" si="44"/>
        <v>0.23682997728267266</v>
      </c>
      <c r="S77" s="23">
        <v>1866.9340548252781</v>
      </c>
      <c r="T77" s="24">
        <v>1866.1750212746704</v>
      </c>
      <c r="U77" s="25">
        <f t="shared" si="45"/>
        <v>1866.5545380499743</v>
      </c>
      <c r="V77" s="21">
        <v>18.65478607732571</v>
      </c>
      <c r="W77" s="22">
        <v>18.302408997139345</v>
      </c>
      <c r="X77" s="22">
        <f t="shared" si="46"/>
        <v>18.478597537232528</v>
      </c>
      <c r="Y77" s="26">
        <f t="shared" si="47"/>
        <v>0.17618854009318241</v>
      </c>
      <c r="Z77" s="21">
        <v>18.418727723116234</v>
      </c>
      <c r="AA77" s="22">
        <v>18.073058690335287</v>
      </c>
      <c r="AB77" s="22">
        <f t="shared" si="48"/>
        <v>18.245893206725761</v>
      </c>
      <c r="AC77" s="26">
        <f t="shared" si="49"/>
        <v>0.17283451639047342</v>
      </c>
      <c r="AD77" s="22">
        <f t="shared" si="50"/>
        <v>18.362245371979142</v>
      </c>
      <c r="AE77" s="26">
        <f t="shared" si="51"/>
        <v>0.24219802426168696</v>
      </c>
    </row>
    <row r="78" spans="1:31">
      <c r="A78" s="49" t="s">
        <v>83</v>
      </c>
      <c r="B78" s="50">
        <v>1800</v>
      </c>
      <c r="C78" s="50">
        <v>7.5</v>
      </c>
      <c r="D78" s="21">
        <v>17.9512</v>
      </c>
      <c r="E78" s="26">
        <v>0.16618250000000001</v>
      </c>
      <c r="F78" s="57">
        <v>0.95228000000000002</v>
      </c>
      <c r="G78" s="51">
        <v>0.95145999999999997</v>
      </c>
      <c r="H78" s="58">
        <v>0.95309999999999995</v>
      </c>
      <c r="I78" s="21">
        <v>18.113855037351897</v>
      </c>
      <c r="J78" s="22">
        <v>17.769717180111151</v>
      </c>
      <c r="K78" s="22">
        <f t="shared" si="39"/>
        <v>17.941786108731524</v>
      </c>
      <c r="L78" s="26">
        <f t="shared" si="40"/>
        <v>0.17206892862037293</v>
      </c>
      <c r="M78" s="21">
        <v>17.889282261227059</v>
      </c>
      <c r="N78" s="22">
        <v>17.551459918835839</v>
      </c>
      <c r="O78" s="22">
        <f t="shared" si="41"/>
        <v>17.720371090031449</v>
      </c>
      <c r="P78" s="26">
        <f t="shared" si="42"/>
        <v>0.16891117119561017</v>
      </c>
      <c r="Q78" s="22">
        <f t="shared" si="43"/>
        <v>17.831078599381485</v>
      </c>
      <c r="R78" s="22">
        <f t="shared" si="44"/>
        <v>0.23473531931974356</v>
      </c>
      <c r="S78" s="23">
        <v>1866.6951857062095</v>
      </c>
      <c r="T78" s="24">
        <v>1865.9397671318573</v>
      </c>
      <c r="U78" s="25">
        <f t="shared" si="45"/>
        <v>1866.3174764190335</v>
      </c>
      <c r="V78" s="21">
        <v>18.543400059340044</v>
      </c>
      <c r="W78" s="22">
        <v>18.194116528110882</v>
      </c>
      <c r="X78" s="22">
        <f t="shared" si="46"/>
        <v>18.368758293725463</v>
      </c>
      <c r="Y78" s="26">
        <f t="shared" si="47"/>
        <v>0.17464176561458089</v>
      </c>
      <c r="Z78" s="21">
        <v>18.309463386174606</v>
      </c>
      <c r="AA78" s="22">
        <v>17.966825220948273</v>
      </c>
      <c r="AB78" s="22">
        <f t="shared" si="48"/>
        <v>18.13814430356144</v>
      </c>
      <c r="AC78" s="26">
        <f t="shared" si="49"/>
        <v>0.17131908261316653</v>
      </c>
      <c r="AD78" s="22">
        <f t="shared" si="50"/>
        <v>18.253451298643451</v>
      </c>
      <c r="AE78" s="26">
        <f t="shared" si="51"/>
        <v>0.24005746616741774</v>
      </c>
    </row>
    <row r="79" spans="1:31">
      <c r="A79" s="49" t="s">
        <v>84</v>
      </c>
      <c r="B79" s="50">
        <v>1700</v>
      </c>
      <c r="C79" s="50">
        <v>7.5</v>
      </c>
      <c r="D79" s="21">
        <v>17.805</v>
      </c>
      <c r="E79" s="26">
        <v>0.16713500000000001</v>
      </c>
      <c r="F79" s="57">
        <v>0.94981000000000004</v>
      </c>
      <c r="G79" s="51">
        <v>0.94899999999999995</v>
      </c>
      <c r="H79" s="58">
        <v>0.95062000000000002</v>
      </c>
      <c r="I79" s="21">
        <v>17.991764676498736</v>
      </c>
      <c r="J79" s="22">
        <v>17.647671780751544</v>
      </c>
      <c r="K79" s="22">
        <f t="shared" si="39"/>
        <v>17.819718228625142</v>
      </c>
      <c r="L79" s="26">
        <f t="shared" si="40"/>
        <v>0.17204644787359591</v>
      </c>
      <c r="M79" s="21">
        <v>17.772136430502783</v>
      </c>
      <c r="N79" s="22">
        <v>17.434038764501437</v>
      </c>
      <c r="O79" s="22">
        <f t="shared" si="41"/>
        <v>17.60308759750211</v>
      </c>
      <c r="P79" s="26">
        <f t="shared" si="42"/>
        <v>0.16904883300067297</v>
      </c>
      <c r="Q79" s="22">
        <f t="shared" si="43"/>
        <v>17.711402913063626</v>
      </c>
      <c r="R79" s="22">
        <f t="shared" si="44"/>
        <v>0.23329795446337495</v>
      </c>
      <c r="S79" s="23">
        <v>1760.1242558802505</v>
      </c>
      <c r="T79" s="24">
        <v>1759.4371837213037</v>
      </c>
      <c r="U79" s="25">
        <f t="shared" si="45"/>
        <v>1759.7807198007772</v>
      </c>
      <c r="V79" s="21">
        <v>18.378904816797331</v>
      </c>
      <c r="W79" s="22">
        <v>18.030134919122354</v>
      </c>
      <c r="X79" s="22">
        <f t="shared" si="46"/>
        <v>18.204519867959842</v>
      </c>
      <c r="Y79" s="26">
        <f t="shared" si="47"/>
        <v>0.17438494883748845</v>
      </c>
      <c r="Z79" s="21">
        <v>18.150538776863044</v>
      </c>
      <c r="AA79" s="22">
        <v>17.808064551493821</v>
      </c>
      <c r="AB79" s="22">
        <f t="shared" si="48"/>
        <v>17.979301664178433</v>
      </c>
      <c r="AC79" s="26">
        <f t="shared" si="49"/>
        <v>0.1712371126846115</v>
      </c>
      <c r="AD79" s="22">
        <f t="shared" si="50"/>
        <v>18.091910766069137</v>
      </c>
      <c r="AE79" s="26">
        <f t="shared" si="51"/>
        <v>0.23817903462014739</v>
      </c>
    </row>
    <row r="80" spans="1:31">
      <c r="A80" s="49" t="s">
        <v>85</v>
      </c>
      <c r="B80" s="50">
        <v>1500</v>
      </c>
      <c r="C80" s="50">
        <v>7.5</v>
      </c>
      <c r="D80" s="21">
        <v>17.437899999999999</v>
      </c>
      <c r="E80" s="26">
        <v>0.16669899999999999</v>
      </c>
      <c r="F80" s="57">
        <v>0.94532000000000005</v>
      </c>
      <c r="G80" s="51">
        <v>0.94452999999999998</v>
      </c>
      <c r="H80" s="58">
        <v>0.94611999999999996</v>
      </c>
      <c r="I80" s="21">
        <v>17.669312098851169</v>
      </c>
      <c r="J80" s="22">
        <v>17.324155713214417</v>
      </c>
      <c r="K80" s="22">
        <f t="shared" si="39"/>
        <v>17.496733906032794</v>
      </c>
      <c r="L80" s="26">
        <f t="shared" si="40"/>
        <v>0.17257819281837605</v>
      </c>
      <c r="M80" s="21">
        <v>17.463723351548271</v>
      </c>
      <c r="N80" s="22">
        <v>17.1239358386403</v>
      </c>
      <c r="O80" s="22">
        <f t="shared" si="41"/>
        <v>17.293829595094287</v>
      </c>
      <c r="P80" s="26">
        <f t="shared" si="42"/>
        <v>0.16989375645398574</v>
      </c>
      <c r="Q80" s="22">
        <f t="shared" si="43"/>
        <v>17.395281750563541</v>
      </c>
      <c r="R80" s="22">
        <f t="shared" si="44"/>
        <v>0.22982921313766588</v>
      </c>
      <c r="S80" s="23">
        <v>1547.9452218058998</v>
      </c>
      <c r="T80" s="24">
        <v>1547.382410769419</v>
      </c>
      <c r="U80" s="25">
        <f t="shared" si="45"/>
        <v>1547.6638162876593</v>
      </c>
      <c r="V80" s="21">
        <v>17.977597712718477</v>
      </c>
      <c r="W80" s="22">
        <v>17.628621643391764</v>
      </c>
      <c r="X80" s="22">
        <f t="shared" si="46"/>
        <v>17.803109678055122</v>
      </c>
      <c r="Y80" s="26">
        <f t="shared" si="47"/>
        <v>0.17448803466335683</v>
      </c>
      <c r="Z80" s="21">
        <v>17.764616884439381</v>
      </c>
      <c r="AA80" s="22">
        <v>17.421255009147323</v>
      </c>
      <c r="AB80" s="22">
        <f t="shared" si="48"/>
        <v>17.592935946793354</v>
      </c>
      <c r="AC80" s="26">
        <f t="shared" si="49"/>
        <v>0.17168093764602865</v>
      </c>
      <c r="AD80" s="22">
        <f t="shared" si="50"/>
        <v>17.698022812424234</v>
      </c>
      <c r="AE80" s="26">
        <f t="shared" si="51"/>
        <v>0.23381890035944125</v>
      </c>
    </row>
    <row r="81" spans="1:31">
      <c r="A81" s="49" t="s">
        <v>86</v>
      </c>
      <c r="B81" s="50">
        <v>1300</v>
      </c>
      <c r="C81" s="50">
        <v>7.5</v>
      </c>
      <c r="D81" s="21">
        <v>16.97465</v>
      </c>
      <c r="E81" s="26">
        <v>0.164109</v>
      </c>
      <c r="F81" s="57">
        <v>0.94140999999999997</v>
      </c>
      <c r="G81" s="51">
        <v>0.94064999999999999</v>
      </c>
      <c r="H81" s="58">
        <v>0.94218000000000002</v>
      </c>
      <c r="I81" s="21">
        <v>17.239625626423717</v>
      </c>
      <c r="J81" s="22">
        <v>16.901236598087795</v>
      </c>
      <c r="K81" s="22">
        <f t="shared" si="39"/>
        <v>17.070431112255754</v>
      </c>
      <c r="L81" s="26">
        <f t="shared" si="40"/>
        <v>0.16919451416796072</v>
      </c>
      <c r="M81" s="21">
        <v>17.053114686442285</v>
      </c>
      <c r="N81" s="22">
        <v>16.71935602750851</v>
      </c>
      <c r="O81" s="22">
        <f t="shared" si="41"/>
        <v>16.886235356975398</v>
      </c>
      <c r="P81" s="26">
        <f t="shared" si="42"/>
        <v>0.16687932946688733</v>
      </c>
      <c r="Q81" s="22">
        <f t="shared" si="43"/>
        <v>16.978333234615576</v>
      </c>
      <c r="R81" s="22">
        <f t="shared" si="44"/>
        <v>0.22126836249149431</v>
      </c>
      <c r="S81" s="23">
        <v>1337.1073997576136</v>
      </c>
      <c r="T81" s="24">
        <v>1336.666548132145</v>
      </c>
      <c r="U81" s="25">
        <f t="shared" si="45"/>
        <v>1336.8869739448792</v>
      </c>
      <c r="V81" s="21">
        <v>17.477435786663534</v>
      </c>
      <c r="W81" s="22">
        <v>17.136072487642082</v>
      </c>
      <c r="X81" s="22">
        <f t="shared" si="46"/>
        <v>17.306754137152808</v>
      </c>
      <c r="Y81" s="26">
        <f t="shared" si="47"/>
        <v>0.17068164951072617</v>
      </c>
      <c r="Z81" s="21">
        <v>17.284931048678651</v>
      </c>
      <c r="AA81" s="22">
        <v>16.9483880192236</v>
      </c>
      <c r="AB81" s="22">
        <f t="shared" si="48"/>
        <v>17.116659533951125</v>
      </c>
      <c r="AC81" s="26">
        <f t="shared" si="49"/>
        <v>0.16827151472752533</v>
      </c>
      <c r="AD81" s="22">
        <f t="shared" si="50"/>
        <v>17.211706835551965</v>
      </c>
      <c r="AE81" s="26">
        <f t="shared" si="51"/>
        <v>0.22437395456633066</v>
      </c>
    </row>
    <row r="82" spans="1:31">
      <c r="A82" s="49" t="s">
        <v>87</v>
      </c>
      <c r="B82" s="50">
        <v>1100</v>
      </c>
      <c r="C82" s="50">
        <v>7.5</v>
      </c>
      <c r="D82" s="21">
        <v>16.628349999999998</v>
      </c>
      <c r="E82" s="26">
        <v>0.15687099999999998</v>
      </c>
      <c r="F82" s="57">
        <v>0.93711</v>
      </c>
      <c r="G82" s="51">
        <v>0.93640000000000001</v>
      </c>
      <c r="H82" s="58">
        <v>0.93783000000000005</v>
      </c>
      <c r="I82" s="21">
        <v>16.915800300313432</v>
      </c>
      <c r="J82" s="22">
        <v>16.592879084793804</v>
      </c>
      <c r="K82" s="22">
        <f t="shared" si="39"/>
        <v>16.754339692553618</v>
      </c>
      <c r="L82" s="26">
        <f t="shared" si="40"/>
        <v>0.16146060775981397</v>
      </c>
      <c r="M82" s="21">
        <v>16.750183443889526</v>
      </c>
      <c r="N82" s="22">
        <v>16.431080202462635</v>
      </c>
      <c r="O82" s="22">
        <f t="shared" si="41"/>
        <v>16.590631823176082</v>
      </c>
      <c r="P82" s="26">
        <f t="shared" si="42"/>
        <v>0.15955162071344553</v>
      </c>
      <c r="Q82" s="22">
        <f t="shared" si="43"/>
        <v>16.672485757864848</v>
      </c>
      <c r="R82" s="22">
        <f t="shared" si="44"/>
        <v>0.20804868144823241</v>
      </c>
      <c r="S82" s="23">
        <v>1127.8800705541578</v>
      </c>
      <c r="T82" s="24">
        <v>1127.556232676975</v>
      </c>
      <c r="U82" s="25">
        <f t="shared" si="45"/>
        <v>1127.7181516155665</v>
      </c>
      <c r="V82" s="21">
        <v>17.093374217716395</v>
      </c>
      <c r="W82" s="22">
        <v>16.768288288282932</v>
      </c>
      <c r="X82" s="22">
        <f t="shared" si="46"/>
        <v>16.930831252999663</v>
      </c>
      <c r="Y82" s="26">
        <f t="shared" si="47"/>
        <v>0.16254296471673157</v>
      </c>
      <c r="Z82" s="21">
        <v>16.923043177281478</v>
      </c>
      <c r="AA82" s="22">
        <v>16.601913473123595</v>
      </c>
      <c r="AB82" s="22">
        <f t="shared" si="48"/>
        <v>16.762478325202537</v>
      </c>
      <c r="AC82" s="26">
        <f t="shared" si="49"/>
        <v>0.16056485207894156</v>
      </c>
      <c r="AD82" s="22">
        <f t="shared" si="50"/>
        <v>16.846654789101102</v>
      </c>
      <c r="AE82" s="26">
        <f t="shared" si="51"/>
        <v>0.21035310195156667</v>
      </c>
    </row>
    <row r="83" spans="1:31">
      <c r="A83" s="49" t="s">
        <v>88</v>
      </c>
      <c r="B83" s="50">
        <v>900</v>
      </c>
      <c r="C83" s="50">
        <v>7.5</v>
      </c>
      <c r="D83" s="21">
        <v>16.31015</v>
      </c>
      <c r="E83" s="26">
        <v>0.15843400000000002</v>
      </c>
      <c r="F83" s="57">
        <v>0.93289</v>
      </c>
      <c r="G83" s="51">
        <v>0.93218999999999996</v>
      </c>
      <c r="H83" s="58">
        <v>0.93359999999999999</v>
      </c>
      <c r="I83" s="21">
        <v>16.614008800475467</v>
      </c>
      <c r="J83" s="22">
        <v>16.289009351968918</v>
      </c>
      <c r="K83" s="22">
        <f t="shared" si="39"/>
        <v>16.451509076222194</v>
      </c>
      <c r="L83" s="26">
        <f t="shared" si="40"/>
        <v>0.16249972425327464</v>
      </c>
      <c r="M83" s="21">
        <v>16.472325715882839</v>
      </c>
      <c r="N83" s="22">
        <v>16.150571578625065</v>
      </c>
      <c r="O83" s="22">
        <f t="shared" si="41"/>
        <v>16.311448647253954</v>
      </c>
      <c r="P83" s="26">
        <f t="shared" si="42"/>
        <v>0.16087706862888673</v>
      </c>
      <c r="Q83" s="22">
        <f t="shared" si="43"/>
        <v>16.381478861738074</v>
      </c>
      <c r="R83" s="22">
        <f t="shared" si="44"/>
        <v>0.20346343401931397</v>
      </c>
      <c r="S83" s="23">
        <v>920.06860913625883</v>
      </c>
      <c r="T83" s="24">
        <v>919.82850600426195</v>
      </c>
      <c r="U83" s="25">
        <f t="shared" si="45"/>
        <v>919.94855757026039</v>
      </c>
      <c r="V83" s="21">
        <v>16.74027416983467</v>
      </c>
      <c r="W83" s="22">
        <v>16.413696842894165</v>
      </c>
      <c r="X83" s="22">
        <f t="shared" si="46"/>
        <v>16.576985506364416</v>
      </c>
      <c r="Y83" s="26">
        <f t="shared" si="47"/>
        <v>0.16328866347025262</v>
      </c>
      <c r="Z83" s="21">
        <v>16.5950727620591</v>
      </c>
      <c r="AA83" s="22">
        <v>16.271841576325279</v>
      </c>
      <c r="AB83" s="22">
        <f t="shared" si="48"/>
        <v>16.433457169192188</v>
      </c>
      <c r="AC83" s="26">
        <f t="shared" si="49"/>
        <v>0.16161559286691052</v>
      </c>
      <c r="AD83" s="22">
        <f t="shared" si="50"/>
        <v>16.505221337778302</v>
      </c>
      <c r="AE83" s="26">
        <f t="shared" si="51"/>
        <v>0.20507393668518151</v>
      </c>
    </row>
    <row r="84" spans="1:31">
      <c r="A84" s="49" t="s">
        <v>89</v>
      </c>
      <c r="B84" s="50">
        <v>700</v>
      </c>
      <c r="C84" s="50">
        <v>7.5</v>
      </c>
      <c r="D84" s="21">
        <v>15.973100000000001</v>
      </c>
      <c r="E84" s="26">
        <v>0.15753499999999998</v>
      </c>
      <c r="F84" s="57">
        <v>0.92900000000000005</v>
      </c>
      <c r="G84" s="51">
        <v>0.92832000000000003</v>
      </c>
      <c r="H84" s="58">
        <v>0.92969999999999997</v>
      </c>
      <c r="I84" s="21">
        <v>16.275127674029893</v>
      </c>
      <c r="J84" s="22">
        <v>15.950944052109625</v>
      </c>
      <c r="K84" s="22">
        <f t="shared" si="39"/>
        <v>16.113035863069758</v>
      </c>
      <c r="L84" s="26">
        <f t="shared" si="40"/>
        <v>0.16209181096013392</v>
      </c>
      <c r="M84" s="21">
        <v>16.160586618115751</v>
      </c>
      <c r="N84" s="22">
        <v>15.839061472018296</v>
      </c>
      <c r="O84" s="22">
        <f t="shared" si="41"/>
        <v>15.999824045067022</v>
      </c>
      <c r="P84" s="26">
        <f t="shared" si="42"/>
        <v>0.16076257304872765</v>
      </c>
      <c r="Q84" s="22">
        <f t="shared" si="43"/>
        <v>16.056429954068392</v>
      </c>
      <c r="R84" s="22">
        <f t="shared" si="44"/>
        <v>0.19752943736959905</v>
      </c>
      <c r="S84" s="23">
        <v>713.58856051954695</v>
      </c>
      <c r="T84" s="24">
        <v>713.4220810965752</v>
      </c>
      <c r="U84" s="25">
        <f t="shared" si="45"/>
        <v>713.50532080806101</v>
      </c>
      <c r="V84" s="21">
        <v>16.358410522618353</v>
      </c>
      <c r="W84" s="22">
        <v>16.033170431015705</v>
      </c>
      <c r="X84" s="22">
        <f t="shared" si="46"/>
        <v>16.195790476817031</v>
      </c>
      <c r="Y84" s="26">
        <f t="shared" si="47"/>
        <v>0.16262004580132405</v>
      </c>
      <c r="Z84" s="21">
        <v>16.241452385108076</v>
      </c>
      <c r="AA84" s="22">
        <v>15.918938098630928</v>
      </c>
      <c r="AB84" s="22">
        <f t="shared" si="48"/>
        <v>16.080195241869504</v>
      </c>
      <c r="AC84" s="26">
        <f t="shared" si="49"/>
        <v>0.16125714323857387</v>
      </c>
      <c r="AD84" s="22">
        <f t="shared" si="50"/>
        <v>16.137992859343267</v>
      </c>
      <c r="AE84" s="26">
        <f t="shared" si="51"/>
        <v>0.19854516650404372</v>
      </c>
    </row>
    <row r="85" spans="1:31">
      <c r="A85" s="49" t="s">
        <v>90</v>
      </c>
      <c r="B85" s="50">
        <v>500</v>
      </c>
      <c r="C85" s="50">
        <v>7.5</v>
      </c>
      <c r="D85" s="21">
        <v>15.704899999999999</v>
      </c>
      <c r="E85" s="26">
        <v>0.15755550000000001</v>
      </c>
      <c r="F85" s="57">
        <v>0.92515999999999998</v>
      </c>
      <c r="G85" s="51">
        <v>0.92449000000000003</v>
      </c>
      <c r="H85" s="58">
        <v>0.92583000000000004</v>
      </c>
      <c r="I85" s="21">
        <v>15.995928579822952</v>
      </c>
      <c r="J85" s="27">
        <v>15.674956694926138</v>
      </c>
      <c r="K85" s="22">
        <f t="shared" si="39"/>
        <v>15.835442637374545</v>
      </c>
      <c r="L85" s="26">
        <f t="shared" si="40"/>
        <v>0.16048594244840686</v>
      </c>
      <c r="M85" s="21">
        <v>15.909858813969084</v>
      </c>
      <c r="N85" s="22">
        <v>15.590982813590072</v>
      </c>
      <c r="O85" s="22">
        <f t="shared" si="41"/>
        <v>15.750420813779577</v>
      </c>
      <c r="P85" s="26">
        <f t="shared" si="42"/>
        <v>0.15943800018950594</v>
      </c>
      <c r="Q85" s="22">
        <f t="shared" si="43"/>
        <v>15.792931725577063</v>
      </c>
      <c r="R85" s="22">
        <f t="shared" si="44"/>
        <v>0.19112050103131109</v>
      </c>
      <c r="S85" s="23">
        <v>508.45455764008113</v>
      </c>
      <c r="T85" s="24">
        <v>508.34974370664298</v>
      </c>
      <c r="U85" s="25">
        <f t="shared" si="45"/>
        <v>508.40215067336203</v>
      </c>
      <c r="V85" s="21">
        <v>16.044461741509355</v>
      </c>
      <c r="W85" s="22">
        <v>15.722878586374845</v>
      </c>
      <c r="X85" s="22">
        <f t="shared" si="46"/>
        <v>15.883670163942099</v>
      </c>
      <c r="Y85" s="26">
        <f t="shared" si="47"/>
        <v>0.16079157756725504</v>
      </c>
      <c r="Z85" s="21">
        <v>15.956935487058985</v>
      </c>
      <c r="AA85" s="22">
        <v>15.637487041931525</v>
      </c>
      <c r="AB85" s="22">
        <f t="shared" si="48"/>
        <v>15.797211264495255</v>
      </c>
      <c r="AC85" s="26">
        <f t="shared" si="49"/>
        <v>0.15972422256372987</v>
      </c>
      <c r="AD85" s="22">
        <f t="shared" si="50"/>
        <v>15.840440714218676</v>
      </c>
      <c r="AE85" s="26">
        <f t="shared" si="51"/>
        <v>0.19166521043551327</v>
      </c>
    </row>
    <row r="86" spans="1:31">
      <c r="A86" s="49" t="s">
        <v>91</v>
      </c>
      <c r="B86" s="50">
        <v>308</v>
      </c>
      <c r="C86" s="50">
        <v>7.5</v>
      </c>
      <c r="D86" s="21">
        <v>15.336549999999999</v>
      </c>
      <c r="E86" s="26">
        <v>0.14868900000000002</v>
      </c>
      <c r="F86" s="57">
        <v>0.92244000000000004</v>
      </c>
      <c r="G86" s="51">
        <v>0.92181999999999997</v>
      </c>
      <c r="H86" s="58">
        <v>0.92306999999999995</v>
      </c>
      <c r="I86" s="21">
        <v>15.628178794622738</v>
      </c>
      <c r="J86" s="22">
        <v>15.324272581481187</v>
      </c>
      <c r="K86" s="22">
        <f t="shared" si="39"/>
        <v>15.476225688051962</v>
      </c>
      <c r="L86" s="26">
        <f t="shared" si="40"/>
        <v>0.1519531065707751</v>
      </c>
      <c r="M86" s="21">
        <v>15.568881952754984</v>
      </c>
      <c r="N86" s="22">
        <v>15.26655690072468</v>
      </c>
      <c r="O86" s="22">
        <f t="shared" si="41"/>
        <v>15.417719426739833</v>
      </c>
      <c r="P86" s="26">
        <f t="shared" si="42"/>
        <v>0.15116252601515168</v>
      </c>
      <c r="Q86" s="22">
        <f t="shared" si="43"/>
        <v>15.446972557395897</v>
      </c>
      <c r="R86" s="22">
        <f t="shared" si="44"/>
        <v>0.17823457796614064</v>
      </c>
      <c r="S86" s="23">
        <v>312.69999156349456</v>
      </c>
      <c r="T86" s="24">
        <v>312.64320204005082</v>
      </c>
      <c r="U86" s="25">
        <f t="shared" si="45"/>
        <v>312.67159680177269</v>
      </c>
      <c r="V86" s="21">
        <v>15.650031365870451</v>
      </c>
      <c r="W86" s="22">
        <v>15.34587144673521</v>
      </c>
      <c r="X86" s="22">
        <f t="shared" si="46"/>
        <v>15.49795140630283</v>
      </c>
      <c r="Y86" s="26">
        <f t="shared" si="47"/>
        <v>0.15207995956762055</v>
      </c>
      <c r="Z86" s="21">
        <v>15.590077697206571</v>
      </c>
      <c r="AA86" s="22">
        <v>15.287514701226634</v>
      </c>
      <c r="AB86" s="22">
        <f t="shared" si="48"/>
        <v>15.438796199216602</v>
      </c>
      <c r="AC86" s="26">
        <f t="shared" si="49"/>
        <v>0.15128149798996837</v>
      </c>
      <c r="AD86" s="22">
        <f t="shared" si="50"/>
        <v>15.468373802759716</v>
      </c>
      <c r="AE86" s="26">
        <f t="shared" si="51"/>
        <v>0.17844527639005589</v>
      </c>
    </row>
    <row r="87" spans="1:31">
      <c r="A87" s="49" t="s">
        <v>92</v>
      </c>
      <c r="B87" s="50">
        <v>2100</v>
      </c>
      <c r="C87" s="50">
        <v>9.5</v>
      </c>
      <c r="D87" s="21">
        <v>20.0748</v>
      </c>
      <c r="E87" s="26">
        <v>0.21846099999999999</v>
      </c>
      <c r="F87" s="57">
        <v>0.95137000000000005</v>
      </c>
      <c r="G87" s="51">
        <v>0.95030999999999999</v>
      </c>
      <c r="H87" s="58">
        <v>0.95243999999999995</v>
      </c>
      <c r="I87" s="21">
        <v>20.292157540886937</v>
      </c>
      <c r="J87" s="22">
        <v>19.841325806081141</v>
      </c>
      <c r="K87" s="22">
        <f t="shared" si="39"/>
        <v>20.066741673484039</v>
      </c>
      <c r="L87" s="26">
        <f t="shared" si="40"/>
        <v>0.22541586740289787</v>
      </c>
      <c r="M87" s="21">
        <v>20.020229739532155</v>
      </c>
      <c r="N87" s="22">
        <v>19.578974576262652</v>
      </c>
      <c r="O87" s="22">
        <f t="shared" si="41"/>
        <v>19.799602157897404</v>
      </c>
      <c r="P87" s="26">
        <f t="shared" si="42"/>
        <v>0.22062758163475138</v>
      </c>
      <c r="Q87" s="22">
        <f t="shared" si="43"/>
        <v>19.933171915690721</v>
      </c>
      <c r="R87" s="22">
        <f t="shared" si="44"/>
        <v>0.30018949953757623</v>
      </c>
      <c r="S87" s="23">
        <v>2193.5794841598486</v>
      </c>
      <c r="T87" s="24">
        <v>2192.3781834743327</v>
      </c>
      <c r="U87" s="25">
        <f t="shared" si="45"/>
        <v>2192.9788338170906</v>
      </c>
      <c r="V87" s="21">
        <v>20.896749442389048</v>
      </c>
      <c r="W87" s="22">
        <v>20.437631343215102</v>
      </c>
      <c r="X87" s="22">
        <f t="shared" si="46"/>
        <v>20.667190392802077</v>
      </c>
      <c r="Y87" s="26">
        <f t="shared" si="47"/>
        <v>0.22955904958697282</v>
      </c>
      <c r="Z87" s="21">
        <v>20.611420249279291</v>
      </c>
      <c r="AA87" s="22">
        <v>20.162460733156113</v>
      </c>
      <c r="AB87" s="22">
        <f t="shared" si="48"/>
        <v>20.3869404912177</v>
      </c>
      <c r="AC87" s="26">
        <f t="shared" si="49"/>
        <v>0.22447975806158915</v>
      </c>
      <c r="AD87" s="22">
        <f t="shared" si="50"/>
        <v>20.527065442009889</v>
      </c>
      <c r="AE87" s="26">
        <f t="shared" si="51"/>
        <v>0.30806765782393669</v>
      </c>
    </row>
    <row r="88" spans="1:31">
      <c r="A88" s="49" t="s">
        <v>93</v>
      </c>
      <c r="B88" s="50">
        <v>1900</v>
      </c>
      <c r="C88" s="50">
        <v>9.5</v>
      </c>
      <c r="D88" s="21">
        <v>19.333550000000002</v>
      </c>
      <c r="E88" s="26">
        <v>0.12091175000000001</v>
      </c>
      <c r="F88" s="57">
        <v>0.94869000000000003</v>
      </c>
      <c r="G88" s="51">
        <v>0.94811000000000001</v>
      </c>
      <c r="H88" s="58">
        <v>0.94928000000000001</v>
      </c>
      <c r="I88" s="21">
        <v>19.471422742999231</v>
      </c>
      <c r="J88" s="22">
        <v>19.220788142962199</v>
      </c>
      <c r="K88" s="22">
        <f t="shared" si="39"/>
        <v>19.346105442980715</v>
      </c>
      <c r="L88" s="26">
        <f t="shared" si="40"/>
        <v>0.12531730001851571</v>
      </c>
      <c r="M88" s="21">
        <v>19.219011206021037</v>
      </c>
      <c r="N88" s="22">
        <v>18.973225358062059</v>
      </c>
      <c r="O88" s="22">
        <f t="shared" si="41"/>
        <v>19.096118282041548</v>
      </c>
      <c r="P88" s="26">
        <f t="shared" si="42"/>
        <v>0.1228929239794887</v>
      </c>
      <c r="Q88" s="22">
        <f t="shared" si="43"/>
        <v>19.22111186251113</v>
      </c>
      <c r="R88" s="22">
        <f t="shared" si="44"/>
        <v>0.20339434073636614</v>
      </c>
      <c r="S88" s="23">
        <v>1976.5161995980661</v>
      </c>
      <c r="T88" s="24">
        <v>1975.941996178163</v>
      </c>
      <c r="U88" s="25">
        <f t="shared" si="45"/>
        <v>1976.2290978881147</v>
      </c>
      <c r="V88" s="21">
        <v>19.965413572575017</v>
      </c>
      <c r="W88" s="22">
        <v>19.710832087440572</v>
      </c>
      <c r="X88" s="22">
        <f t="shared" si="46"/>
        <v>19.838122830007794</v>
      </c>
      <c r="Y88" s="26">
        <f t="shared" si="47"/>
        <v>0.12729074256722228</v>
      </c>
      <c r="Z88" s="21">
        <v>19.701711429500804</v>
      </c>
      <c r="AA88" s="22">
        <v>19.45224981011123</v>
      </c>
      <c r="AB88" s="22">
        <f t="shared" si="48"/>
        <v>19.576980619806015</v>
      </c>
      <c r="AC88" s="26">
        <f t="shared" si="49"/>
        <v>0.12473080969478723</v>
      </c>
      <c r="AD88" s="22">
        <f t="shared" si="50"/>
        <v>19.707551724906907</v>
      </c>
      <c r="AE88" s="26">
        <f t="shared" si="51"/>
        <v>0.20953652824741037</v>
      </c>
    </row>
    <row r="89" spans="1:31">
      <c r="A89" s="49" t="s">
        <v>94</v>
      </c>
      <c r="B89" s="50">
        <v>1700</v>
      </c>
      <c r="C89" s="50">
        <v>9.5</v>
      </c>
      <c r="D89" s="21">
        <v>18.978999999999999</v>
      </c>
      <c r="E89" s="26">
        <v>0.20407275000000002</v>
      </c>
      <c r="F89" s="57">
        <v>0.94418000000000002</v>
      </c>
      <c r="G89" s="51">
        <v>0.94320999999999999</v>
      </c>
      <c r="H89" s="58">
        <v>0.94513999999999998</v>
      </c>
      <c r="I89" s="21">
        <v>19.246497249859328</v>
      </c>
      <c r="J89" s="22">
        <v>18.823885041279333</v>
      </c>
      <c r="K89" s="22">
        <f t="shared" si="39"/>
        <v>19.035191145569328</v>
      </c>
      <c r="L89" s="26">
        <f t="shared" si="40"/>
        <v>0.21130610428999752</v>
      </c>
      <c r="M89" s="21">
        <v>19.004975150769265</v>
      </c>
      <c r="N89" s="22">
        <v>18.589739608513057</v>
      </c>
      <c r="O89" s="22">
        <f t="shared" si="41"/>
        <v>18.797357379641163</v>
      </c>
      <c r="P89" s="26">
        <f t="shared" si="42"/>
        <v>0.20761777112810442</v>
      </c>
      <c r="Q89" s="22">
        <f t="shared" si="43"/>
        <v>18.916274262605246</v>
      </c>
      <c r="R89" s="22">
        <f t="shared" si="44"/>
        <v>0.27813409081017593</v>
      </c>
      <c r="S89" s="23">
        <v>1762.5560513401097</v>
      </c>
      <c r="T89" s="24">
        <v>1761.7495147403843</v>
      </c>
      <c r="U89" s="25">
        <f t="shared" si="45"/>
        <v>1762.152783040247</v>
      </c>
      <c r="V89" s="21">
        <v>19.650278676645058</v>
      </c>
      <c r="W89" s="22">
        <v>19.222131680838476</v>
      </c>
      <c r="X89" s="22">
        <f t="shared" si="46"/>
        <v>19.436205178741766</v>
      </c>
      <c r="Y89" s="26">
        <f t="shared" si="47"/>
        <v>0.214073497903291</v>
      </c>
      <c r="Z89" s="21">
        <v>19.398901522672766</v>
      </c>
      <c r="AA89" s="22">
        <v>18.978511174825851</v>
      </c>
      <c r="AB89" s="22">
        <f t="shared" si="48"/>
        <v>19.188706348749307</v>
      </c>
      <c r="AC89" s="26">
        <f t="shared" si="49"/>
        <v>0.21019517392345755</v>
      </c>
      <c r="AD89" s="22">
        <f t="shared" si="50"/>
        <v>19.312455763745536</v>
      </c>
      <c r="AE89" s="26">
        <f t="shared" si="51"/>
        <v>0.28359279383073299</v>
      </c>
    </row>
    <row r="90" spans="1:31">
      <c r="A90" s="49" t="s">
        <v>95</v>
      </c>
      <c r="B90" s="50">
        <v>300</v>
      </c>
      <c r="C90" s="50">
        <v>0</v>
      </c>
      <c r="D90" s="21">
        <v>18.978999999999999</v>
      </c>
      <c r="E90" s="26">
        <v>0.20407275000000002</v>
      </c>
      <c r="F90" s="57">
        <v>0.90766999999999998</v>
      </c>
      <c r="G90" s="51">
        <v>0.90686999999999995</v>
      </c>
      <c r="H90" s="58">
        <v>0.90844999999999998</v>
      </c>
      <c r="I90" s="21">
        <v>19.388245961763644</v>
      </c>
      <c r="J90" s="22">
        <v>18.97249413449304</v>
      </c>
      <c r="K90" s="22">
        <f t="shared" si="39"/>
        <v>19.180370048128342</v>
      </c>
      <c r="L90" s="26">
        <f t="shared" si="40"/>
        <v>0.20787591363530211</v>
      </c>
      <c r="M90" s="21">
        <v>19.311024428353221</v>
      </c>
      <c r="N90" s="22">
        <v>18.897281298633413</v>
      </c>
      <c r="O90" s="22">
        <f t="shared" si="41"/>
        <v>19.104152863493319</v>
      </c>
      <c r="P90" s="26">
        <f t="shared" si="42"/>
        <v>0.20687156485990421</v>
      </c>
      <c r="Q90" s="22">
        <f t="shared" si="43"/>
        <v>19.142261455810829</v>
      </c>
      <c r="R90" s="22">
        <f t="shared" si="44"/>
        <v>0.24346494536742094</v>
      </c>
      <c r="S90" s="23">
        <v>305.20263171665141</v>
      </c>
      <c r="T90" s="24">
        <v>305.1372145585679</v>
      </c>
      <c r="U90" s="25">
        <f t="shared" si="45"/>
        <v>305.16992313760966</v>
      </c>
      <c r="V90" s="21">
        <v>19.411865850193774</v>
      </c>
      <c r="W90" s="22">
        <v>18.995832553625231</v>
      </c>
      <c r="X90" s="22">
        <f t="shared" si="46"/>
        <v>19.203849201909502</v>
      </c>
      <c r="Y90" s="26">
        <f t="shared" si="47"/>
        <v>0.20801664828427135</v>
      </c>
      <c r="Z90" s="27">
        <v>19.333829886296311</v>
      </c>
      <c r="AA90" s="22">
        <v>18.919826054687817</v>
      </c>
      <c r="AB90" s="22">
        <f t="shared" si="48"/>
        <v>19.126827970492066</v>
      </c>
      <c r="AC90" s="26">
        <f t="shared" si="49"/>
        <v>0.20700191580424665</v>
      </c>
      <c r="AD90" s="22">
        <f t="shared" si="50"/>
        <v>19.165338586200782</v>
      </c>
      <c r="AE90" s="26">
        <f t="shared" si="51"/>
        <v>0.24370317212349393</v>
      </c>
    </row>
    <row r="91" spans="1:31">
      <c r="A91" s="49"/>
      <c r="B91" s="50"/>
      <c r="C91" s="50"/>
      <c r="D91" s="21"/>
      <c r="E91" s="26"/>
      <c r="F91" s="57"/>
      <c r="G91" s="51"/>
      <c r="H91" s="58"/>
      <c r="I91" s="21"/>
      <c r="J91" s="22"/>
      <c r="K91" s="22"/>
      <c r="L91" s="26"/>
      <c r="M91" s="21"/>
      <c r="N91" s="22"/>
      <c r="O91" s="22"/>
      <c r="P91" s="26"/>
      <c r="Q91" s="22"/>
      <c r="R91" s="22"/>
      <c r="S91" s="23"/>
      <c r="T91" s="24"/>
      <c r="U91" s="25"/>
      <c r="V91" s="21"/>
      <c r="W91" s="22"/>
      <c r="X91" s="22"/>
      <c r="Y91" s="26"/>
      <c r="Z91" s="21"/>
      <c r="AA91" s="22"/>
      <c r="AB91" s="22"/>
      <c r="AC91" s="26"/>
      <c r="AD91" s="22"/>
      <c r="AE91" s="26"/>
    </row>
    <row r="92" spans="1:31">
      <c r="A92" s="49" t="s">
        <v>96</v>
      </c>
      <c r="B92" s="50">
        <v>1500</v>
      </c>
      <c r="C92" s="50">
        <v>7.5</v>
      </c>
      <c r="D92" s="21">
        <v>17.778500000000001</v>
      </c>
      <c r="E92" s="26">
        <v>0.183421</v>
      </c>
      <c r="F92" s="57">
        <v>0.94371000000000005</v>
      </c>
      <c r="G92" s="51">
        <v>0.94284999999999997</v>
      </c>
      <c r="H92" s="58">
        <v>0.94457000000000002</v>
      </c>
      <c r="I92" s="21">
        <v>18.037235406880075</v>
      </c>
      <c r="J92" s="22">
        <v>17.660592577528778</v>
      </c>
      <c r="K92" s="22">
        <f t="shared" ref="K92:K97" si="52">(I92+J92)/2</f>
        <v>17.848913992204427</v>
      </c>
      <c r="L92" s="26">
        <f t="shared" ref="L92:L97" si="53">(I92-J92)/2</f>
        <v>0.18832141467564867</v>
      </c>
      <c r="M92" s="21">
        <v>17.825920784160893</v>
      </c>
      <c r="N92" s="22">
        <v>17.455139501647089</v>
      </c>
      <c r="O92" s="22">
        <f t="shared" ref="O92:O97" si="54">(M92+N92)/2</f>
        <v>17.640530142903991</v>
      </c>
      <c r="P92" s="26">
        <f t="shared" ref="P92:P97" si="55">(M92-N92)/2</f>
        <v>0.18539064125690174</v>
      </c>
      <c r="Q92" s="22">
        <f t="shared" ref="Q92:Q97" si="56">AVERAGE(I92:J92,M92:N92)</f>
        <v>17.744722067554207</v>
      </c>
      <c r="R92" s="22">
        <f t="shared" ref="R92:R97" si="57">STDEV(I92:J92,M92:N92)</f>
        <v>0.24704461056756019</v>
      </c>
      <c r="S92" s="23">
        <v>1548.5370180737598</v>
      </c>
      <c r="T92" s="24">
        <v>1547.9310956613353</v>
      </c>
      <c r="U92" s="25">
        <v>1540.4904108094292</v>
      </c>
      <c r="V92" s="21">
        <v>18.349546702585272</v>
      </c>
      <c r="W92" s="22">
        <v>17.968782215601998</v>
      </c>
      <c r="X92" s="22">
        <f t="shared" ref="X92:X97" si="58">(V92+W92)/2</f>
        <v>18.159164459093635</v>
      </c>
      <c r="Y92" s="26">
        <f t="shared" ref="Y92:Y97" si="59">(V92-W92)/2</f>
        <v>0.19038224349163713</v>
      </c>
      <c r="Z92" s="21">
        <v>18.130576248747452</v>
      </c>
      <c r="AA92" s="22">
        <v>17.75594328159325</v>
      </c>
      <c r="AB92" s="22">
        <f t="shared" ref="AB92:AB97" si="60">(Z92+AA92)/2</f>
        <v>17.943259765170353</v>
      </c>
      <c r="AC92" s="26">
        <f t="shared" ref="AC92:AC97" si="61">(Z92-AA92)/2</f>
        <v>0.18731648357710107</v>
      </c>
      <c r="AD92" s="22">
        <f t="shared" ref="AD92:AD97" si="62">AVERAGE(V92,W92,Z92,AA92)</f>
        <v>18.051212112131992</v>
      </c>
      <c r="AE92" s="26">
        <f t="shared" ref="AE92:AE97" si="63">STDEV(V92,W92,Z92,AA92)</f>
        <v>0.2511842379418644</v>
      </c>
    </row>
    <row r="93" spans="1:31">
      <c r="A93" s="49" t="s">
        <v>97</v>
      </c>
      <c r="B93" s="50">
        <v>1700</v>
      </c>
      <c r="C93" s="50">
        <v>7.5</v>
      </c>
      <c r="D93" s="21">
        <v>17.310850000000002</v>
      </c>
      <c r="E93" s="26">
        <v>0.16248400000000002</v>
      </c>
      <c r="F93" s="57">
        <v>0.95223000000000002</v>
      </c>
      <c r="G93" s="51">
        <v>0.95143</v>
      </c>
      <c r="H93" s="58">
        <v>0.95303000000000004</v>
      </c>
      <c r="I93" s="21">
        <v>17.476752411701959</v>
      </c>
      <c r="J93" s="22">
        <v>17.141326640231661</v>
      </c>
      <c r="K93" s="22">
        <f t="shared" si="52"/>
        <v>17.30903952596681</v>
      </c>
      <c r="L93" s="26">
        <f t="shared" si="53"/>
        <v>0.16771288573514909</v>
      </c>
      <c r="M93" s="21">
        <v>17.266094728892689</v>
      </c>
      <c r="N93" s="22">
        <v>16.936501694066315</v>
      </c>
      <c r="O93" s="22">
        <f t="shared" si="54"/>
        <v>17.101298211479502</v>
      </c>
      <c r="P93" s="26">
        <f t="shared" si="55"/>
        <v>0.1647965174131869</v>
      </c>
      <c r="Q93" s="22">
        <f t="shared" si="56"/>
        <v>17.205168868723156</v>
      </c>
      <c r="R93" s="22">
        <f t="shared" si="57"/>
        <v>0.22636803523699073</v>
      </c>
      <c r="S93" s="23">
        <v>1759.0925211619685</v>
      </c>
      <c r="T93" s="24">
        <v>1758.4094673514908</v>
      </c>
      <c r="U93" s="25">
        <v>1540.4904108094292</v>
      </c>
      <c r="V93" s="21">
        <v>17.856873359045032</v>
      </c>
      <c r="W93" s="22">
        <v>17.516813547209452</v>
      </c>
      <c r="X93" s="22">
        <f t="shared" si="58"/>
        <v>17.686843453127242</v>
      </c>
      <c r="Y93" s="26">
        <f t="shared" si="59"/>
        <v>0.1700299059177901</v>
      </c>
      <c r="Z93" s="21">
        <v>17.637926558608953</v>
      </c>
      <c r="AA93" s="22">
        <v>17.303988403072783</v>
      </c>
      <c r="AB93" s="22">
        <f t="shared" si="60"/>
        <v>17.470957480840866</v>
      </c>
      <c r="AC93" s="26">
        <f t="shared" si="61"/>
        <v>0.16696907776808523</v>
      </c>
      <c r="AD93" s="22">
        <f t="shared" si="62"/>
        <v>17.578900466984056</v>
      </c>
      <c r="AE93" s="26">
        <f t="shared" si="63"/>
        <v>0.23107317506532288</v>
      </c>
    </row>
    <row r="94" spans="1:31">
      <c r="A94" s="49" t="s">
        <v>98</v>
      </c>
      <c r="B94" s="50">
        <v>1800</v>
      </c>
      <c r="C94" s="50">
        <v>7.5</v>
      </c>
      <c r="D94" s="21">
        <v>16.987400000000001</v>
      </c>
      <c r="E94" s="26">
        <v>0.16960249999999999</v>
      </c>
      <c r="F94" s="57">
        <v>0.95709</v>
      </c>
      <c r="G94" s="51">
        <v>0.95623000000000002</v>
      </c>
      <c r="H94" s="58">
        <v>0.95794999999999997</v>
      </c>
      <c r="I94" s="21">
        <v>17.121342161733061</v>
      </c>
      <c r="J94" s="22">
        <v>16.769701741919626</v>
      </c>
      <c r="K94" s="22">
        <f t="shared" si="52"/>
        <v>16.945521951826343</v>
      </c>
      <c r="L94" s="26">
        <f t="shared" si="53"/>
        <v>0.17582020990671765</v>
      </c>
      <c r="M94" s="21">
        <v>16.91495651995681</v>
      </c>
      <c r="N94" s="22">
        <v>16.569735541551175</v>
      </c>
      <c r="O94" s="22">
        <f t="shared" si="54"/>
        <v>16.742346030753993</v>
      </c>
      <c r="P94" s="26">
        <f t="shared" si="55"/>
        <v>0.17261048920281752</v>
      </c>
      <c r="Q94" s="22">
        <f t="shared" si="56"/>
        <v>16.843933991290168</v>
      </c>
      <c r="R94" s="22">
        <f t="shared" si="57"/>
        <v>0.2328767265404271</v>
      </c>
      <c r="S94" s="23">
        <v>1864.4891711880994</v>
      </c>
      <c r="T94" s="24">
        <v>1863.6869798451387</v>
      </c>
      <c r="U94" s="25">
        <v>1540.4904108094292</v>
      </c>
      <c r="V94" s="21">
        <v>17.535893072205752</v>
      </c>
      <c r="W94" s="22">
        <v>17.178824295739574</v>
      </c>
      <c r="X94" s="22">
        <f t="shared" si="58"/>
        <v>17.357358683972663</v>
      </c>
      <c r="Y94" s="26">
        <f t="shared" si="59"/>
        <v>0.1785343882330892</v>
      </c>
      <c r="Z94" s="21">
        <v>17.321086427814784</v>
      </c>
      <c r="AA94" s="22">
        <v>16.970764784868891</v>
      </c>
      <c r="AB94" s="22">
        <f t="shared" si="60"/>
        <v>17.145925606341837</v>
      </c>
      <c r="AC94" s="26">
        <f t="shared" si="61"/>
        <v>0.17516082147294654</v>
      </c>
      <c r="AD94" s="22">
        <f t="shared" si="62"/>
        <v>17.251642145157248</v>
      </c>
      <c r="AE94" s="26">
        <f t="shared" si="63"/>
        <v>0.23791849349313202</v>
      </c>
    </row>
    <row r="95" spans="1:31">
      <c r="A95" s="49" t="s">
        <v>99</v>
      </c>
      <c r="B95" s="50">
        <v>1900</v>
      </c>
      <c r="C95" s="50">
        <v>7.5</v>
      </c>
      <c r="D95" s="21">
        <v>16.987400000000001</v>
      </c>
      <c r="E95" s="26">
        <v>0.16960249999999999</v>
      </c>
      <c r="F95" s="57">
        <v>0.96038999999999997</v>
      </c>
      <c r="G95" s="51">
        <v>0.95952000000000004</v>
      </c>
      <c r="H95" s="58">
        <v>0.96126</v>
      </c>
      <c r="I95" s="21">
        <v>17.09371218879885</v>
      </c>
      <c r="J95" s="22">
        <v>16.743878102335735</v>
      </c>
      <c r="K95" s="22">
        <f t="shared" si="52"/>
        <v>16.918795145567294</v>
      </c>
      <c r="L95" s="26">
        <f t="shared" si="53"/>
        <v>0.17491704323155766</v>
      </c>
      <c r="M95" s="21">
        <v>16.887146640298234</v>
      </c>
      <c r="N95" s="22">
        <v>16.544008231415219</v>
      </c>
      <c r="O95" s="22">
        <f t="shared" si="54"/>
        <v>16.715577435856726</v>
      </c>
      <c r="P95" s="26">
        <f t="shared" si="55"/>
        <v>0.17156920444150714</v>
      </c>
      <c r="Q95" s="22">
        <f t="shared" si="56"/>
        <v>16.817186290712009</v>
      </c>
      <c r="R95" s="22">
        <f t="shared" si="57"/>
        <v>0.23192050749565934</v>
      </c>
      <c r="S95" s="23">
        <v>1970.8484911827036</v>
      </c>
      <c r="T95" s="24">
        <v>1969.9703179436301</v>
      </c>
      <c r="U95" s="25">
        <v>1540.4904108094292</v>
      </c>
      <c r="V95" s="21">
        <v>17.549028217571596</v>
      </c>
      <c r="W95" s="22">
        <v>17.193255514115187</v>
      </c>
      <c r="X95" s="22">
        <f t="shared" si="58"/>
        <v>17.371141865843391</v>
      </c>
      <c r="Y95" s="26">
        <f t="shared" si="59"/>
        <v>0.17788635172820477</v>
      </c>
      <c r="Z95" s="21">
        <v>17.333674766766379</v>
      </c>
      <c r="AA95" s="22">
        <v>16.984951894954822</v>
      </c>
      <c r="AB95" s="22">
        <f t="shared" si="60"/>
        <v>17.159313330860599</v>
      </c>
      <c r="AC95" s="26">
        <f t="shared" si="61"/>
        <v>0.17436143590577835</v>
      </c>
      <c r="AD95" s="22">
        <f t="shared" si="62"/>
        <v>17.265227598351995</v>
      </c>
      <c r="AE95" s="26">
        <f t="shared" si="63"/>
        <v>0.2373199367643789</v>
      </c>
    </row>
    <row r="96" spans="1:31">
      <c r="A96" s="49" t="s">
        <v>100</v>
      </c>
      <c r="B96" s="50">
        <v>1900</v>
      </c>
      <c r="C96" s="50">
        <v>7.5</v>
      </c>
      <c r="D96" s="21">
        <v>16.758400000000002</v>
      </c>
      <c r="E96" s="26">
        <v>0.166406</v>
      </c>
      <c r="F96" s="57">
        <v>0.96157000000000004</v>
      </c>
      <c r="G96" s="51">
        <v>0.96070999999999995</v>
      </c>
      <c r="H96" s="58">
        <v>0.96243000000000001</v>
      </c>
      <c r="I96" s="21">
        <v>16.854100608586176</v>
      </c>
      <c r="J96" s="22">
        <v>16.510497736613971</v>
      </c>
      <c r="K96" s="22">
        <f t="shared" si="52"/>
        <v>16.682299172600075</v>
      </c>
      <c r="L96" s="26">
        <f t="shared" si="53"/>
        <v>0.17180143598610265</v>
      </c>
      <c r="M96" s="21">
        <v>16.65212314381348</v>
      </c>
      <c r="N96" s="22">
        <v>16.315083797218115</v>
      </c>
      <c r="O96" s="22">
        <f t="shared" si="54"/>
        <v>16.483603470515796</v>
      </c>
      <c r="P96" s="26">
        <f t="shared" si="55"/>
        <v>0.16851967329768236</v>
      </c>
      <c r="Q96" s="22">
        <f t="shared" si="56"/>
        <v>16.582951321557935</v>
      </c>
      <c r="R96" s="22">
        <f t="shared" si="57"/>
        <v>0.22752963866805892</v>
      </c>
      <c r="S96" s="23">
        <v>1970.2483148662307</v>
      </c>
      <c r="T96" s="24">
        <v>1969.3776588872715</v>
      </c>
      <c r="U96" s="25">
        <v>1540.4904108094292</v>
      </c>
      <c r="V96" s="21">
        <v>17.305356482166506</v>
      </c>
      <c r="W96" s="22">
        <v>16.955875004193334</v>
      </c>
      <c r="X96" s="22">
        <f t="shared" si="58"/>
        <v>17.13061574317992</v>
      </c>
      <c r="Y96" s="26">
        <f t="shared" si="59"/>
        <v>0.1747407389865856</v>
      </c>
      <c r="Z96" s="21">
        <v>17.094834105886456</v>
      </c>
      <c r="AA96" s="22">
        <v>16.75226139015782</v>
      </c>
      <c r="AB96" s="22">
        <f t="shared" si="60"/>
        <v>16.923547748022138</v>
      </c>
      <c r="AC96" s="26">
        <f t="shared" si="61"/>
        <v>0.17128635786431801</v>
      </c>
      <c r="AD96" s="22">
        <f t="shared" si="62"/>
        <v>17.027081745601031</v>
      </c>
      <c r="AE96" s="26">
        <f t="shared" si="63"/>
        <v>0.23282600021093425</v>
      </c>
    </row>
    <row r="97" spans="1:31">
      <c r="A97" s="52" t="s">
        <v>101</v>
      </c>
      <c r="B97" s="53">
        <v>300</v>
      </c>
      <c r="C97" s="53">
        <v>0</v>
      </c>
      <c r="D97" s="28">
        <v>16.758400000000002</v>
      </c>
      <c r="E97" s="30">
        <v>0.166406</v>
      </c>
      <c r="F97" s="59">
        <v>0.91644000000000003</v>
      </c>
      <c r="G97" s="54">
        <v>0.91576999999999997</v>
      </c>
      <c r="H97" s="60">
        <v>0.91710999999999998</v>
      </c>
      <c r="I97" s="28">
        <v>17.091525082195556</v>
      </c>
      <c r="J97" s="29">
        <v>16.755092859203156</v>
      </c>
      <c r="K97" s="29">
        <f t="shared" si="52"/>
        <v>16.923308970699356</v>
      </c>
      <c r="L97" s="30">
        <f t="shared" si="53"/>
        <v>0.16821611149619997</v>
      </c>
      <c r="M97" s="28">
        <v>17.025658458451165</v>
      </c>
      <c r="N97" s="29">
        <v>16.690933922529247</v>
      </c>
      <c r="O97" s="29">
        <f t="shared" si="54"/>
        <v>16.858296190490208</v>
      </c>
      <c r="P97" s="30">
        <f t="shared" si="55"/>
        <v>0.16736226796095899</v>
      </c>
      <c r="Q97" s="29">
        <f t="shared" si="56"/>
        <v>16.89080258059478</v>
      </c>
      <c r="R97" s="29">
        <f t="shared" si="57"/>
        <v>0.1973493006476916</v>
      </c>
      <c r="S97" s="31">
        <v>304.82827062195491</v>
      </c>
      <c r="T97" s="32">
        <v>304.77061650327164</v>
      </c>
      <c r="U97" s="33">
        <v>1540.4904108094292</v>
      </c>
      <c r="V97" s="28">
        <v>17.113527843529308</v>
      </c>
      <c r="W97" s="29">
        <v>16.776845220186129</v>
      </c>
      <c r="X97" s="29">
        <f t="shared" si="58"/>
        <v>16.945186531857718</v>
      </c>
      <c r="Y97" s="30">
        <f t="shared" si="59"/>
        <v>0.16834131167158972</v>
      </c>
      <c r="Z97" s="28">
        <v>17.046961327218686</v>
      </c>
      <c r="AA97" s="29">
        <v>16.712003107104717</v>
      </c>
      <c r="AB97" s="29">
        <f t="shared" si="60"/>
        <v>16.879482217161701</v>
      </c>
      <c r="AC97" s="30">
        <f t="shared" si="61"/>
        <v>0.16747911005698413</v>
      </c>
      <c r="AD97" s="29">
        <f t="shared" si="62"/>
        <v>16.912334374509712</v>
      </c>
      <c r="AE97" s="30">
        <f t="shared" si="63"/>
        <v>0.19756277990489898</v>
      </c>
    </row>
  </sheetData>
  <mergeCells count="8">
    <mergeCell ref="I1:P1"/>
    <mergeCell ref="S1:U1"/>
    <mergeCell ref="V1:AC1"/>
    <mergeCell ref="D2:E2"/>
    <mergeCell ref="I2:L2"/>
    <mergeCell ref="M2:P2"/>
    <mergeCell ref="V2:Y2"/>
    <mergeCell ref="Z2:AC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4"/>
  <sheetViews>
    <sheetView workbookViewId="0">
      <selection activeCell="G3" sqref="G3:V3"/>
    </sheetView>
  </sheetViews>
  <sheetFormatPr defaultColWidth="8.75" defaultRowHeight="18.75"/>
  <cols>
    <col min="1" max="1" width="10.875" style="2" bestFit="1" customWidth="1"/>
    <col min="2" max="2" width="5.875" style="2" bestFit="1" customWidth="1"/>
    <col min="3" max="4" width="8" style="20" bestFit="1" customWidth="1"/>
    <col min="5" max="5" width="8.375" style="19" bestFit="1" customWidth="1"/>
    <col min="6" max="6" width="10.25" style="19" bestFit="1" customWidth="1"/>
    <col min="7" max="7" width="9.25" style="34" bestFit="1" customWidth="1"/>
    <col min="8" max="11" width="8" style="20" bestFit="1" customWidth="1"/>
    <col min="12" max="12" width="9.25" style="19" bestFit="1" customWidth="1"/>
    <col min="13" max="13" width="9.75" style="19" bestFit="1" customWidth="1"/>
    <col min="14" max="14" width="8.375" style="19" bestFit="1" customWidth="1"/>
    <col min="15" max="15" width="10.25" style="19" bestFit="1" customWidth="1"/>
    <col min="16" max="16" width="9.25" style="19" bestFit="1" customWidth="1"/>
    <col min="17" max="17" width="9.75" style="19" bestFit="1" customWidth="1"/>
    <col min="18" max="18" width="8.375" style="19" bestFit="1" customWidth="1"/>
    <col min="19" max="19" width="10.25" style="19" bestFit="1" customWidth="1"/>
    <col min="20" max="20" width="8.375" style="19" bestFit="1" customWidth="1"/>
    <col min="21" max="21" width="10.25" style="19" bestFit="1" customWidth="1"/>
    <col min="22" max="22" width="11.625" style="19" bestFit="1" customWidth="1"/>
    <col min="23" max="25" width="5.875" style="34" bestFit="1" customWidth="1"/>
    <col min="26" max="26" width="6.5" style="34" bestFit="1" customWidth="1"/>
    <col min="27" max="27" width="9.25" style="19" bestFit="1" customWidth="1"/>
    <col min="28" max="28" width="9.75" style="19" bestFit="1" customWidth="1"/>
    <col min="29" max="29" width="8.375" style="19" bestFit="1" customWidth="1"/>
    <col min="30" max="30" width="10.25" style="19" bestFit="1" customWidth="1"/>
    <col min="31" max="31" width="9.75" style="19" bestFit="1" customWidth="1"/>
    <col min="32" max="32" width="9.25" style="19" bestFit="1" customWidth="1"/>
    <col min="33" max="33" width="8.375" style="19" bestFit="1" customWidth="1"/>
    <col min="34" max="34" width="10.25" style="19" bestFit="1" customWidth="1"/>
    <col min="35" max="35" width="8.375" style="19" bestFit="1" customWidth="1"/>
    <col min="36" max="36" width="10.25" style="19" bestFit="1" customWidth="1"/>
    <col min="37" max="16384" width="8.75" style="50"/>
  </cols>
  <sheetData>
    <row r="1" spans="1:36">
      <c r="A1" s="89"/>
      <c r="B1" s="90"/>
      <c r="C1" s="91"/>
      <c r="D1" s="91"/>
      <c r="E1" s="92"/>
      <c r="F1" s="92"/>
      <c r="G1" s="93"/>
      <c r="H1" s="91"/>
      <c r="I1" s="91"/>
      <c r="J1" s="91"/>
      <c r="K1" s="91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3"/>
      <c r="X1" s="93"/>
      <c r="Y1" s="93"/>
      <c r="Z1" s="93"/>
      <c r="AA1" s="92"/>
      <c r="AB1" s="92"/>
      <c r="AC1" s="92"/>
      <c r="AD1" s="92"/>
      <c r="AE1" s="92"/>
      <c r="AF1" s="92"/>
      <c r="AG1" s="92"/>
      <c r="AH1" s="92"/>
      <c r="AI1" s="92"/>
      <c r="AJ1" s="94"/>
    </row>
    <row r="2" spans="1:36">
      <c r="A2" s="49"/>
      <c r="B2" s="50"/>
      <c r="C2" s="51"/>
      <c r="D2" s="51"/>
      <c r="E2" s="22"/>
      <c r="F2" s="22"/>
      <c r="G2" s="24"/>
      <c r="H2" s="51"/>
      <c r="I2" s="51"/>
      <c r="J2" s="51"/>
      <c r="K2" s="51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4"/>
      <c r="X2" s="24"/>
      <c r="Y2" s="24"/>
      <c r="Z2" s="24"/>
      <c r="AA2" s="22"/>
      <c r="AB2" s="22"/>
      <c r="AC2" s="22"/>
      <c r="AD2" s="22"/>
      <c r="AE2" s="22"/>
      <c r="AF2" s="22"/>
      <c r="AG2" s="22"/>
      <c r="AH2" s="22"/>
      <c r="AI2" s="22"/>
      <c r="AJ2" s="26"/>
    </row>
    <row r="3" spans="1:36" s="44" customFormat="1">
      <c r="A3" s="35"/>
      <c r="B3" s="36"/>
      <c r="C3" s="38"/>
      <c r="D3" s="38"/>
      <c r="E3" s="37"/>
      <c r="F3" s="37"/>
      <c r="G3" s="3" t="s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67" t="s">
        <v>1</v>
      </c>
      <c r="X3" s="68"/>
      <c r="Y3" s="68"/>
      <c r="Z3" s="9"/>
      <c r="AA3" s="4" t="s">
        <v>2</v>
      </c>
      <c r="AB3" s="4"/>
      <c r="AC3" s="4"/>
      <c r="AD3" s="4"/>
      <c r="AE3" s="4"/>
      <c r="AF3" s="4"/>
      <c r="AG3" s="4"/>
      <c r="AH3" s="4"/>
      <c r="AI3" s="4"/>
      <c r="AJ3" s="5"/>
    </row>
    <row r="4" spans="1:36" s="44" customFormat="1">
      <c r="A4" s="69"/>
      <c r="B4" s="70"/>
      <c r="C4" s="72" t="s">
        <v>110</v>
      </c>
      <c r="D4" s="73"/>
      <c r="E4" s="3" t="s">
        <v>3</v>
      </c>
      <c r="F4" s="5"/>
      <c r="G4" s="72" t="s">
        <v>111</v>
      </c>
      <c r="H4" s="74"/>
      <c r="I4" s="74"/>
      <c r="J4" s="74"/>
      <c r="K4" s="73"/>
      <c r="L4" s="3" t="s">
        <v>4</v>
      </c>
      <c r="M4" s="4"/>
      <c r="N4" s="4"/>
      <c r="O4" s="5"/>
      <c r="P4" s="3" t="s">
        <v>5</v>
      </c>
      <c r="Q4" s="4"/>
      <c r="R4" s="4"/>
      <c r="S4" s="5"/>
      <c r="T4" s="3" t="s">
        <v>112</v>
      </c>
      <c r="U4" s="4"/>
      <c r="V4" s="4"/>
      <c r="W4" s="75" t="s">
        <v>6</v>
      </c>
      <c r="X4" s="76" t="s">
        <v>7</v>
      </c>
      <c r="Y4" s="77"/>
      <c r="Z4" s="77"/>
      <c r="AA4" s="39" t="s">
        <v>4</v>
      </c>
      <c r="AB4" s="39"/>
      <c r="AC4" s="39"/>
      <c r="AD4" s="78"/>
      <c r="AE4" s="79" t="s">
        <v>5</v>
      </c>
      <c r="AF4" s="39"/>
      <c r="AG4" s="39"/>
      <c r="AH4" s="78"/>
      <c r="AI4" s="3" t="s">
        <v>112</v>
      </c>
      <c r="AJ4" s="5"/>
    </row>
    <row r="5" spans="1:36" s="85" customFormat="1">
      <c r="A5" s="71" t="s">
        <v>434</v>
      </c>
      <c r="B5" s="71" t="s">
        <v>8</v>
      </c>
      <c r="C5" s="80" t="s">
        <v>12</v>
      </c>
      <c r="D5" s="81" t="s">
        <v>19</v>
      </c>
      <c r="E5" s="82" t="s">
        <v>10</v>
      </c>
      <c r="F5" s="82" t="s">
        <v>11</v>
      </c>
      <c r="G5" s="83" t="s">
        <v>113</v>
      </c>
      <c r="H5" s="80" t="s">
        <v>12</v>
      </c>
      <c r="I5" s="80" t="s">
        <v>19</v>
      </c>
      <c r="J5" s="80" t="s">
        <v>14</v>
      </c>
      <c r="K5" s="80" t="s">
        <v>13</v>
      </c>
      <c r="L5" s="82" t="s">
        <v>16</v>
      </c>
      <c r="M5" s="82" t="s">
        <v>15</v>
      </c>
      <c r="N5" s="82" t="s">
        <v>10</v>
      </c>
      <c r="O5" s="82" t="s">
        <v>11</v>
      </c>
      <c r="P5" s="82" t="s">
        <v>16</v>
      </c>
      <c r="Q5" s="82" t="s">
        <v>15</v>
      </c>
      <c r="R5" s="82" t="s">
        <v>10</v>
      </c>
      <c r="S5" s="82" t="s">
        <v>11</v>
      </c>
      <c r="T5" s="82" t="s">
        <v>10</v>
      </c>
      <c r="U5" s="82" t="s">
        <v>11</v>
      </c>
      <c r="V5" s="82" t="s">
        <v>114</v>
      </c>
      <c r="W5" s="83" t="s">
        <v>8</v>
      </c>
      <c r="X5" s="83" t="s">
        <v>8</v>
      </c>
      <c r="Y5" s="83" t="s">
        <v>8</v>
      </c>
      <c r="Z5" s="83" t="s">
        <v>115</v>
      </c>
      <c r="AA5" s="84" t="s">
        <v>16</v>
      </c>
      <c r="AB5" s="82" t="s">
        <v>15</v>
      </c>
      <c r="AC5" s="82" t="s">
        <v>10</v>
      </c>
      <c r="AD5" s="82" t="s">
        <v>11</v>
      </c>
      <c r="AE5" s="82" t="s">
        <v>15</v>
      </c>
      <c r="AF5" s="82" t="s">
        <v>16</v>
      </c>
      <c r="AG5" s="82" t="s">
        <v>10</v>
      </c>
      <c r="AH5" s="82" t="s">
        <v>11</v>
      </c>
      <c r="AI5" s="84" t="s">
        <v>10</v>
      </c>
      <c r="AJ5" s="82" t="s">
        <v>11</v>
      </c>
    </row>
    <row r="6" spans="1:36">
      <c r="A6" s="49" t="s">
        <v>116</v>
      </c>
      <c r="B6" s="50">
        <v>1500</v>
      </c>
      <c r="C6" s="51">
        <v>0.92999443800000003</v>
      </c>
      <c r="D6" s="51">
        <v>2.8949200000000003E-4</v>
      </c>
      <c r="E6" s="21">
        <v>21.836200000000002</v>
      </c>
      <c r="F6" s="26">
        <v>8.7730384999999994E-2</v>
      </c>
      <c r="G6" s="23">
        <v>89</v>
      </c>
      <c r="H6" s="51">
        <v>0.92630857860338234</v>
      </c>
      <c r="I6" s="51">
        <v>3.6808598975637775E-4</v>
      </c>
      <c r="J6" s="51">
        <v>0.92665289151901697</v>
      </c>
      <c r="K6" s="58">
        <v>0.92596426568774703</v>
      </c>
      <c r="L6" s="22">
        <v>21.760583182213676</v>
      </c>
      <c r="M6" s="22">
        <v>21.926189828625283</v>
      </c>
      <c r="N6" s="11">
        <f>(L6+M6)/2</f>
        <v>21.843386505419481</v>
      </c>
      <c r="O6" s="11">
        <f>ABS(L6-M6)/2</f>
        <v>8.2803323205803636E-2</v>
      </c>
      <c r="P6" s="21">
        <v>21.491612451543226</v>
      </c>
      <c r="Q6" s="22">
        <v>21.654683708035293</v>
      </c>
      <c r="R6" s="11">
        <f>(P6+Q6)/2</f>
        <v>21.573148079789259</v>
      </c>
      <c r="S6" s="86">
        <f>ABS(P6-Q6)/2</f>
        <v>8.1535628246033554E-2</v>
      </c>
      <c r="T6" s="11">
        <f>AVERAGE(L6,M6,P6,Q6)</f>
        <v>21.708267292604368</v>
      </c>
      <c r="U6" s="11">
        <f>STDEV(L6,M6,P6,Q6)</f>
        <v>0.1826086021174799</v>
      </c>
      <c r="V6" s="11">
        <f>T6-E6</f>
        <v>-0.12793270739563312</v>
      </c>
      <c r="W6" s="23">
        <v>1554.1016692954772</v>
      </c>
      <c r="X6" s="24">
        <v>1554.3329647040973</v>
      </c>
      <c r="Y6" s="25">
        <f t="shared" ref="Y6:Y24" si="0">(W6+X6)/2</f>
        <v>1554.2173169997873</v>
      </c>
      <c r="Z6" s="25">
        <f>Y6-300</f>
        <v>1254.2173169997873</v>
      </c>
      <c r="AA6" s="22">
        <v>22.111250903099315</v>
      </c>
      <c r="AB6" s="22">
        <v>22.278472964412018</v>
      </c>
      <c r="AC6" s="22">
        <f>(AA6+AB6)/2</f>
        <v>22.194861933755668</v>
      </c>
      <c r="AD6" s="26">
        <f>ABS(AA6-AB6)/2</f>
        <v>8.3611030656351559E-2</v>
      </c>
      <c r="AE6" s="21">
        <v>21.831840739936254</v>
      </c>
      <c r="AF6" s="22">
        <v>21.996399346908429</v>
      </c>
      <c r="AG6" s="22">
        <f>(AE6+AF6)/2</f>
        <v>21.914120043422344</v>
      </c>
      <c r="AH6" s="26">
        <f t="shared" ref="AH6:AH24" si="1">ABS(AE6-AF6)/2</f>
        <v>8.2279303486087585E-2</v>
      </c>
      <c r="AI6" s="22">
        <f t="shared" ref="AI6:AI44" si="2">AVERAGE(AA6,AB6,AE6,AF6)</f>
        <v>22.054490988589006</v>
      </c>
      <c r="AJ6" s="26">
        <f t="shared" ref="AJ6:AJ44" si="3">STDEV(AA6,AB6,AE6,AF6)</f>
        <v>0.18827053712417355</v>
      </c>
    </row>
    <row r="7" spans="1:36">
      <c r="A7" s="49" t="s">
        <v>117</v>
      </c>
      <c r="B7" s="50">
        <v>1550</v>
      </c>
      <c r="C7" s="51">
        <v>0.93107030099999999</v>
      </c>
      <c r="D7" s="51">
        <v>2.7893900000000002E-4</v>
      </c>
      <c r="E7" s="21">
        <v>21.816600000000001</v>
      </c>
      <c r="F7" s="26">
        <v>7.8431930999999996E-2</v>
      </c>
      <c r="G7" s="23">
        <v>91</v>
      </c>
      <c r="H7" s="51">
        <v>0.92782242762177658</v>
      </c>
      <c r="I7" s="51">
        <v>3.3466016521610764E-4</v>
      </c>
      <c r="J7" s="51">
        <v>0.92813547354158699</v>
      </c>
      <c r="K7" s="58">
        <v>0.92750938170196695</v>
      </c>
      <c r="L7" s="87">
        <v>21.729956765089945</v>
      </c>
      <c r="M7" s="22">
        <v>21.879398950634837</v>
      </c>
      <c r="N7" s="22">
        <f>(L7+M7)/2</f>
        <v>21.804677857862391</v>
      </c>
      <c r="O7" s="26">
        <f>ABS(L7-M7)/2</f>
        <v>7.4721092772445985E-2</v>
      </c>
      <c r="P7" s="21">
        <v>21.456941871504572</v>
      </c>
      <c r="Q7" s="22">
        <v>21.604021231598423</v>
      </c>
      <c r="R7" s="22">
        <f>(P7+Q7)/2</f>
        <v>21.530481551551496</v>
      </c>
      <c r="S7" s="26">
        <f>ABS(P7-Q7)/2</f>
        <v>7.3539680046925682E-2</v>
      </c>
      <c r="T7" s="22">
        <f>AVERAGE(L7,M7,P7,Q7)</f>
        <v>21.667579704706945</v>
      </c>
      <c r="U7" s="22">
        <f>STDEV(L7,M7,P7,Q7)</f>
        <v>0.1799687629262019</v>
      </c>
      <c r="V7" s="11">
        <f t="shared" ref="V7:V24" si="4">T7-E7</f>
        <v>-0.14902029529305594</v>
      </c>
      <c r="W7" s="23">
        <v>1607.1773279198806</v>
      </c>
      <c r="X7" s="24">
        <v>1607.3983443558793</v>
      </c>
      <c r="Y7" s="25">
        <f t="shared" si="0"/>
        <v>1607.2878361378798</v>
      </c>
      <c r="Z7" s="25">
        <f t="shared" ref="Z7:Z24" si="5">Y7-300</f>
        <v>1307.2878361378798</v>
      </c>
      <c r="AA7" s="22">
        <v>22.100662780813543</v>
      </c>
      <c r="AB7" s="22">
        <v>22.251649041121954</v>
      </c>
      <c r="AC7" s="22">
        <f t="shared" ref="AC7:AC44" si="6">(AA7+AB7)/2</f>
        <v>22.176155910967751</v>
      </c>
      <c r="AD7" s="26">
        <f t="shared" ref="AD7:AD24" si="7">ABS(AA7-AB7)/2</f>
        <v>7.5493130154205446E-2</v>
      </c>
      <c r="AE7" s="21">
        <v>21.816791416320832</v>
      </c>
      <c r="AF7" s="22">
        <v>21.965292979396033</v>
      </c>
      <c r="AG7" s="22">
        <f>(AE7+AF7)/2</f>
        <v>21.891042197858432</v>
      </c>
      <c r="AH7" s="26">
        <f t="shared" si="1"/>
        <v>7.4250781537600119E-2</v>
      </c>
      <c r="AI7" s="22">
        <f t="shared" si="2"/>
        <v>22.033599054413088</v>
      </c>
      <c r="AJ7" s="26">
        <f t="shared" si="3"/>
        <v>0.1859342284445677</v>
      </c>
    </row>
    <row r="8" spans="1:36">
      <c r="A8" s="49" t="s">
        <v>118</v>
      </c>
      <c r="B8" s="50">
        <v>1600</v>
      </c>
      <c r="C8" s="51">
        <v>0.93156225400000003</v>
      </c>
      <c r="D8" s="51">
        <v>2.5411999999999999E-4</v>
      </c>
      <c r="E8" s="21">
        <v>21.8462</v>
      </c>
      <c r="F8" s="26">
        <v>6.9256158999999998E-2</v>
      </c>
      <c r="G8" s="23">
        <v>93</v>
      </c>
      <c r="H8" s="51">
        <v>0.92908017250542119</v>
      </c>
      <c r="I8" s="51">
        <v>3.1386022180593864E-4</v>
      </c>
      <c r="J8" s="51">
        <v>0.92937376185975495</v>
      </c>
      <c r="K8" s="58">
        <v>0.92878658315108797</v>
      </c>
      <c r="L8" s="22">
        <v>21.7598304339393</v>
      </c>
      <c r="M8" s="22">
        <v>21.899128245852296</v>
      </c>
      <c r="N8" s="22">
        <f t="shared" ref="N8:N40" si="8">(L8+M8)/2</f>
        <v>21.829479339895798</v>
      </c>
      <c r="O8" s="26">
        <f t="shared" ref="O8:O40" si="9">ABS(L8-M8)/2</f>
        <v>6.9648905956498197E-2</v>
      </c>
      <c r="P8" s="21">
        <v>21.482117589516122</v>
      </c>
      <c r="Q8" s="22">
        <v>21.619144304628676</v>
      </c>
      <c r="R8" s="22">
        <f t="shared" ref="R8:R40" si="10">(P8+Q8)/2</f>
        <v>21.550630947072399</v>
      </c>
      <c r="S8" s="26">
        <f t="shared" ref="S8:S40" si="11">ABS(P8-Q8)/2</f>
        <v>6.8513357556277299E-2</v>
      </c>
      <c r="T8" s="22">
        <f t="shared" ref="T8:T40" si="12">AVERAGE(L8,M8,P8,Q8)</f>
        <v>21.690055143484098</v>
      </c>
      <c r="U8" s="22">
        <f t="shared" ref="U8:U40" si="13">STDEV(L8,M8,P8,Q8)</f>
        <v>0.1796724118215661</v>
      </c>
      <c r="V8" s="11">
        <f t="shared" si="4"/>
        <v>-0.15614485651590115</v>
      </c>
      <c r="W8" s="23">
        <v>1660.4305340539065</v>
      </c>
      <c r="X8" s="24">
        <v>1660.6478956455487</v>
      </c>
      <c r="Y8" s="25">
        <f t="shared" si="0"/>
        <v>1660.5392148497276</v>
      </c>
      <c r="Z8" s="25">
        <f t="shared" si="5"/>
        <v>1360.5392148497276</v>
      </c>
      <c r="AA8" s="22">
        <v>22.151746950592631</v>
      </c>
      <c r="AB8" s="22">
        <v>22.292564182045652</v>
      </c>
      <c r="AC8" s="22">
        <f t="shared" si="6"/>
        <v>22.222155566319142</v>
      </c>
      <c r="AD8" s="26">
        <f t="shared" si="7"/>
        <v>7.0408615726510249E-2</v>
      </c>
      <c r="AE8" s="21">
        <v>21.862714569817534</v>
      </c>
      <c r="AF8" s="22">
        <v>22.001140990792695</v>
      </c>
      <c r="AG8" s="22">
        <f t="shared" ref="AG8:AG44" si="14">(AE8+AF8)/2</f>
        <v>21.931927780305116</v>
      </c>
      <c r="AH8" s="26">
        <f t="shared" si="1"/>
        <v>6.9213210487580668E-2</v>
      </c>
      <c r="AI8" s="22">
        <f t="shared" si="2"/>
        <v>22.077041673312127</v>
      </c>
      <c r="AJ8" s="26">
        <f t="shared" si="3"/>
        <v>0.18594609534633677</v>
      </c>
    </row>
    <row r="9" spans="1:36">
      <c r="A9" s="49" t="s">
        <v>119</v>
      </c>
      <c r="B9" s="50">
        <v>1650</v>
      </c>
      <c r="C9" s="51">
        <v>0.93210229700000002</v>
      </c>
      <c r="D9" s="51">
        <v>1.7087100000000001E-4</v>
      </c>
      <c r="E9" s="21">
        <v>21.826799999999999</v>
      </c>
      <c r="F9" s="26">
        <v>5.1601117000000002E-2</v>
      </c>
      <c r="G9" s="23">
        <v>95</v>
      </c>
      <c r="H9" s="51">
        <v>0.93059216794996835</v>
      </c>
      <c r="I9" s="51">
        <v>2.4051722565811311E-4</v>
      </c>
      <c r="J9" s="51">
        <v>0.93081715121347597</v>
      </c>
      <c r="K9" s="58">
        <v>0.93036718468646096</v>
      </c>
      <c r="L9" s="22">
        <v>21.743301402228447</v>
      </c>
      <c r="M9" s="22">
        <v>21.84925063789191</v>
      </c>
      <c r="N9" s="22">
        <f t="shared" si="8"/>
        <v>21.796276020060176</v>
      </c>
      <c r="O9" s="26">
        <f t="shared" si="9"/>
        <v>5.2974617831731408E-2</v>
      </c>
      <c r="P9" s="21">
        <v>21.461945143384391</v>
      </c>
      <c r="Q9" s="22">
        <v>21.566114066838253</v>
      </c>
      <c r="R9" s="22">
        <f t="shared" si="10"/>
        <v>21.514029605111322</v>
      </c>
      <c r="S9" s="26">
        <f t="shared" si="11"/>
        <v>5.2084461726931153E-2</v>
      </c>
      <c r="T9" s="22">
        <f t="shared" si="12"/>
        <v>21.655152812585747</v>
      </c>
      <c r="U9" s="22">
        <f t="shared" si="13"/>
        <v>0.1738785412551784</v>
      </c>
      <c r="V9" s="11">
        <f t="shared" si="4"/>
        <v>-0.17164718741425133</v>
      </c>
      <c r="W9" s="23">
        <v>1713.7001863674857</v>
      </c>
      <c r="X9" s="24">
        <v>1713.8746979005389</v>
      </c>
      <c r="Y9" s="25">
        <f t="shared" si="0"/>
        <v>1713.7874421340123</v>
      </c>
      <c r="Z9" s="25">
        <f t="shared" si="5"/>
        <v>1413.7874421340123</v>
      </c>
      <c r="AA9" s="22">
        <v>22.156474731684497</v>
      </c>
      <c r="AB9" s="22">
        <v>22.263643927445063</v>
      </c>
      <c r="AC9" s="22">
        <f t="shared" si="6"/>
        <v>22.210059329564778</v>
      </c>
      <c r="AD9" s="26">
        <f t="shared" si="7"/>
        <v>5.3584597880282914E-2</v>
      </c>
      <c r="AE9" s="21">
        <v>21.863379227387501</v>
      </c>
      <c r="AF9" s="22">
        <v>21.968672398238272</v>
      </c>
      <c r="AG9" s="22">
        <f t="shared" si="14"/>
        <v>21.916025812812887</v>
      </c>
      <c r="AH9" s="26">
        <f t="shared" si="1"/>
        <v>5.2646585425385695E-2</v>
      </c>
      <c r="AI9" s="22">
        <f t="shared" si="2"/>
        <v>22.063042571188831</v>
      </c>
      <c r="AJ9" s="26">
        <f t="shared" si="3"/>
        <v>0.18050083392916697</v>
      </c>
    </row>
    <row r="10" spans="1:36">
      <c r="A10" s="49" t="s">
        <v>120</v>
      </c>
      <c r="B10" s="50">
        <v>1700</v>
      </c>
      <c r="C10" s="51">
        <v>0.93277204700000005</v>
      </c>
      <c r="D10" s="51">
        <v>2.7610699999999999E-4</v>
      </c>
      <c r="E10" s="21">
        <v>21.904299999999999</v>
      </c>
      <c r="F10" s="26">
        <v>6.8352476999999995E-2</v>
      </c>
      <c r="G10" s="23">
        <v>97</v>
      </c>
      <c r="H10" s="51">
        <v>0.93173752316280767</v>
      </c>
      <c r="I10" s="51">
        <v>2.8663428801105193E-4</v>
      </c>
      <c r="J10" s="51">
        <v>0.93200564498806704</v>
      </c>
      <c r="K10" s="58">
        <v>0.93146940133754796</v>
      </c>
      <c r="L10" s="22">
        <v>21.788788738328993</v>
      </c>
      <c r="M10" s="22">
        <v>21.914357115664437</v>
      </c>
      <c r="N10" s="22">
        <f t="shared" si="8"/>
        <v>21.851572926996717</v>
      </c>
      <c r="O10" s="26">
        <f t="shared" si="9"/>
        <v>6.2784188667722063E-2</v>
      </c>
      <c r="P10" s="21">
        <v>21.503037644647165</v>
      </c>
      <c r="Q10" s="22">
        <v>21.62643463698948</v>
      </c>
      <c r="R10" s="22">
        <f t="shared" si="10"/>
        <v>21.564736140818322</v>
      </c>
      <c r="S10" s="26">
        <f t="shared" si="11"/>
        <v>6.1698496171157302E-2</v>
      </c>
      <c r="T10" s="22">
        <f t="shared" si="12"/>
        <v>21.708154533907518</v>
      </c>
      <c r="U10" s="22">
        <f t="shared" si="13"/>
        <v>0.18052927690362933</v>
      </c>
      <c r="V10" s="11">
        <f t="shared" si="4"/>
        <v>-0.19614546609248151</v>
      </c>
      <c r="W10" s="23">
        <v>1767.1626377305347</v>
      </c>
      <c r="X10" s="24">
        <v>1767.3800226132821</v>
      </c>
      <c r="Y10" s="25">
        <f t="shared" si="0"/>
        <v>1767.2713301719084</v>
      </c>
      <c r="Z10" s="25">
        <f t="shared" si="5"/>
        <v>1467.2713301719084</v>
      </c>
      <c r="AA10" s="22">
        <v>22.22449679901252</v>
      </c>
      <c r="AB10" s="22">
        <v>22.351585692288822</v>
      </c>
      <c r="AC10" s="22">
        <f t="shared" si="6"/>
        <v>22.288041245650671</v>
      </c>
      <c r="AD10" s="26">
        <f t="shared" si="7"/>
        <v>6.3544446638150731E-2</v>
      </c>
      <c r="AE10" s="21">
        <v>21.92653440894204</v>
      </c>
      <c r="AF10" s="22">
        <v>22.051332684007185</v>
      </c>
      <c r="AG10" s="22">
        <f t="shared" si="14"/>
        <v>21.988933546474613</v>
      </c>
      <c r="AH10" s="26">
        <f t="shared" si="1"/>
        <v>6.2399137532572979E-2</v>
      </c>
      <c r="AI10" s="22">
        <f t="shared" si="2"/>
        <v>22.138487396062644</v>
      </c>
      <c r="AJ10" s="26">
        <f t="shared" si="3"/>
        <v>0.18737530416529555</v>
      </c>
    </row>
    <row r="11" spans="1:36">
      <c r="A11" s="49" t="s">
        <v>121</v>
      </c>
      <c r="B11" s="50">
        <v>1600</v>
      </c>
      <c r="C11" s="51">
        <v>0.93183233099999996</v>
      </c>
      <c r="D11" s="51">
        <v>1.9592599999999999E-4</v>
      </c>
      <c r="E11" s="21">
        <v>21.601400000000002</v>
      </c>
      <c r="F11" s="26">
        <v>6.9256158999999998E-2</v>
      </c>
      <c r="G11" s="23">
        <v>99</v>
      </c>
      <c r="H11" s="51">
        <v>0.93006920042310559</v>
      </c>
      <c r="I11" s="51">
        <v>3.0285296289393819E-4</v>
      </c>
      <c r="J11" s="51">
        <v>0.93035249342953497</v>
      </c>
      <c r="K11" s="58">
        <v>0.92978590741667599</v>
      </c>
      <c r="L11" s="22">
        <v>21.528620087351715</v>
      </c>
      <c r="M11" s="22">
        <v>21.662318834766069</v>
      </c>
      <c r="N11" s="22">
        <f t="shared" si="8"/>
        <v>21.59546946105889</v>
      </c>
      <c r="O11" s="26">
        <f t="shared" si="9"/>
        <v>6.6849373707176696E-2</v>
      </c>
      <c r="P11" s="21">
        <v>21.254681929438235</v>
      </c>
      <c r="Q11" s="22">
        <v>21.386197189414084</v>
      </c>
      <c r="R11" s="22">
        <f t="shared" si="10"/>
        <v>21.320439559426159</v>
      </c>
      <c r="S11" s="26">
        <f t="shared" si="11"/>
        <v>6.575762998792456E-2</v>
      </c>
      <c r="T11" s="22">
        <f t="shared" si="12"/>
        <v>21.457954510242523</v>
      </c>
      <c r="U11" s="22">
        <f t="shared" si="13"/>
        <v>0.17628315870161074</v>
      </c>
      <c r="V11" s="11">
        <f t="shared" si="4"/>
        <v>-0.14344548975747884</v>
      </c>
      <c r="W11" s="23">
        <v>1660.0675325982666</v>
      </c>
      <c r="X11" s="24">
        <v>1660.2777797714648</v>
      </c>
      <c r="Y11" s="25">
        <f t="shared" si="0"/>
        <v>1660.1726561848657</v>
      </c>
      <c r="Z11" s="25">
        <f t="shared" si="5"/>
        <v>1360.1726561848657</v>
      </c>
      <c r="AA11" s="22">
        <v>21.918002299784117</v>
      </c>
      <c r="AB11" s="22">
        <v>22.053168410376792</v>
      </c>
      <c r="AC11" s="22">
        <f t="shared" si="6"/>
        <v>21.985585355080453</v>
      </c>
      <c r="AD11" s="26">
        <f t="shared" si="7"/>
        <v>6.7583055296337236E-2</v>
      </c>
      <c r="AE11" s="21">
        <v>21.632942718531623</v>
      </c>
      <c r="AF11" s="22">
        <v>21.765810872255408</v>
      </c>
      <c r="AG11" s="22">
        <f t="shared" si="14"/>
        <v>21.699376795393515</v>
      </c>
      <c r="AH11" s="26">
        <f t="shared" si="1"/>
        <v>6.6434076861892066E-2</v>
      </c>
      <c r="AI11" s="22">
        <f t="shared" si="2"/>
        <v>21.842481075236982</v>
      </c>
      <c r="AJ11" s="26">
        <f t="shared" si="3"/>
        <v>0.18246209789198334</v>
      </c>
    </row>
    <row r="12" spans="1:36">
      <c r="A12" s="49" t="s">
        <v>122</v>
      </c>
      <c r="B12" s="50">
        <v>1500</v>
      </c>
      <c r="C12" s="51">
        <v>0.93059100500000003</v>
      </c>
      <c r="D12" s="51">
        <v>1.9098300000000001E-4</v>
      </c>
      <c r="E12" s="21">
        <v>21.34</v>
      </c>
      <c r="F12" s="26">
        <v>7.0184236999999997E-2</v>
      </c>
      <c r="G12" s="23">
        <v>101</v>
      </c>
      <c r="H12" s="51">
        <v>0.92827817754466169</v>
      </c>
      <c r="I12" s="51">
        <v>2.9024743951388464E-4</v>
      </c>
      <c r="J12" s="51">
        <v>0.92854967916367404</v>
      </c>
      <c r="K12" s="58">
        <v>0.928006675925649</v>
      </c>
      <c r="L12" s="22">
        <v>21.307586830272982</v>
      </c>
      <c r="M12" s="22">
        <v>21.436796548603557</v>
      </c>
      <c r="N12" s="22">
        <f t="shared" si="8"/>
        <v>21.372191689438267</v>
      </c>
      <c r="O12" s="26">
        <f t="shared" si="9"/>
        <v>6.4604859165287465E-2</v>
      </c>
      <c r="P12" s="21">
        <v>21.045569185739353</v>
      </c>
      <c r="Q12" s="22">
        <v>21.172793095944428</v>
      </c>
      <c r="R12" s="22">
        <f t="shared" si="10"/>
        <v>21.109181140841891</v>
      </c>
      <c r="S12" s="26">
        <f t="shared" si="11"/>
        <v>6.3611955102537365E-2</v>
      </c>
      <c r="T12" s="22">
        <f t="shared" si="12"/>
        <v>21.240686415140079</v>
      </c>
      <c r="U12" s="22">
        <f t="shared" si="13"/>
        <v>0.16893301038423061</v>
      </c>
      <c r="V12" s="11">
        <f t="shared" si="4"/>
        <v>-9.9313584859920923E-2</v>
      </c>
      <c r="W12" s="23">
        <v>1553.4624610106566</v>
      </c>
      <c r="X12" s="24">
        <v>1553.6457699756616</v>
      </c>
      <c r="Y12" s="25">
        <f t="shared" si="0"/>
        <v>1553.5541154931591</v>
      </c>
      <c r="Z12" s="25">
        <f t="shared" si="5"/>
        <v>1253.5541154931591</v>
      </c>
      <c r="AA12" s="22">
        <v>21.653799429042174</v>
      </c>
      <c r="AB12" s="22">
        <v>21.784285387337452</v>
      </c>
      <c r="AC12" s="22">
        <f t="shared" si="6"/>
        <v>21.719042408189814</v>
      </c>
      <c r="AD12" s="26">
        <f t="shared" si="7"/>
        <v>6.5242979147638991E-2</v>
      </c>
      <c r="AE12" s="21">
        <v>21.38169098420266</v>
      </c>
      <c r="AF12" s="22">
        <v>21.510091946153992</v>
      </c>
      <c r="AG12" s="22">
        <f t="shared" si="14"/>
        <v>21.445891465178327</v>
      </c>
      <c r="AH12" s="26">
        <f t="shared" si="1"/>
        <v>6.4200480975665997E-2</v>
      </c>
      <c r="AI12" s="22">
        <f t="shared" si="2"/>
        <v>21.582466936684071</v>
      </c>
      <c r="AJ12" s="26">
        <f t="shared" si="3"/>
        <v>0.17451660268600691</v>
      </c>
    </row>
    <row r="13" spans="1:36">
      <c r="A13" s="49" t="s">
        <v>123</v>
      </c>
      <c r="B13" s="50">
        <v>1400</v>
      </c>
      <c r="C13" s="51">
        <v>0.92963483199999997</v>
      </c>
      <c r="D13" s="51">
        <v>1.9558800000000001E-4</v>
      </c>
      <c r="E13" s="21">
        <v>21.090599999999998</v>
      </c>
      <c r="F13" s="26">
        <v>6.2286914999999998E-2</v>
      </c>
      <c r="G13" s="23">
        <v>103</v>
      </c>
      <c r="H13" s="51">
        <v>0.9264672880163598</v>
      </c>
      <c r="I13" s="51">
        <v>2.8232472334912721E-4</v>
      </c>
      <c r="J13" s="51">
        <v>0.92673137861300703</v>
      </c>
      <c r="K13" s="58">
        <v>0.92620319741971302</v>
      </c>
      <c r="L13" s="22">
        <v>21.094696165638524</v>
      </c>
      <c r="M13" s="22">
        <v>21.221448492688147</v>
      </c>
      <c r="N13" s="22">
        <f t="shared" si="8"/>
        <v>21.158072329163335</v>
      </c>
      <c r="O13" s="26">
        <f t="shared" si="9"/>
        <v>6.3376163524811346E-2</v>
      </c>
      <c r="P13" s="21">
        <v>20.845255988694056</v>
      </c>
      <c r="Q13" s="22">
        <v>20.970182054566614</v>
      </c>
      <c r="R13" s="22">
        <f t="shared" si="10"/>
        <v>20.907719021630335</v>
      </c>
      <c r="S13" s="26">
        <f t="shared" si="11"/>
        <v>6.2463032936278751E-2</v>
      </c>
      <c r="T13" s="22">
        <f t="shared" si="12"/>
        <v>21.032895675396837</v>
      </c>
      <c r="U13" s="22">
        <f t="shared" si="13"/>
        <v>0.16177465372770608</v>
      </c>
      <c r="V13" s="11">
        <f t="shared" si="4"/>
        <v>-5.7704324603161439E-2</v>
      </c>
      <c r="W13" s="23">
        <v>1447.2844214454492</v>
      </c>
      <c r="X13" s="24">
        <v>1447.4455623299189</v>
      </c>
      <c r="Y13" s="25">
        <f t="shared" si="0"/>
        <v>1447.364991887684</v>
      </c>
      <c r="Z13" s="25">
        <f t="shared" si="5"/>
        <v>1147.364991887684</v>
      </c>
      <c r="AA13" s="22">
        <v>21.400461296277765</v>
      </c>
      <c r="AB13" s="22">
        <v>21.528332190548603</v>
      </c>
      <c r="AC13" s="22">
        <f t="shared" si="6"/>
        <v>21.464396743413182</v>
      </c>
      <c r="AD13" s="26">
        <f t="shared" si="7"/>
        <v>6.393544713541921E-2</v>
      </c>
      <c r="AE13" s="21">
        <v>21.141929014100178</v>
      </c>
      <c r="AF13" s="22">
        <v>21.267887000634133</v>
      </c>
      <c r="AG13" s="22">
        <f t="shared" si="14"/>
        <v>21.204908007367155</v>
      </c>
      <c r="AH13" s="26">
        <f t="shared" si="1"/>
        <v>6.2978993266977312E-2</v>
      </c>
      <c r="AI13" s="22">
        <f t="shared" si="2"/>
        <v>21.334652375390167</v>
      </c>
      <c r="AJ13" s="26">
        <f t="shared" si="3"/>
        <v>0.16677589166445439</v>
      </c>
    </row>
    <row r="14" spans="1:36">
      <c r="A14" s="49" t="s">
        <v>124</v>
      </c>
      <c r="B14" s="50">
        <v>1300</v>
      </c>
      <c r="C14" s="51">
        <v>0.928210388</v>
      </c>
      <c r="D14" s="51">
        <v>2.83176E-4</v>
      </c>
      <c r="E14" s="21">
        <v>20.834</v>
      </c>
      <c r="F14" s="26">
        <v>6.3188122999999999E-2</v>
      </c>
      <c r="G14" s="23">
        <v>105</v>
      </c>
      <c r="H14" s="51">
        <v>0.92465293493686473</v>
      </c>
      <c r="I14" s="51">
        <v>2.8296885135435196E-4</v>
      </c>
      <c r="J14" s="51">
        <v>0.92491762806008904</v>
      </c>
      <c r="K14" s="58">
        <v>0.92438824181364099</v>
      </c>
      <c r="L14" s="22">
        <v>20.885556865826352</v>
      </c>
      <c r="M14" s="22">
        <v>21.013683300870216</v>
      </c>
      <c r="N14" s="22">
        <f t="shared" si="8"/>
        <v>20.949620083348286</v>
      </c>
      <c r="O14" s="26">
        <f t="shared" si="9"/>
        <v>6.4063217521932003E-2</v>
      </c>
      <c r="P14" s="21">
        <v>20.649419852977314</v>
      </c>
      <c r="Q14" s="22">
        <v>20.775822941398278</v>
      </c>
      <c r="R14" s="22">
        <f t="shared" si="10"/>
        <v>20.712621397187796</v>
      </c>
      <c r="S14" s="26">
        <f t="shared" si="11"/>
        <v>6.3201544210482297E-2</v>
      </c>
      <c r="T14" s="22">
        <f t="shared" si="12"/>
        <v>20.831120740268041</v>
      </c>
      <c r="U14" s="22">
        <f t="shared" si="13"/>
        <v>0.15531198633878998</v>
      </c>
      <c r="V14" s="11">
        <f t="shared" si="4"/>
        <v>-2.8792597319586832E-3</v>
      </c>
      <c r="W14" s="23">
        <v>1341.5195057281774</v>
      </c>
      <c r="X14" s="24">
        <v>1341.6643922316787</v>
      </c>
      <c r="Y14" s="25">
        <f t="shared" si="0"/>
        <v>1341.591948979928</v>
      </c>
      <c r="Z14" s="25">
        <f t="shared" si="5"/>
        <v>1041.591948979928</v>
      </c>
      <c r="AA14" s="22">
        <v>21.153505459780007</v>
      </c>
      <c r="AB14" s="22">
        <v>21.282633892864702</v>
      </c>
      <c r="AC14" s="22">
        <f t="shared" si="6"/>
        <v>21.218069676322354</v>
      </c>
      <c r="AD14" s="26">
        <f t="shared" si="7"/>
        <v>6.4564216542347452E-2</v>
      </c>
      <c r="AE14" s="21">
        <v>20.909243621260476</v>
      </c>
      <c r="AF14" s="22">
        <v>21.036571327315052</v>
      </c>
      <c r="AG14" s="22">
        <f t="shared" si="14"/>
        <v>20.972907474287766</v>
      </c>
      <c r="AH14" s="26">
        <f t="shared" si="1"/>
        <v>6.3663853027287942E-2</v>
      </c>
      <c r="AI14" s="22">
        <f t="shared" si="2"/>
        <v>21.095488575305062</v>
      </c>
      <c r="AJ14" s="26">
        <f t="shared" si="3"/>
        <v>0.15973702741951001</v>
      </c>
    </row>
    <row r="15" spans="1:36">
      <c r="A15" s="49" t="s">
        <v>125</v>
      </c>
      <c r="B15" s="50">
        <v>1200</v>
      </c>
      <c r="C15" s="51">
        <v>0.92709762600000001</v>
      </c>
      <c r="D15" s="51">
        <v>1.8610299999999999E-4</v>
      </c>
      <c r="E15" s="21">
        <v>20.6218</v>
      </c>
      <c r="F15" s="26">
        <v>5.4956339E-2</v>
      </c>
      <c r="G15" s="23">
        <v>107</v>
      </c>
      <c r="H15" s="51">
        <v>0.92273337614516504</v>
      </c>
      <c r="I15" s="51">
        <v>2.2423257629595981E-4</v>
      </c>
      <c r="J15" s="51">
        <v>0.92294312651402799</v>
      </c>
      <c r="K15" s="58">
        <v>0.92252362577630198</v>
      </c>
      <c r="L15" s="22">
        <v>20.720918165629023</v>
      </c>
      <c r="M15" s="22">
        <v>20.823375899160737</v>
      </c>
      <c r="N15" s="22">
        <f t="shared" si="8"/>
        <v>20.77214703239488</v>
      </c>
      <c r="O15" s="26">
        <f t="shared" si="9"/>
        <v>5.1228866765857362E-2</v>
      </c>
      <c r="P15" s="21">
        <v>20.498292675853175</v>
      </c>
      <c r="Q15" s="22">
        <v>20.599470355988448</v>
      </c>
      <c r="R15" s="22">
        <f t="shared" si="10"/>
        <v>20.548881515920812</v>
      </c>
      <c r="S15" s="26">
        <f t="shared" si="11"/>
        <v>5.0588840067636198E-2</v>
      </c>
      <c r="T15" s="22">
        <f t="shared" si="12"/>
        <v>20.660514274157844</v>
      </c>
      <c r="U15" s="22">
        <f t="shared" si="13"/>
        <v>0.14167421066827723</v>
      </c>
      <c r="V15" s="11">
        <f t="shared" si="4"/>
        <v>3.8714274157843676E-2</v>
      </c>
      <c r="W15" s="23">
        <v>1236.2015459586332</v>
      </c>
      <c r="X15" s="24">
        <v>1236.3036538312035</v>
      </c>
      <c r="Y15" s="25">
        <f t="shared" si="0"/>
        <v>1236.2525998949184</v>
      </c>
      <c r="Z15" s="25">
        <f t="shared" si="5"/>
        <v>936.25259989491838</v>
      </c>
      <c r="AA15" s="22">
        <v>20.953918092949255</v>
      </c>
      <c r="AB15" s="22">
        <v>21.057078751627508</v>
      </c>
      <c r="AC15" s="22">
        <f t="shared" si="6"/>
        <v>21.005498422288383</v>
      </c>
      <c r="AD15" s="26">
        <f t="shared" si="7"/>
        <v>5.1580329339126152E-2</v>
      </c>
      <c r="AE15" s="21">
        <v>20.724078928732915</v>
      </c>
      <c r="AF15" s="22">
        <v>20.825905343968554</v>
      </c>
      <c r="AG15" s="22">
        <f t="shared" si="14"/>
        <v>20.774992136350733</v>
      </c>
      <c r="AH15" s="26">
        <f t="shared" si="1"/>
        <v>5.0913207617819367E-2</v>
      </c>
      <c r="AI15" s="22">
        <f t="shared" si="2"/>
        <v>20.890245279319558</v>
      </c>
      <c r="AJ15" s="26">
        <f t="shared" si="3"/>
        <v>0.14564628159357412</v>
      </c>
    </row>
    <row r="16" spans="1:36">
      <c r="A16" s="49" t="s">
        <v>126</v>
      </c>
      <c r="B16" s="50">
        <v>1100</v>
      </c>
      <c r="C16" s="51">
        <v>0.92556055599999998</v>
      </c>
      <c r="D16" s="51">
        <v>2.8710999999999998E-4</v>
      </c>
      <c r="E16" s="21">
        <v>20.349699999999999</v>
      </c>
      <c r="F16" s="26">
        <v>4.6357567000000002E-2</v>
      </c>
      <c r="G16" s="23">
        <v>109</v>
      </c>
      <c r="H16" s="51">
        <v>0.92107332420232657</v>
      </c>
      <c r="I16" s="51">
        <v>1.7103295352103765E-4</v>
      </c>
      <c r="J16" s="51">
        <v>0.92123331088080795</v>
      </c>
      <c r="K16" s="58">
        <v>0.92091333752384597</v>
      </c>
      <c r="L16" s="22">
        <v>20.497776558838169</v>
      </c>
      <c r="M16" s="22">
        <v>20.576531513943014</v>
      </c>
      <c r="N16" s="22">
        <f t="shared" si="8"/>
        <v>20.537154036390589</v>
      </c>
      <c r="O16" s="26">
        <f t="shared" si="9"/>
        <v>3.9377477552422491E-2</v>
      </c>
      <c r="P16" s="21">
        <v>20.290162183486089</v>
      </c>
      <c r="Q16" s="22">
        <v>20.368007478462999</v>
      </c>
      <c r="R16" s="22">
        <f t="shared" si="10"/>
        <v>20.329084830974544</v>
      </c>
      <c r="S16" s="26">
        <f t="shared" si="11"/>
        <v>3.8922647488455198E-2</v>
      </c>
      <c r="T16" s="22">
        <f t="shared" si="12"/>
        <v>20.433119433682567</v>
      </c>
      <c r="U16" s="22">
        <f t="shared" si="13"/>
        <v>0.12835356207791726</v>
      </c>
      <c r="V16" s="11">
        <f t="shared" si="4"/>
        <v>8.3419433682568211E-2</v>
      </c>
      <c r="W16" s="23">
        <v>1131.2184573030531</v>
      </c>
      <c r="X16" s="24">
        <v>1131.2871196165756</v>
      </c>
      <c r="Y16" s="25">
        <f t="shared" si="0"/>
        <v>1131.2527884598144</v>
      </c>
      <c r="Z16" s="25">
        <f t="shared" si="5"/>
        <v>831.25278845981438</v>
      </c>
      <c r="AA16" s="22">
        <v>20.697926392579483</v>
      </c>
      <c r="AB16" s="22">
        <v>20.77715101835603</v>
      </c>
      <c r="AC16" s="22">
        <f t="shared" si="6"/>
        <v>20.737538705467756</v>
      </c>
      <c r="AD16" s="26">
        <f t="shared" si="7"/>
        <v>3.9612312888273493E-2</v>
      </c>
      <c r="AE16" s="21">
        <v>20.484006044849618</v>
      </c>
      <c r="AF16" s="22">
        <v>20.562284955100012</v>
      </c>
      <c r="AG16" s="22">
        <f t="shared" si="14"/>
        <v>20.523145499974817</v>
      </c>
      <c r="AH16" s="26">
        <f t="shared" si="1"/>
        <v>3.9139455125196676E-2</v>
      </c>
      <c r="AI16" s="22">
        <f t="shared" si="2"/>
        <v>20.630342102721286</v>
      </c>
      <c r="AJ16" s="26">
        <f t="shared" si="3"/>
        <v>0.13186673970496379</v>
      </c>
    </row>
    <row r="17" spans="1:36">
      <c r="A17" s="49" t="s">
        <v>127</v>
      </c>
      <c r="B17" s="50">
        <v>1000</v>
      </c>
      <c r="C17" s="51">
        <v>0.92433992099999995</v>
      </c>
      <c r="D17" s="51">
        <v>3.0025100000000002E-4</v>
      </c>
      <c r="E17" s="21">
        <v>20.177</v>
      </c>
      <c r="F17" s="26">
        <v>5.6318226999999998E-2</v>
      </c>
      <c r="G17" s="23">
        <v>112</v>
      </c>
      <c r="H17" s="51">
        <v>0.91908405145637828</v>
      </c>
      <c r="I17" s="51">
        <v>2.3955136404986768E-4</v>
      </c>
      <c r="J17" s="51">
        <v>0.91930813123908095</v>
      </c>
      <c r="K17" s="58">
        <v>0.91885997167367595</v>
      </c>
      <c r="L17" s="22">
        <v>20.334422878023133</v>
      </c>
      <c r="M17" s="22">
        <v>20.445783686172948</v>
      </c>
      <c r="N17" s="22">
        <f t="shared" si="8"/>
        <v>20.390103282098039</v>
      </c>
      <c r="O17" s="26">
        <f t="shared" si="9"/>
        <v>5.5680404074907486E-2</v>
      </c>
      <c r="P17" s="21">
        <v>20.141862151368024</v>
      </c>
      <c r="Q17" s="22">
        <v>20.252042060398153</v>
      </c>
      <c r="R17" s="22">
        <f t="shared" si="10"/>
        <v>20.196952105883089</v>
      </c>
      <c r="S17" s="26">
        <f t="shared" si="11"/>
        <v>5.5089954515064932E-2</v>
      </c>
      <c r="T17" s="22">
        <f t="shared" si="12"/>
        <v>20.293527693990562</v>
      </c>
      <c r="U17" s="22">
        <f t="shared" si="13"/>
        <v>0.12855322872394576</v>
      </c>
      <c r="V17" s="11">
        <f t="shared" si="4"/>
        <v>0.1165276939905624</v>
      </c>
      <c r="W17" s="23">
        <v>1026.67588089541</v>
      </c>
      <c r="X17" s="24">
        <v>1026.759655546665</v>
      </c>
      <c r="Y17" s="25">
        <f t="shared" si="0"/>
        <v>1026.7177682210377</v>
      </c>
      <c r="Z17" s="25">
        <f t="shared" si="5"/>
        <v>726.71776822103766</v>
      </c>
      <c r="AA17" s="22">
        <v>20.504546814614827</v>
      </c>
      <c r="AB17" s="22">
        <v>20.616476162644574</v>
      </c>
      <c r="AC17" s="22">
        <f t="shared" si="6"/>
        <v>20.5605114886297</v>
      </c>
      <c r="AD17" s="26">
        <f t="shared" si="7"/>
        <v>5.5964674014873594E-2</v>
      </c>
      <c r="AE17" s="21">
        <v>20.306522151456356</v>
      </c>
      <c r="AF17" s="22">
        <v>20.417226980250732</v>
      </c>
      <c r="AG17" s="22">
        <f t="shared" si="14"/>
        <v>20.361874565853544</v>
      </c>
      <c r="AH17" s="26">
        <f t="shared" si="1"/>
        <v>5.5352414397187744E-2</v>
      </c>
      <c r="AI17" s="22">
        <f t="shared" si="2"/>
        <v>20.46119302724162</v>
      </c>
      <c r="AJ17" s="26">
        <f t="shared" si="3"/>
        <v>0.13146418539455129</v>
      </c>
    </row>
    <row r="18" spans="1:36">
      <c r="A18" s="49" t="s">
        <v>128</v>
      </c>
      <c r="B18" s="50">
        <v>900</v>
      </c>
      <c r="C18" s="51">
        <v>0.92361492199999995</v>
      </c>
      <c r="D18" s="51">
        <v>1.9653699999999999E-4</v>
      </c>
      <c r="E18" s="21">
        <v>20</v>
      </c>
      <c r="F18" s="26">
        <v>4.2892037000000001E-2</v>
      </c>
      <c r="G18" s="23">
        <v>114</v>
      </c>
      <c r="H18" s="51">
        <v>0.91711599592800941</v>
      </c>
      <c r="I18" s="51">
        <v>1.9404531253557414E-4</v>
      </c>
      <c r="J18" s="51">
        <v>0.91729750869726401</v>
      </c>
      <c r="K18" s="58">
        <v>0.91693448315875503</v>
      </c>
      <c r="L18" s="22">
        <v>20.200986426612985</v>
      </c>
      <c r="M18" s="22">
        <v>20.292050189822156</v>
      </c>
      <c r="N18" s="22">
        <f t="shared" si="8"/>
        <v>20.246518308217571</v>
      </c>
      <c r="O18" s="26">
        <f t="shared" si="9"/>
        <v>4.5531881604585323E-2</v>
      </c>
      <c r="P18" s="21">
        <v>20.023927866150228</v>
      </c>
      <c r="Q18" s="22">
        <v>20.114111167465865</v>
      </c>
      <c r="R18" s="22">
        <f t="shared" si="10"/>
        <v>20.069019516808048</v>
      </c>
      <c r="S18" s="26">
        <f t="shared" si="11"/>
        <v>4.5091650657818505E-2</v>
      </c>
      <c r="T18" s="22">
        <f t="shared" si="12"/>
        <v>20.157768912512807</v>
      </c>
      <c r="U18" s="22">
        <f t="shared" si="13"/>
        <v>0.11506322806011678</v>
      </c>
      <c r="V18" s="11">
        <f t="shared" si="4"/>
        <v>0.15776891251280745</v>
      </c>
      <c r="W18" s="23">
        <v>922.5289397687111</v>
      </c>
      <c r="X18" s="24">
        <v>922.58730753173927</v>
      </c>
      <c r="Y18" s="25">
        <f t="shared" si="0"/>
        <v>922.55812365022518</v>
      </c>
      <c r="Z18" s="25">
        <f t="shared" si="5"/>
        <v>622.55812365022518</v>
      </c>
      <c r="AA18" s="22">
        <v>20.343594189144721</v>
      </c>
      <c r="AB18" s="22">
        <v>20.435049783991786</v>
      </c>
      <c r="AC18" s="22">
        <f t="shared" si="6"/>
        <v>20.389321986568255</v>
      </c>
      <c r="AD18" s="26">
        <f t="shared" si="7"/>
        <v>4.5727797423532834E-2</v>
      </c>
      <c r="AE18" s="21">
        <v>20.161865730791796</v>
      </c>
      <c r="AF18" s="22">
        <v>20.252410819652866</v>
      </c>
      <c r="AG18" s="22">
        <f t="shared" si="14"/>
        <v>20.207138275222331</v>
      </c>
      <c r="AH18" s="26">
        <f t="shared" si="1"/>
        <v>4.5272544430535078E-2</v>
      </c>
      <c r="AI18" s="22">
        <f t="shared" si="2"/>
        <v>20.298230130895291</v>
      </c>
      <c r="AJ18" s="26">
        <f t="shared" si="3"/>
        <v>0.11757575451968456</v>
      </c>
    </row>
    <row r="19" spans="1:36">
      <c r="A19" s="49" t="s">
        <v>129</v>
      </c>
      <c r="B19" s="50">
        <v>800</v>
      </c>
      <c r="C19" s="51">
        <v>0.92228157700000002</v>
      </c>
      <c r="D19" s="51">
        <v>1.7080200000000001E-4</v>
      </c>
      <c r="E19" s="21">
        <v>19.780200000000001</v>
      </c>
      <c r="F19" s="26">
        <v>6.2163171000000003E-2</v>
      </c>
      <c r="G19" s="23">
        <v>116</v>
      </c>
      <c r="H19" s="51">
        <v>0.91557429059077866</v>
      </c>
      <c r="I19" s="51">
        <v>3.0493887462669836E-4</v>
      </c>
      <c r="J19" s="51">
        <v>0.91585953478896898</v>
      </c>
      <c r="K19" s="58">
        <v>0.91528904639258801</v>
      </c>
      <c r="L19" s="22">
        <v>19.933579866412121</v>
      </c>
      <c r="M19" s="22">
        <v>20.077726334531665</v>
      </c>
      <c r="N19" s="22">
        <f t="shared" si="8"/>
        <v>20.005653100471893</v>
      </c>
      <c r="O19" s="26">
        <f t="shared" si="9"/>
        <v>7.2073234059772062E-2</v>
      </c>
      <c r="P19" s="21">
        <v>19.773913904684626</v>
      </c>
      <c r="Q19" s="22">
        <v>19.916797331098156</v>
      </c>
      <c r="R19" s="22">
        <f t="shared" si="10"/>
        <v>19.845355617891393</v>
      </c>
      <c r="S19" s="26">
        <f t="shared" si="11"/>
        <v>7.1441713206764845E-2</v>
      </c>
      <c r="T19" s="22">
        <f t="shared" si="12"/>
        <v>19.925504359181641</v>
      </c>
      <c r="U19" s="22">
        <f t="shared" si="13"/>
        <v>0.12422053215840352</v>
      </c>
      <c r="V19" s="11">
        <f t="shared" si="4"/>
        <v>0.14530435918164031</v>
      </c>
      <c r="W19" s="23">
        <v>818.67554223918</v>
      </c>
      <c r="X19" s="24">
        <v>818.75337477197422</v>
      </c>
      <c r="Y19" s="25">
        <f t="shared" si="0"/>
        <v>818.71445850557711</v>
      </c>
      <c r="Z19" s="25">
        <f t="shared" si="5"/>
        <v>518.71445850557711</v>
      </c>
      <c r="AA19" s="22">
        <v>20.050491901104376</v>
      </c>
      <c r="AB19" s="22">
        <v>20.195152603261178</v>
      </c>
      <c r="AC19" s="22">
        <f t="shared" si="6"/>
        <v>20.122822252182779</v>
      </c>
      <c r="AD19" s="26">
        <f t="shared" si="7"/>
        <v>7.2330351078401023E-2</v>
      </c>
      <c r="AE19" s="21">
        <v>19.886948103281789</v>
      </c>
      <c r="AF19" s="22">
        <v>20.030306531098017</v>
      </c>
      <c r="AG19" s="22">
        <f t="shared" si="14"/>
        <v>19.958627317189901</v>
      </c>
      <c r="AH19" s="26">
        <f t="shared" si="1"/>
        <v>7.1679213908113937E-2</v>
      </c>
      <c r="AI19" s="22">
        <f t="shared" si="2"/>
        <v>20.04072478468634</v>
      </c>
      <c r="AJ19" s="26">
        <f t="shared" si="3"/>
        <v>0.12609408585725984</v>
      </c>
    </row>
    <row r="20" spans="1:36">
      <c r="A20" s="49" t="s">
        <v>130</v>
      </c>
      <c r="B20" s="50">
        <v>700</v>
      </c>
      <c r="C20" s="51">
        <v>0.92115502400000004</v>
      </c>
      <c r="D20" s="51">
        <v>1.4725299999999999E-4</v>
      </c>
      <c r="E20" s="21">
        <v>19.6205</v>
      </c>
      <c r="F20" s="26">
        <v>5.5242716999999997E-2</v>
      </c>
      <c r="G20" s="23">
        <v>118</v>
      </c>
      <c r="H20" s="51">
        <v>0.91380139972457519</v>
      </c>
      <c r="I20" s="51">
        <v>2.822788643921199E-4</v>
      </c>
      <c r="J20" s="51">
        <v>0.91406544742409601</v>
      </c>
      <c r="K20" s="58">
        <v>0.91353735202505404</v>
      </c>
      <c r="L20" s="22">
        <v>19.767774404696521</v>
      </c>
      <c r="M20" s="22">
        <v>19.902361528348809</v>
      </c>
      <c r="N20" s="22">
        <f t="shared" si="8"/>
        <v>19.835067966522665</v>
      </c>
      <c r="O20" s="26">
        <f t="shared" si="9"/>
        <v>6.7293561826144099E-2</v>
      </c>
      <c r="P20" s="21">
        <v>19.625059338876532</v>
      </c>
      <c r="Q20" s="22">
        <v>19.758587562196109</v>
      </c>
      <c r="R20" s="22">
        <f t="shared" si="10"/>
        <v>19.691823450536319</v>
      </c>
      <c r="S20" s="26">
        <f t="shared" si="11"/>
        <v>6.6764111659788128E-2</v>
      </c>
      <c r="T20" s="22">
        <f t="shared" si="12"/>
        <v>19.763445708529492</v>
      </c>
      <c r="U20" s="22">
        <f t="shared" si="13"/>
        <v>0.11327066624991891</v>
      </c>
      <c r="V20" s="11">
        <f t="shared" si="4"/>
        <v>0.14294570852949207</v>
      </c>
      <c r="W20" s="23">
        <v>715.25500738596816</v>
      </c>
      <c r="X20" s="24">
        <v>715.31501300839409</v>
      </c>
      <c r="Y20" s="25">
        <f t="shared" si="0"/>
        <v>715.28501019718112</v>
      </c>
      <c r="Z20" s="25">
        <f t="shared" si="5"/>
        <v>415.28501019718112</v>
      </c>
      <c r="AA20" s="22">
        <v>19.861725357788718</v>
      </c>
      <c r="AB20" s="22">
        <v>19.996700009949311</v>
      </c>
      <c r="AC20" s="22">
        <f t="shared" si="6"/>
        <v>19.929212683869014</v>
      </c>
      <c r="AD20" s="26">
        <f t="shared" si="7"/>
        <v>6.7487326080296839E-2</v>
      </c>
      <c r="AE20" s="21">
        <v>19.715845921233544</v>
      </c>
      <c r="AF20" s="22">
        <v>19.849732182373007</v>
      </c>
      <c r="AG20" s="22">
        <f t="shared" si="14"/>
        <v>19.782789051803277</v>
      </c>
      <c r="AH20" s="26">
        <f t="shared" si="1"/>
        <v>6.6943130569731224E-2</v>
      </c>
      <c r="AI20" s="22">
        <f t="shared" si="2"/>
        <v>19.856000867836144</v>
      </c>
      <c r="AJ20" s="26">
        <f t="shared" si="3"/>
        <v>0.11476312394262607</v>
      </c>
    </row>
    <row r="21" spans="1:36">
      <c r="A21" s="49" t="s">
        <v>131</v>
      </c>
      <c r="B21" s="50">
        <v>600</v>
      </c>
      <c r="C21" s="51">
        <v>0.92017564399999996</v>
      </c>
      <c r="D21" s="51">
        <v>2.1267599999999999E-4</v>
      </c>
      <c r="E21" s="21">
        <v>19.4558</v>
      </c>
      <c r="F21" s="26">
        <v>6.4136706000000002E-2</v>
      </c>
      <c r="G21" s="23">
        <v>120</v>
      </c>
      <c r="H21" s="51">
        <v>0.91200870169086978</v>
      </c>
      <c r="I21" s="51">
        <v>2.9849465451160388E-4</v>
      </c>
      <c r="J21" s="51">
        <v>0.91228791787311103</v>
      </c>
      <c r="K21" s="58">
        <v>0.91172948550862798</v>
      </c>
      <c r="L21" s="22">
        <v>19.614521293488398</v>
      </c>
      <c r="M21" s="22">
        <v>19.758106784216679</v>
      </c>
      <c r="N21" s="22">
        <f t="shared" si="8"/>
        <v>19.686314038852537</v>
      </c>
      <c r="O21" s="26">
        <f t="shared" si="9"/>
        <v>7.1792745364140487E-2</v>
      </c>
      <c r="P21" s="21">
        <v>19.489026740261977</v>
      </c>
      <c r="Q21" s="22">
        <v>19.631606874057084</v>
      </c>
      <c r="R21" s="22">
        <f t="shared" si="10"/>
        <v>19.560316807159531</v>
      </c>
      <c r="S21" s="26">
        <f t="shared" si="11"/>
        <v>7.1290066897553572E-2</v>
      </c>
      <c r="T21" s="22">
        <f t="shared" si="12"/>
        <v>19.623315423006034</v>
      </c>
      <c r="U21" s="22">
        <f t="shared" si="13"/>
        <v>0.11007307609743848</v>
      </c>
      <c r="V21" s="11">
        <f t="shared" si="4"/>
        <v>0.16751542300603361</v>
      </c>
      <c r="W21" s="23">
        <v>612.20204504788785</v>
      </c>
      <c r="X21" s="24">
        <v>612.20204504788785</v>
      </c>
      <c r="Y21" s="25">
        <f t="shared" si="0"/>
        <v>612.20204504788785</v>
      </c>
      <c r="Z21" s="25">
        <f t="shared" si="5"/>
        <v>312.20204504788785</v>
      </c>
      <c r="AA21" s="22">
        <v>19.687774937932634</v>
      </c>
      <c r="AB21" s="22">
        <v>19.831682899227523</v>
      </c>
      <c r="AC21" s="22">
        <f t="shared" si="6"/>
        <v>19.75972891858008</v>
      </c>
      <c r="AD21" s="26">
        <f t="shared" si="7"/>
        <v>7.1953980647444737E-2</v>
      </c>
      <c r="AE21" s="21">
        <v>19.559779585210944</v>
      </c>
      <c r="AF21" s="22">
        <v>19.702657711554544</v>
      </c>
      <c r="AG21" s="22">
        <f t="shared" si="14"/>
        <v>19.631218648382742</v>
      </c>
      <c r="AH21" s="26">
        <f t="shared" si="1"/>
        <v>7.1439063171800044E-2</v>
      </c>
      <c r="AI21" s="22">
        <f t="shared" si="2"/>
        <v>19.695473783481411</v>
      </c>
      <c r="AJ21" s="26">
        <f t="shared" si="3"/>
        <v>0.11117061917303306</v>
      </c>
    </row>
    <row r="22" spans="1:36">
      <c r="A22" s="49" t="s">
        <v>132</v>
      </c>
      <c r="B22" s="50">
        <v>500</v>
      </c>
      <c r="C22" s="51">
        <v>0.91903639500000001</v>
      </c>
      <c r="D22" s="51">
        <v>1.2277999999999999E-4</v>
      </c>
      <c r="E22" s="21">
        <v>19.370699999999999</v>
      </c>
      <c r="F22" s="26">
        <v>6.5120998999999999E-2</v>
      </c>
      <c r="G22" s="23">
        <v>122</v>
      </c>
      <c r="H22" s="51">
        <v>0.91042416662864656</v>
      </c>
      <c r="I22" s="51">
        <v>3.0118662820728383E-4</v>
      </c>
      <c r="J22" s="51">
        <v>0.910705900921704</v>
      </c>
      <c r="K22" s="58">
        <v>0.910142432335589</v>
      </c>
      <c r="L22" s="22">
        <v>19.434755524743402</v>
      </c>
      <c r="M22" s="22">
        <v>19.58079762007424</v>
      </c>
      <c r="N22" s="22">
        <f t="shared" si="8"/>
        <v>19.507776572408822</v>
      </c>
      <c r="O22" s="26">
        <f t="shared" si="9"/>
        <v>7.3021047665418948E-2</v>
      </c>
      <c r="P22" s="21">
        <v>19.326715609667993</v>
      </c>
      <c r="Q22" s="22">
        <v>19.471854019663486</v>
      </c>
      <c r="R22" s="22">
        <f t="shared" si="10"/>
        <v>19.399284814665741</v>
      </c>
      <c r="S22" s="26">
        <f t="shared" si="11"/>
        <v>7.2569204997746439E-2</v>
      </c>
      <c r="T22" s="22">
        <f t="shared" si="12"/>
        <v>19.453530693537282</v>
      </c>
      <c r="U22" s="22">
        <f t="shared" si="13"/>
        <v>0.10482872909418192</v>
      </c>
      <c r="V22" s="11">
        <f t="shared" si="4"/>
        <v>8.2830693537282229E-2</v>
      </c>
      <c r="W22" s="23">
        <v>509.4981518812902</v>
      </c>
      <c r="X22" s="24">
        <v>509.53956621075264</v>
      </c>
      <c r="Y22" s="25">
        <f t="shared" si="0"/>
        <v>509.51885904602142</v>
      </c>
      <c r="Z22" s="25">
        <f t="shared" si="5"/>
        <v>209.51885904602142</v>
      </c>
      <c r="AA22" s="22">
        <v>19.489404041630301</v>
      </c>
      <c r="AB22" s="22">
        <v>19.635690010615011</v>
      </c>
      <c r="AC22" s="22">
        <f t="shared" si="6"/>
        <v>19.562547026122658</v>
      </c>
      <c r="AD22" s="26">
        <f t="shared" si="7"/>
        <v>7.3142984492355012E-2</v>
      </c>
      <c r="AE22" s="21">
        <v>19.379481886614439</v>
      </c>
      <c r="AF22" s="22">
        <v>19.524845757883512</v>
      </c>
      <c r="AG22" s="22">
        <f t="shared" si="14"/>
        <v>19.452163822248977</v>
      </c>
      <c r="AH22" s="26">
        <f t="shared" si="1"/>
        <v>7.2681935634536288E-2</v>
      </c>
      <c r="AI22" s="22">
        <f t="shared" si="2"/>
        <v>19.507355424185818</v>
      </c>
      <c r="AJ22" s="26">
        <f t="shared" si="3"/>
        <v>0.10559288421966415</v>
      </c>
    </row>
    <row r="23" spans="1:36">
      <c r="A23" s="49" t="s">
        <v>133</v>
      </c>
      <c r="B23" s="50">
        <v>400</v>
      </c>
      <c r="C23" s="51">
        <v>0.91810239100000002</v>
      </c>
      <c r="D23" s="51">
        <v>1.62351E-4</v>
      </c>
      <c r="E23" s="21">
        <v>19.212800000000001</v>
      </c>
      <c r="F23" s="26">
        <v>8.2670329000000001E-2</v>
      </c>
      <c r="G23" s="23">
        <v>124</v>
      </c>
      <c r="H23" s="51">
        <v>0.90909062787767692</v>
      </c>
      <c r="I23" s="51">
        <v>3.7618582729712709E-4</v>
      </c>
      <c r="J23" s="51">
        <v>0.909442517497553</v>
      </c>
      <c r="K23" s="58">
        <v>0.90873873825780005</v>
      </c>
      <c r="L23" s="22">
        <v>19.208501323174833</v>
      </c>
      <c r="M23" s="22">
        <v>19.392193473953753</v>
      </c>
      <c r="N23" s="22">
        <f t="shared" si="8"/>
        <v>19.300347398564291</v>
      </c>
      <c r="O23" s="26">
        <f t="shared" si="9"/>
        <v>9.1846075389460324E-2</v>
      </c>
      <c r="P23" s="21">
        <v>19.117650886705338</v>
      </c>
      <c r="Q23" s="22">
        <v>19.300341295049307</v>
      </c>
      <c r="R23" s="22">
        <f t="shared" si="10"/>
        <v>19.208996090877321</v>
      </c>
      <c r="S23" s="26">
        <f t="shared" si="11"/>
        <v>9.1345204171984662E-2</v>
      </c>
      <c r="T23" s="22">
        <f t="shared" si="12"/>
        <v>19.254671744720806</v>
      </c>
      <c r="U23" s="22">
        <f t="shared" si="13"/>
        <v>0.11818679733858538</v>
      </c>
      <c r="V23" s="11">
        <f t="shared" si="4"/>
        <v>4.1871744720804571E-2</v>
      </c>
      <c r="W23" s="23">
        <v>407.14019486114557</v>
      </c>
      <c r="X23" s="24">
        <v>407.17991153920724</v>
      </c>
      <c r="Y23" s="25">
        <f t="shared" si="0"/>
        <v>407.16005320017643</v>
      </c>
      <c r="Z23" s="25">
        <f t="shared" si="5"/>
        <v>107.16005320017643</v>
      </c>
      <c r="AA23" s="22">
        <v>19.246535090320243</v>
      </c>
      <c r="AB23" s="22">
        <v>19.430438221731652</v>
      </c>
      <c r="AC23" s="22">
        <f t="shared" si="6"/>
        <v>19.33848665602595</v>
      </c>
      <c r="AD23" s="26">
        <f t="shared" si="7"/>
        <v>9.1951565705704397E-2</v>
      </c>
      <c r="AE23" s="21">
        <v>19.154373820719407</v>
      </c>
      <c r="AF23" s="22">
        <v>19.337259436064457</v>
      </c>
      <c r="AG23" s="22">
        <f t="shared" si="14"/>
        <v>19.245816628391932</v>
      </c>
      <c r="AH23" s="26">
        <f t="shared" si="1"/>
        <v>9.1442807672525106E-2</v>
      </c>
      <c r="AI23" s="22">
        <f t="shared" si="2"/>
        <v>19.292151642208943</v>
      </c>
      <c r="AJ23" s="26">
        <f t="shared" si="3"/>
        <v>0.11863317276829875</v>
      </c>
    </row>
    <row r="24" spans="1:36">
      <c r="A24" s="49" t="s">
        <v>134</v>
      </c>
      <c r="B24" s="50">
        <v>300</v>
      </c>
      <c r="C24" s="51">
        <v>0.91797979699999999</v>
      </c>
      <c r="D24" s="51">
        <v>2.05701E-4</v>
      </c>
      <c r="E24" s="21">
        <v>18.907399999999999</v>
      </c>
      <c r="F24" s="26">
        <v>8.3979537000000007E-2</v>
      </c>
      <c r="G24" s="23">
        <v>126</v>
      </c>
      <c r="H24" s="51">
        <v>0.90837272537119362</v>
      </c>
      <c r="I24" s="51">
        <v>3.7173599033486445E-4</v>
      </c>
      <c r="J24" s="51">
        <v>0.90872045254973521</v>
      </c>
      <c r="K24" s="58">
        <v>0.90802499819265203</v>
      </c>
      <c r="L24" s="22">
        <v>18.901680316554316</v>
      </c>
      <c r="M24" s="22">
        <v>19.083981421428863</v>
      </c>
      <c r="N24" s="22">
        <f t="shared" si="8"/>
        <v>18.992830868991589</v>
      </c>
      <c r="O24" s="26">
        <f t="shared" si="9"/>
        <v>9.1150552437273547E-2</v>
      </c>
      <c r="P24" s="21">
        <v>18.826811940399914</v>
      </c>
      <c r="Q24" s="22">
        <v>19.008227623447855</v>
      </c>
      <c r="R24" s="22">
        <f t="shared" si="10"/>
        <v>18.917519781923886</v>
      </c>
      <c r="S24" s="26">
        <f t="shared" si="11"/>
        <v>9.07078415239706E-2</v>
      </c>
      <c r="T24" s="22">
        <f t="shared" si="12"/>
        <v>18.955175325457738</v>
      </c>
      <c r="U24" s="22">
        <f t="shared" si="13"/>
        <v>0.11364334748448075</v>
      </c>
      <c r="V24" s="11">
        <f t="shared" si="4"/>
        <v>4.777532545773866E-2</v>
      </c>
      <c r="W24" s="23">
        <v>305.12597333654855</v>
      </c>
      <c r="X24" s="24">
        <v>305.15485364931243</v>
      </c>
      <c r="Y24" s="25">
        <f t="shared" si="0"/>
        <v>305.14041349293052</v>
      </c>
      <c r="Z24" s="25">
        <f t="shared" si="5"/>
        <v>5.1404134929305201</v>
      </c>
      <c r="AA24" s="22">
        <v>18.924970320234785</v>
      </c>
      <c r="AB24" s="22">
        <v>19.107395783012656</v>
      </c>
      <c r="AC24" s="22">
        <f t="shared" si="6"/>
        <v>19.01618305162372</v>
      </c>
      <c r="AD24" s="26">
        <f t="shared" si="7"/>
        <v>9.1212731388935708E-2</v>
      </c>
      <c r="AE24" s="21">
        <v>18.849311817471332</v>
      </c>
      <c r="AF24" s="22">
        <v>19.030842753707859</v>
      </c>
      <c r="AG24" s="22">
        <f t="shared" si="14"/>
        <v>18.940077285589595</v>
      </c>
      <c r="AH24" s="26">
        <f t="shared" si="1"/>
        <v>9.076546811826347E-2</v>
      </c>
      <c r="AI24" s="22">
        <f t="shared" si="2"/>
        <v>18.978130168606658</v>
      </c>
      <c r="AJ24" s="26">
        <f t="shared" si="3"/>
        <v>0.11388349714211782</v>
      </c>
    </row>
    <row r="25" spans="1:36">
      <c r="A25" s="49"/>
      <c r="B25" s="50"/>
      <c r="C25" s="51"/>
      <c r="D25" s="51"/>
      <c r="E25" s="21"/>
      <c r="F25" s="26"/>
      <c r="G25" s="23"/>
      <c r="H25" s="51"/>
      <c r="I25" s="51"/>
      <c r="J25" s="51"/>
      <c r="K25" s="58"/>
      <c r="L25" s="22"/>
      <c r="M25" s="22"/>
      <c r="N25" s="22"/>
      <c r="O25" s="26"/>
      <c r="P25" s="21"/>
      <c r="Q25" s="22"/>
      <c r="R25" s="22"/>
      <c r="S25" s="26"/>
      <c r="T25" s="22"/>
      <c r="U25" s="22"/>
      <c r="V25" s="22"/>
      <c r="W25" s="23"/>
      <c r="X25" s="24"/>
      <c r="Y25" s="25"/>
      <c r="Z25" s="25"/>
      <c r="AA25" s="22"/>
      <c r="AB25" s="22"/>
      <c r="AC25" s="22"/>
      <c r="AD25" s="26"/>
      <c r="AE25" s="21"/>
      <c r="AF25" s="22"/>
      <c r="AG25" s="22"/>
      <c r="AH25" s="26"/>
      <c r="AI25" s="22"/>
      <c r="AJ25" s="26"/>
    </row>
    <row r="26" spans="1:36">
      <c r="A26" s="49" t="s">
        <v>135</v>
      </c>
      <c r="B26" s="50">
        <v>1700</v>
      </c>
      <c r="C26" s="51">
        <v>0.933130813</v>
      </c>
      <c r="D26" s="51">
        <v>2.37288E-4</v>
      </c>
      <c r="E26" s="21">
        <v>21.7835</v>
      </c>
      <c r="F26" s="26">
        <v>7.6896448000000006E-2</v>
      </c>
      <c r="G26" s="23">
        <v>128</v>
      </c>
      <c r="H26" s="51">
        <v>0.93223404072861737</v>
      </c>
      <c r="I26" s="51">
        <v>3.4402629226672459E-4</v>
      </c>
      <c r="J26" s="51">
        <v>0.93191223359919129</v>
      </c>
      <c r="K26" s="58">
        <v>0.93255584785804346</v>
      </c>
      <c r="L26" s="22">
        <v>21.810636133139067</v>
      </c>
      <c r="M26" s="22">
        <v>21.660328205372906</v>
      </c>
      <c r="N26" s="22">
        <f t="shared" si="8"/>
        <v>21.735482169255988</v>
      </c>
      <c r="O26" s="26">
        <f t="shared" si="9"/>
        <v>7.5153963883080266E-2</v>
      </c>
      <c r="P26" s="21">
        <v>21.524507120358649</v>
      </c>
      <c r="Q26" s="22">
        <v>21.3768002681364</v>
      </c>
      <c r="R26" s="22">
        <f t="shared" si="10"/>
        <v>21.450653694247524</v>
      </c>
      <c r="S26" s="26">
        <f t="shared" si="11"/>
        <v>7.3853426111124776E-2</v>
      </c>
      <c r="T26" s="22">
        <f t="shared" si="12"/>
        <v>21.593067931751754</v>
      </c>
      <c r="U26" s="22">
        <f t="shared" si="13"/>
        <v>0.18559108621467379</v>
      </c>
      <c r="V26" s="11">
        <f t="shared" ref="V26:V34" si="15">T26-E26</f>
        <v>-0.19043206824824566</v>
      </c>
      <c r="W26" s="23">
        <v>1767.200524775556</v>
      </c>
      <c r="X26" s="24">
        <v>1766.9393114073166</v>
      </c>
      <c r="Y26" s="25">
        <f t="shared" ref="Y26:Y34" si="16">(W26+X26)/2</f>
        <v>1767.0699180914362</v>
      </c>
      <c r="Z26" s="25">
        <f t="shared" ref="Z26:Z34" si="17">Y26-300</f>
        <v>1467.0699180914362</v>
      </c>
      <c r="AA26" s="22">
        <v>22.246609103968815</v>
      </c>
      <c r="AB26" s="22">
        <v>22.09447554698685</v>
      </c>
      <c r="AC26" s="22">
        <f t="shared" si="6"/>
        <v>22.170542325477832</v>
      </c>
      <c r="AD26" s="26">
        <f t="shared" ref="AD26:AD34" si="18">ABS(AA26-AB26)/2</f>
        <v>7.6066778490982756E-2</v>
      </c>
      <c r="AE26" s="21">
        <v>21.948248067512452</v>
      </c>
      <c r="AF26" s="22">
        <v>21.798858034389511</v>
      </c>
      <c r="AG26" s="22">
        <f t="shared" si="14"/>
        <v>21.873553050950981</v>
      </c>
      <c r="AH26" s="26">
        <f t="shared" ref="AH26:AH34" si="19">ABS(AE26-AF26)/2</f>
        <v>7.4695016561470595E-2</v>
      </c>
      <c r="AI26" s="22">
        <f t="shared" si="2"/>
        <v>22.022047688214407</v>
      </c>
      <c r="AJ26" s="26">
        <f t="shared" si="3"/>
        <v>0.19229632494513466</v>
      </c>
    </row>
    <row r="27" spans="1:36">
      <c r="A27" s="49" t="s">
        <v>136</v>
      </c>
      <c r="B27" s="50">
        <v>1750</v>
      </c>
      <c r="C27" s="51">
        <v>0.93374865399999996</v>
      </c>
      <c r="D27" s="51">
        <v>2.0864899999999999E-4</v>
      </c>
      <c r="E27" s="21">
        <v>22.052800000000001</v>
      </c>
      <c r="F27" s="26">
        <v>5.9420658000000001E-2</v>
      </c>
      <c r="G27" s="23">
        <v>131</v>
      </c>
      <c r="H27" s="51">
        <v>0.93248386175923126</v>
      </c>
      <c r="I27" s="51">
        <v>2.666285730657951E-4</v>
      </c>
      <c r="J27" s="51">
        <v>0.93223445356674706</v>
      </c>
      <c r="K27" s="58">
        <v>0.93273326995171546</v>
      </c>
      <c r="L27" s="22">
        <v>22.059616696464865</v>
      </c>
      <c r="M27" s="22">
        <v>21.943206039864226</v>
      </c>
      <c r="N27" s="22">
        <f t="shared" si="8"/>
        <v>22.001411368164547</v>
      </c>
      <c r="O27" s="26">
        <f t="shared" si="9"/>
        <v>5.8205328300319437E-2</v>
      </c>
      <c r="P27" s="21">
        <v>21.765726244318728</v>
      </c>
      <c r="Q27" s="22">
        <v>21.651384359095697</v>
      </c>
      <c r="R27" s="22">
        <f t="shared" si="10"/>
        <v>21.708555301707214</v>
      </c>
      <c r="S27" s="26">
        <f t="shared" si="11"/>
        <v>5.717094261151523E-2</v>
      </c>
      <c r="T27" s="22">
        <f t="shared" si="12"/>
        <v>21.854983334935881</v>
      </c>
      <c r="U27" s="22">
        <f t="shared" si="13"/>
        <v>0.1817300465930495</v>
      </c>
      <c r="V27" s="11">
        <f t="shared" si="15"/>
        <v>-0.19781666506412066</v>
      </c>
      <c r="W27" s="23">
        <v>1821.1300654902582</v>
      </c>
      <c r="X27" s="24">
        <v>1820.9191783959177</v>
      </c>
      <c r="Y27" s="25">
        <f t="shared" si="16"/>
        <v>1821.0246219430878</v>
      </c>
      <c r="Z27" s="25">
        <f t="shared" si="17"/>
        <v>1521.0246219430878</v>
      </c>
      <c r="AA27" s="22">
        <v>22.521323060897501</v>
      </c>
      <c r="AB27" s="22">
        <v>22.403435704332246</v>
      </c>
      <c r="AC27" s="22">
        <f t="shared" si="6"/>
        <v>22.462379382614873</v>
      </c>
      <c r="AD27" s="26">
        <f t="shared" si="18"/>
        <v>5.8943678282627587E-2</v>
      </c>
      <c r="AE27" s="21">
        <v>22.214526135479733</v>
      </c>
      <c r="AF27" s="22">
        <v>22.09882375869385</v>
      </c>
      <c r="AG27" s="22">
        <f t="shared" si="14"/>
        <v>22.156674947086792</v>
      </c>
      <c r="AH27" s="26">
        <f t="shared" si="19"/>
        <v>5.7851188392941566E-2</v>
      </c>
      <c r="AI27" s="22">
        <f t="shared" si="2"/>
        <v>22.309527164850834</v>
      </c>
      <c r="AJ27" s="26">
        <f t="shared" si="3"/>
        <v>0.18894217485557674</v>
      </c>
    </row>
    <row r="28" spans="1:36">
      <c r="A28" s="49" t="s">
        <v>137</v>
      </c>
      <c r="B28" s="50">
        <v>1800</v>
      </c>
      <c r="C28" s="51">
        <v>0.93478574699999994</v>
      </c>
      <c r="D28" s="51">
        <v>2.2400999999999999E-4</v>
      </c>
      <c r="E28" s="21">
        <v>21.8416</v>
      </c>
      <c r="F28" s="26">
        <v>8.4340160999999997E-2</v>
      </c>
      <c r="G28" s="23">
        <v>133</v>
      </c>
      <c r="H28" s="51">
        <v>0.93475658059537614</v>
      </c>
      <c r="I28" s="51">
        <v>3.8043073319601547E-4</v>
      </c>
      <c r="J28" s="51">
        <v>0.93440072022962151</v>
      </c>
      <c r="K28" s="58">
        <v>0.93511244096113078</v>
      </c>
      <c r="L28" s="22">
        <v>21.8805142228139</v>
      </c>
      <c r="M28" s="22">
        <v>21.71633415918005</v>
      </c>
      <c r="N28" s="22">
        <f t="shared" si="8"/>
        <v>21.798424190996975</v>
      </c>
      <c r="O28" s="26">
        <f t="shared" si="9"/>
        <v>8.2090031816925091E-2</v>
      </c>
      <c r="P28" s="21">
        <v>21.586744715982611</v>
      </c>
      <c r="Q28" s="22">
        <v>21.425566906831342</v>
      </c>
      <c r="R28" s="22">
        <f t="shared" si="10"/>
        <v>21.506155811406977</v>
      </c>
      <c r="S28" s="26">
        <f t="shared" si="11"/>
        <v>8.0588904575634501E-2</v>
      </c>
      <c r="T28" s="22">
        <f t="shared" si="12"/>
        <v>21.652290001201976</v>
      </c>
      <c r="U28" s="22">
        <f t="shared" si="13"/>
        <v>0.19312128782794546</v>
      </c>
      <c r="V28" s="11">
        <f t="shared" si="15"/>
        <v>-0.18930999879802357</v>
      </c>
      <c r="W28" s="23">
        <v>1874.3773601045079</v>
      </c>
      <c r="X28" s="24">
        <v>1874.0628869763136</v>
      </c>
      <c r="Y28" s="25">
        <f t="shared" si="16"/>
        <v>1874.2201235404109</v>
      </c>
      <c r="Z28" s="25">
        <f t="shared" si="17"/>
        <v>1574.2201235404109</v>
      </c>
      <c r="AA28" s="22">
        <v>22.363106167177527</v>
      </c>
      <c r="AB28" s="22">
        <v>22.196727154038495</v>
      </c>
      <c r="AC28" s="22">
        <f t="shared" si="6"/>
        <v>22.279916660608009</v>
      </c>
      <c r="AD28" s="26">
        <f t="shared" si="18"/>
        <v>8.318950656951607E-2</v>
      </c>
      <c r="AE28" s="21">
        <v>22.056186086625743</v>
      </c>
      <c r="AF28" s="22">
        <v>21.892980375064763</v>
      </c>
      <c r="AG28" s="22">
        <f t="shared" si="14"/>
        <v>21.974583230845255</v>
      </c>
      <c r="AH28" s="26">
        <f t="shared" si="19"/>
        <v>8.1602855780490202E-2</v>
      </c>
      <c r="AI28" s="22">
        <f t="shared" si="2"/>
        <v>22.127249945726632</v>
      </c>
      <c r="AJ28" s="26">
        <f t="shared" si="3"/>
        <v>0.20032269257401594</v>
      </c>
    </row>
    <row r="29" spans="1:36">
      <c r="A29" s="49" t="s">
        <v>138</v>
      </c>
      <c r="B29" s="50">
        <v>1850</v>
      </c>
      <c r="C29" s="51">
        <v>0.93590802100000003</v>
      </c>
      <c r="D29" s="51">
        <v>1.8205900000000001E-4</v>
      </c>
      <c r="E29" s="21">
        <v>21.9175</v>
      </c>
      <c r="F29" s="26">
        <v>5.0280242000000003E-2</v>
      </c>
      <c r="G29" s="23">
        <v>135</v>
      </c>
      <c r="H29" s="51">
        <v>0.93591104044050255</v>
      </c>
      <c r="I29" s="51">
        <v>2.4127954250805669E-4</v>
      </c>
      <c r="J29" s="51">
        <v>0.93568534409487691</v>
      </c>
      <c r="K29" s="58">
        <v>0.93613673678612819</v>
      </c>
      <c r="L29" s="22">
        <v>21.908819278514869</v>
      </c>
      <c r="M29" s="22">
        <v>21.805271485877959</v>
      </c>
      <c r="N29" s="22">
        <f t="shared" si="8"/>
        <v>21.857045382196414</v>
      </c>
      <c r="O29" s="26">
        <f t="shared" si="9"/>
        <v>5.177389631845486E-2</v>
      </c>
      <c r="P29" s="21">
        <v>21.611763541491907</v>
      </c>
      <c r="Q29" s="22">
        <v>21.510159751583306</v>
      </c>
      <c r="R29" s="22">
        <f t="shared" si="10"/>
        <v>21.560961646537606</v>
      </c>
      <c r="S29" s="26">
        <f t="shared" si="11"/>
        <v>5.0801894954300764E-2</v>
      </c>
      <c r="T29" s="22">
        <f t="shared" si="12"/>
        <v>21.709003514367009</v>
      </c>
      <c r="U29" s="22">
        <f t="shared" si="13"/>
        <v>0.18091279323066009</v>
      </c>
      <c r="V29" s="11">
        <f t="shared" si="15"/>
        <v>-0.20849648563299183</v>
      </c>
      <c r="W29" s="23">
        <v>1928.0945106621393</v>
      </c>
      <c r="X29" s="24">
        <v>1927.8868493071814</v>
      </c>
      <c r="Y29" s="25">
        <f t="shared" si="16"/>
        <v>1927.9906799846603</v>
      </c>
      <c r="Z29" s="25">
        <f t="shared" si="17"/>
        <v>1627.9906799846603</v>
      </c>
      <c r="AA29" s="22">
        <v>22.41551282895756</v>
      </c>
      <c r="AB29" s="22">
        <v>22.310512511754837</v>
      </c>
      <c r="AC29" s="22">
        <f t="shared" si="6"/>
        <v>22.363012670356198</v>
      </c>
      <c r="AD29" s="26">
        <f t="shared" si="18"/>
        <v>5.2500158601361591E-2</v>
      </c>
      <c r="AE29" s="21">
        <v>22.104860315274017</v>
      </c>
      <c r="AF29" s="22">
        <v>22.001916945505734</v>
      </c>
      <c r="AG29" s="22">
        <f t="shared" si="14"/>
        <v>22.053388630389875</v>
      </c>
      <c r="AH29" s="26">
        <f t="shared" si="19"/>
        <v>5.1471684884141666E-2</v>
      </c>
      <c r="AI29" s="22">
        <f t="shared" si="2"/>
        <v>22.208200650373037</v>
      </c>
      <c r="AJ29" s="26">
        <f t="shared" si="3"/>
        <v>0.18857204469470742</v>
      </c>
    </row>
    <row r="30" spans="1:36">
      <c r="A30" s="49" t="s">
        <v>139</v>
      </c>
      <c r="B30" s="50">
        <v>1900</v>
      </c>
      <c r="C30" s="51">
        <v>0.93689245899999996</v>
      </c>
      <c r="D30" s="51">
        <v>1.75105E-4</v>
      </c>
      <c r="E30" s="21">
        <v>21.851199999999999</v>
      </c>
      <c r="F30" s="26">
        <v>4.9960275999999998E-2</v>
      </c>
      <c r="G30" s="23">
        <v>137</v>
      </c>
      <c r="H30" s="51">
        <v>0.9375559476482106</v>
      </c>
      <c r="I30" s="51">
        <v>2.4358657279138313E-4</v>
      </c>
      <c r="J30" s="51">
        <v>0.93732809327335964</v>
      </c>
      <c r="K30" s="58">
        <v>0.93778380202306155</v>
      </c>
      <c r="L30" s="22">
        <v>21.857307902892082</v>
      </c>
      <c r="M30" s="22">
        <v>21.753627203755471</v>
      </c>
      <c r="N30" s="22">
        <f t="shared" si="8"/>
        <v>21.805467553323776</v>
      </c>
      <c r="O30" s="26">
        <f t="shared" si="9"/>
        <v>5.1840349568305299E-2</v>
      </c>
      <c r="P30" s="21">
        <v>21.558783728233024</v>
      </c>
      <c r="Q30" s="22">
        <v>21.457100999320943</v>
      </c>
      <c r="R30" s="22">
        <f t="shared" si="10"/>
        <v>21.507942363776984</v>
      </c>
      <c r="S30" s="26">
        <f t="shared" si="11"/>
        <v>5.0841364456040594E-2</v>
      </c>
      <c r="T30" s="22">
        <f t="shared" si="12"/>
        <v>21.656704958550378</v>
      </c>
      <c r="U30" s="22">
        <f t="shared" si="13"/>
        <v>0.18171935393263888</v>
      </c>
      <c r="V30" s="11">
        <f t="shared" si="15"/>
        <v>-0.19449504144962049</v>
      </c>
      <c r="W30" s="23">
        <v>1981.737928651489</v>
      </c>
      <c r="X30" s="24">
        <v>1981.519679871077</v>
      </c>
      <c r="Y30" s="25">
        <f t="shared" si="16"/>
        <v>1981.628804261283</v>
      </c>
      <c r="Z30" s="25">
        <f t="shared" si="17"/>
        <v>1681.628804261283</v>
      </c>
      <c r="AA30" s="22">
        <v>22.387513798453419</v>
      </c>
      <c r="AB30" s="22">
        <v>22.282307314702098</v>
      </c>
      <c r="AC30" s="22">
        <f t="shared" si="6"/>
        <v>22.334910556577761</v>
      </c>
      <c r="AD30" s="26">
        <f t="shared" si="18"/>
        <v>5.2603241875660345E-2</v>
      </c>
      <c r="AE30" s="21">
        <v>22.075043254042736</v>
      </c>
      <c r="AF30" s="22">
        <v>21.971952765612521</v>
      </c>
      <c r="AG30" s="22">
        <f t="shared" si="14"/>
        <v>22.023498009827627</v>
      </c>
      <c r="AH30" s="26">
        <f t="shared" si="19"/>
        <v>5.1545244215107644E-2</v>
      </c>
      <c r="AI30" s="22">
        <f t="shared" si="2"/>
        <v>22.179204283202694</v>
      </c>
      <c r="AJ30" s="26">
        <f t="shared" si="3"/>
        <v>0.18958357944668336</v>
      </c>
    </row>
    <row r="31" spans="1:36">
      <c r="A31" s="49" t="s">
        <v>140</v>
      </c>
      <c r="B31" s="50">
        <v>1800</v>
      </c>
      <c r="C31" s="51">
        <v>0.93654374500000004</v>
      </c>
      <c r="D31" s="51">
        <v>2.7943899999999998E-4</v>
      </c>
      <c r="E31" s="21">
        <v>21.698499999999999</v>
      </c>
      <c r="F31" s="26">
        <v>6.7472129000000006E-2</v>
      </c>
      <c r="G31" s="23">
        <v>139</v>
      </c>
      <c r="H31" s="51">
        <v>0.93544446457817687</v>
      </c>
      <c r="I31" s="51">
        <v>3.0908274571723912E-4</v>
      </c>
      <c r="J31" s="51">
        <v>0.93515534414351753</v>
      </c>
      <c r="K31" s="58">
        <v>0.93573358501283621</v>
      </c>
      <c r="L31" s="22">
        <v>21.706457362113497</v>
      </c>
      <c r="M31" s="22">
        <v>21.573562570527312</v>
      </c>
      <c r="N31" s="22">
        <f t="shared" si="8"/>
        <v>21.640009966320406</v>
      </c>
      <c r="O31" s="26">
        <f t="shared" si="9"/>
        <v>6.6447395793092667E-2</v>
      </c>
      <c r="P31" s="21">
        <v>21.415870801017469</v>
      </c>
      <c r="Q31" s="22">
        <v>21.285408110724894</v>
      </c>
      <c r="R31" s="22">
        <f t="shared" si="10"/>
        <v>21.350639455871182</v>
      </c>
      <c r="S31" s="26">
        <f t="shared" si="11"/>
        <v>6.5231345146287367E-2</v>
      </c>
      <c r="T31" s="22">
        <f t="shared" si="12"/>
        <v>21.49532471109579</v>
      </c>
      <c r="U31" s="22">
        <f t="shared" si="13"/>
        <v>0.18355386304134222</v>
      </c>
      <c r="V31" s="11">
        <f t="shared" si="15"/>
        <v>-0.20317528890420888</v>
      </c>
      <c r="W31" s="23">
        <v>1874.0439143641365</v>
      </c>
      <c r="X31" s="24">
        <v>1873.7880281671285</v>
      </c>
      <c r="Y31" s="25">
        <f t="shared" si="16"/>
        <v>1873.9159712656324</v>
      </c>
      <c r="Z31" s="25">
        <f t="shared" si="17"/>
        <v>1573.9159712656324</v>
      </c>
      <c r="AA31" s="22">
        <v>22.1867177706478</v>
      </c>
      <c r="AB31" s="22">
        <v>22.052035648337061</v>
      </c>
      <c r="AC31" s="22">
        <f t="shared" si="6"/>
        <v>22.119376709492428</v>
      </c>
      <c r="AD31" s="26">
        <f t="shared" si="18"/>
        <v>6.734106115536953E-2</v>
      </c>
      <c r="AE31" s="21">
        <v>21.883161957205999</v>
      </c>
      <c r="AF31" s="22">
        <v>21.751050005166853</v>
      </c>
      <c r="AG31" s="22">
        <f t="shared" si="14"/>
        <v>21.817105981186426</v>
      </c>
      <c r="AH31" s="26">
        <f t="shared" si="19"/>
        <v>6.6055976019573137E-2</v>
      </c>
      <c r="AI31" s="22">
        <f t="shared" si="2"/>
        <v>21.968241345339429</v>
      </c>
      <c r="AJ31" s="26">
        <f t="shared" si="3"/>
        <v>0.19075640151905901</v>
      </c>
    </row>
    <row r="32" spans="1:36">
      <c r="A32" s="49" t="s">
        <v>141</v>
      </c>
      <c r="B32" s="50">
        <v>1700</v>
      </c>
      <c r="C32" s="51">
        <v>0.93444452300000003</v>
      </c>
      <c r="D32" s="51">
        <v>2.35706E-4</v>
      </c>
      <c r="E32" s="21">
        <v>21.420999999999999</v>
      </c>
      <c r="F32" s="26">
        <v>5.9808505999999997E-2</v>
      </c>
      <c r="G32" s="23">
        <v>141</v>
      </c>
      <c r="H32" s="51">
        <v>0.93370371385017581</v>
      </c>
      <c r="I32" s="51">
        <v>2.5150233019682932E-4</v>
      </c>
      <c r="J32" s="51">
        <v>0.93346845496228281</v>
      </c>
      <c r="K32" s="58">
        <v>0.93393897273806881</v>
      </c>
      <c r="L32" s="22">
        <v>21.448092143552863</v>
      </c>
      <c r="M32" s="22">
        <v>21.339075620761314</v>
      </c>
      <c r="N32" s="22">
        <f t="shared" si="8"/>
        <v>21.393583882157088</v>
      </c>
      <c r="O32" s="26">
        <f t="shared" si="9"/>
        <v>5.4508261395774582E-2</v>
      </c>
      <c r="P32" s="21">
        <v>21.16824089703082</v>
      </c>
      <c r="Q32" s="22">
        <v>21.061114633336793</v>
      </c>
      <c r="R32" s="22">
        <f t="shared" si="10"/>
        <v>21.114677765183806</v>
      </c>
      <c r="S32" s="26">
        <f t="shared" si="11"/>
        <v>5.3563131847013778E-2</v>
      </c>
      <c r="T32" s="22">
        <f t="shared" si="12"/>
        <v>21.254130823670447</v>
      </c>
      <c r="U32" s="22">
        <f t="shared" si="13"/>
        <v>0.17269331331623247</v>
      </c>
      <c r="V32" s="11">
        <f t="shared" si="15"/>
        <v>-0.166869176329552</v>
      </c>
      <c r="W32" s="23">
        <v>1766.568250489293</v>
      </c>
      <c r="X32" s="24">
        <v>1766.376628821127</v>
      </c>
      <c r="Y32" s="25">
        <f t="shared" si="16"/>
        <v>1766.4724396552101</v>
      </c>
      <c r="Z32" s="25">
        <f t="shared" si="17"/>
        <v>1466.4724396552101</v>
      </c>
      <c r="AA32" s="22">
        <v>21.879649335540055</v>
      </c>
      <c r="AB32" s="22">
        <v>21.76929668272296</v>
      </c>
      <c r="AC32" s="22">
        <f t="shared" si="6"/>
        <v>21.824473009131509</v>
      </c>
      <c r="AD32" s="26">
        <f t="shared" si="18"/>
        <v>5.5176326408547638E-2</v>
      </c>
      <c r="AE32" s="21">
        <v>21.587909034428009</v>
      </c>
      <c r="AF32" s="22">
        <v>21.479549354597282</v>
      </c>
      <c r="AG32" s="22">
        <f t="shared" si="14"/>
        <v>21.533729194512645</v>
      </c>
      <c r="AH32" s="26">
        <f t="shared" si="19"/>
        <v>5.4179839915363459E-2</v>
      </c>
      <c r="AI32" s="22">
        <f t="shared" si="2"/>
        <v>21.679101101822077</v>
      </c>
      <c r="AJ32" s="26">
        <f t="shared" si="3"/>
        <v>0.17934299525166972</v>
      </c>
    </row>
    <row r="33" spans="1:36">
      <c r="A33" s="49" t="s">
        <v>142</v>
      </c>
      <c r="B33" s="50">
        <v>1600</v>
      </c>
      <c r="C33" s="51">
        <v>0.933242974</v>
      </c>
      <c r="D33" s="51">
        <v>2.5488399999999998E-4</v>
      </c>
      <c r="E33" s="21">
        <v>21.185099999999998</v>
      </c>
      <c r="F33" s="26">
        <v>5.1942295999999999E-2</v>
      </c>
      <c r="G33" s="23">
        <v>143</v>
      </c>
      <c r="H33" s="51">
        <v>0.93181797452731019</v>
      </c>
      <c r="I33" s="51">
        <v>2.3824738572439884E-4</v>
      </c>
      <c r="J33" s="51">
        <v>0.93159511450464139</v>
      </c>
      <c r="K33" s="58">
        <v>0.93204083454997899</v>
      </c>
      <c r="L33" s="22">
        <v>21.236819954866714</v>
      </c>
      <c r="M33" s="22">
        <v>21.132628045674537</v>
      </c>
      <c r="N33" s="22">
        <f t="shared" si="8"/>
        <v>21.184724000270627</v>
      </c>
      <c r="O33" s="26">
        <f t="shared" si="9"/>
        <v>5.2095954596088845E-2</v>
      </c>
      <c r="P33" s="21">
        <v>20.967654107053093</v>
      </c>
      <c r="Q33" s="22">
        <v>20.86516836579856</v>
      </c>
      <c r="R33" s="22">
        <f t="shared" si="10"/>
        <v>20.916411236425827</v>
      </c>
      <c r="S33" s="26">
        <f t="shared" si="11"/>
        <v>5.1242870627266512E-2</v>
      </c>
      <c r="T33" s="22">
        <f t="shared" si="12"/>
        <v>21.050567618348225</v>
      </c>
      <c r="U33" s="22">
        <f t="shared" si="13"/>
        <v>0.1660033933316182</v>
      </c>
      <c r="V33" s="11">
        <f t="shared" si="15"/>
        <v>-0.13453238165177339</v>
      </c>
      <c r="W33" s="23">
        <v>1659.6053932471289</v>
      </c>
      <c r="X33" s="24">
        <v>1659.4392790673737</v>
      </c>
      <c r="Y33" s="25">
        <f t="shared" si="16"/>
        <v>1659.5223361572512</v>
      </c>
      <c r="Z33" s="25">
        <f t="shared" si="17"/>
        <v>1359.5223361572512</v>
      </c>
      <c r="AA33" s="22">
        <v>21.622981427413091</v>
      </c>
      <c r="AB33" s="22">
        <v>21.517633380586474</v>
      </c>
      <c r="AC33" s="22">
        <f t="shared" si="6"/>
        <v>21.570307403999784</v>
      </c>
      <c r="AD33" s="26">
        <f t="shared" si="18"/>
        <v>5.2674023413308291E-2</v>
      </c>
      <c r="AE33" s="21">
        <v>21.342943111677869</v>
      </c>
      <c r="AF33" s="22">
        <v>21.239389830439755</v>
      </c>
      <c r="AG33" s="22">
        <f t="shared" si="14"/>
        <v>21.291166471058812</v>
      </c>
      <c r="AH33" s="26">
        <f t="shared" si="19"/>
        <v>5.1776640619056735E-2</v>
      </c>
      <c r="AI33" s="22">
        <f t="shared" si="2"/>
        <v>21.430736937529296</v>
      </c>
      <c r="AJ33" s="26">
        <f t="shared" si="3"/>
        <v>0.17207595895983155</v>
      </c>
    </row>
    <row r="34" spans="1:36">
      <c r="A34" s="49" t="s">
        <v>143</v>
      </c>
      <c r="B34" s="50">
        <v>1500</v>
      </c>
      <c r="C34" s="51">
        <v>0.93208405699999997</v>
      </c>
      <c r="D34" s="51">
        <v>2.6058E-4</v>
      </c>
      <c r="E34" s="21">
        <v>20.918099999999999</v>
      </c>
      <c r="F34" s="26">
        <v>4.3865016E-2</v>
      </c>
      <c r="G34" s="23">
        <v>145</v>
      </c>
      <c r="H34" s="51">
        <v>0.92997040005419163</v>
      </c>
      <c r="I34" s="51">
        <v>2.0518024508732881E-4</v>
      </c>
      <c r="J34" s="51">
        <v>0.92977847150927884</v>
      </c>
      <c r="K34" s="58">
        <v>0.93016232859910442</v>
      </c>
      <c r="L34" s="22">
        <v>21.016580897549986</v>
      </c>
      <c r="M34" s="22">
        <v>20.926068527615062</v>
      </c>
      <c r="N34" s="22">
        <f t="shared" si="8"/>
        <v>20.971324712582522</v>
      </c>
      <c r="O34" s="26">
        <f t="shared" si="9"/>
        <v>4.5256184967461976E-2</v>
      </c>
      <c r="P34" s="21">
        <v>20.759042664811322</v>
      </c>
      <c r="Q34" s="22">
        <v>20.66992541218854</v>
      </c>
      <c r="R34" s="22">
        <f t="shared" si="10"/>
        <v>20.714484038499933</v>
      </c>
      <c r="S34" s="26">
        <f t="shared" si="11"/>
        <v>4.4558626311390626E-2</v>
      </c>
      <c r="T34" s="22">
        <f t="shared" si="12"/>
        <v>20.842904375541224</v>
      </c>
      <c r="U34" s="22">
        <f t="shared" si="13"/>
        <v>0.15709266774352776</v>
      </c>
      <c r="V34" s="11">
        <f t="shared" si="15"/>
        <v>-7.5195624458775256E-2</v>
      </c>
      <c r="W34" s="23">
        <v>1553.0466840274444</v>
      </c>
      <c r="X34" s="24">
        <v>1552.9165270831238</v>
      </c>
      <c r="Y34" s="25">
        <f t="shared" si="16"/>
        <v>1552.9816055552842</v>
      </c>
      <c r="Z34" s="25">
        <f t="shared" si="17"/>
        <v>1252.9816055552842</v>
      </c>
      <c r="AA34" s="22">
        <v>21.359902820037906</v>
      </c>
      <c r="AB34" s="22">
        <v>21.268486687401822</v>
      </c>
      <c r="AC34" s="22">
        <f t="shared" si="6"/>
        <v>21.314194753719864</v>
      </c>
      <c r="AD34" s="26">
        <f t="shared" si="18"/>
        <v>4.5708066318042029E-2</v>
      </c>
      <c r="AE34" s="21">
        <v>21.092496421198646</v>
      </c>
      <c r="AF34" s="22">
        <v>21.002544435208087</v>
      </c>
      <c r="AG34" s="22">
        <f t="shared" si="14"/>
        <v>21.047520428203367</v>
      </c>
      <c r="AH34" s="26">
        <f t="shared" si="19"/>
        <v>4.4975992995279768E-2</v>
      </c>
      <c r="AI34" s="22">
        <f t="shared" si="2"/>
        <v>21.180857590961615</v>
      </c>
      <c r="AJ34" s="26">
        <f t="shared" si="3"/>
        <v>0.16262362521537349</v>
      </c>
    </row>
    <row r="35" spans="1:36">
      <c r="A35" s="49"/>
      <c r="B35" s="50"/>
      <c r="C35" s="51"/>
      <c r="D35" s="51"/>
      <c r="E35" s="21"/>
      <c r="F35" s="26"/>
      <c r="G35" s="23"/>
      <c r="H35" s="51"/>
      <c r="I35" s="51"/>
      <c r="J35" s="51"/>
      <c r="K35" s="58"/>
      <c r="L35" s="22"/>
      <c r="M35" s="22"/>
      <c r="N35" s="22"/>
      <c r="O35" s="26"/>
      <c r="P35" s="21"/>
      <c r="Q35" s="22"/>
      <c r="R35" s="22"/>
      <c r="S35" s="26"/>
      <c r="T35" s="22"/>
      <c r="U35" s="22"/>
      <c r="V35" s="22"/>
      <c r="W35" s="23"/>
      <c r="X35" s="24"/>
      <c r="Y35" s="25"/>
      <c r="Z35" s="25"/>
      <c r="AA35" s="22"/>
      <c r="AB35" s="22"/>
      <c r="AC35" s="22"/>
      <c r="AD35" s="26"/>
      <c r="AE35" s="21"/>
      <c r="AF35" s="22"/>
      <c r="AG35" s="22"/>
      <c r="AH35" s="26"/>
      <c r="AI35" s="22"/>
      <c r="AJ35" s="26"/>
    </row>
    <row r="36" spans="1:36">
      <c r="A36" s="49" t="s">
        <v>144</v>
      </c>
      <c r="B36" s="50">
        <v>1900</v>
      </c>
      <c r="C36" s="51">
        <v>0.93735701500000002</v>
      </c>
      <c r="D36" s="51">
        <v>2.0604600000000001E-4</v>
      </c>
      <c r="E36" s="21">
        <v>21.7805</v>
      </c>
      <c r="F36" s="26">
        <v>6.6614055000000005E-2</v>
      </c>
      <c r="G36" s="23">
        <v>147</v>
      </c>
      <c r="H36" s="51">
        <v>0.93786104120760405</v>
      </c>
      <c r="I36" s="51">
        <v>2.8624324851080264E-4</v>
      </c>
      <c r="J36" s="51">
        <v>0.93759328516630291</v>
      </c>
      <c r="K36" s="58">
        <v>0.93812879724890519</v>
      </c>
      <c r="L36" s="22">
        <v>21.796941662587916</v>
      </c>
      <c r="M36" s="22">
        <v>21.675305050631373</v>
      </c>
      <c r="N36" s="22">
        <f t="shared" si="8"/>
        <v>21.736123356609646</v>
      </c>
      <c r="O36" s="26">
        <f t="shared" si="9"/>
        <v>6.0818305978271425E-2</v>
      </c>
      <c r="P36" s="21">
        <v>21.499580664911413</v>
      </c>
      <c r="Q36" s="22">
        <v>21.380288711361192</v>
      </c>
      <c r="R36" s="22">
        <f t="shared" si="10"/>
        <v>21.439934688136304</v>
      </c>
      <c r="S36" s="26">
        <f t="shared" si="11"/>
        <v>5.9645976775110299E-2</v>
      </c>
      <c r="T36" s="22">
        <f t="shared" si="12"/>
        <v>21.588029022372975</v>
      </c>
      <c r="U36" s="22">
        <f t="shared" si="13"/>
        <v>0.18460836484032739</v>
      </c>
      <c r="V36" s="11">
        <f>T36-E36</f>
        <v>-0.19247097762702481</v>
      </c>
      <c r="W36" s="23">
        <v>1981.6109479704671</v>
      </c>
      <c r="X36" s="24">
        <v>1981.3543147806868</v>
      </c>
      <c r="Y36" s="25">
        <f>(W36+X36)/2</f>
        <v>1981.4826313755771</v>
      </c>
      <c r="Z36" s="25">
        <f>Y36-300</f>
        <v>1681.4826313755771</v>
      </c>
      <c r="AA36" s="22">
        <v>22.326259698362779</v>
      </c>
      <c r="AB36" s="22">
        <v>22.20282981827696</v>
      </c>
      <c r="AC36" s="22">
        <f t="shared" si="6"/>
        <v>22.264544758319872</v>
      </c>
      <c r="AD36" s="26">
        <f>ABS(AA36-AB36)/2</f>
        <v>6.1714940042909561E-2</v>
      </c>
      <c r="AE36" s="21">
        <v>22.015021075925318</v>
      </c>
      <c r="AF36" s="22">
        <v>21.894074144889828</v>
      </c>
      <c r="AG36" s="22">
        <f t="shared" si="14"/>
        <v>21.954547610407573</v>
      </c>
      <c r="AH36" s="26">
        <f>ABS(AE36-AF36)/2</f>
        <v>6.047346551774524E-2</v>
      </c>
      <c r="AI36" s="22">
        <f t="shared" si="2"/>
        <v>22.109546184363722</v>
      </c>
      <c r="AJ36" s="26">
        <f t="shared" si="3"/>
        <v>0.19237964153049916</v>
      </c>
    </row>
    <row r="37" spans="1:36">
      <c r="A37" s="49" t="s">
        <v>145</v>
      </c>
      <c r="B37" s="50">
        <v>1950</v>
      </c>
      <c r="C37" s="51">
        <v>0.938665894</v>
      </c>
      <c r="D37" s="51">
        <v>2.03723E-4</v>
      </c>
      <c r="E37" s="21">
        <v>21.692</v>
      </c>
      <c r="F37" s="26">
        <v>4.1370695999999998E-2</v>
      </c>
      <c r="G37" s="23">
        <v>149</v>
      </c>
      <c r="H37" s="51">
        <v>0.9396670340554355</v>
      </c>
      <c r="I37" s="51">
        <v>1.7789897932770981E-4</v>
      </c>
      <c r="J37" s="51">
        <v>0.93950062479791019</v>
      </c>
      <c r="K37" s="58">
        <v>0.93983344331296081</v>
      </c>
      <c r="L37" s="22">
        <v>21.689273974876766</v>
      </c>
      <c r="M37" s="22">
        <v>21.61436302891623</v>
      </c>
      <c r="N37" s="22">
        <f t="shared" si="8"/>
        <v>21.6518185018965</v>
      </c>
      <c r="O37" s="26">
        <f t="shared" si="9"/>
        <v>3.7455472980267857E-2</v>
      </c>
      <c r="P37" s="21">
        <v>21.391943808710387</v>
      </c>
      <c r="Q37" s="22">
        <v>21.31851399772286</v>
      </c>
      <c r="R37" s="22">
        <f t="shared" si="10"/>
        <v>21.355228903216624</v>
      </c>
      <c r="S37" s="26">
        <f t="shared" si="11"/>
        <v>3.6714905493763439E-2</v>
      </c>
      <c r="T37" s="22">
        <f t="shared" si="12"/>
        <v>21.50352370255656</v>
      </c>
      <c r="U37" s="22">
        <f t="shared" si="13"/>
        <v>0.17650985197081037</v>
      </c>
      <c r="V37" s="11">
        <f>T37-E37</f>
        <v>-0.18847629744344019</v>
      </c>
      <c r="W37" s="23">
        <v>2035.2023177827466</v>
      </c>
      <c r="X37" s="24">
        <v>2035.0364210608327</v>
      </c>
      <c r="Y37" s="25">
        <f>(W37+X37)/2</f>
        <v>2035.1193694217895</v>
      </c>
      <c r="Z37" s="25">
        <f>Y37-300</f>
        <v>1735.1193694217895</v>
      </c>
      <c r="AA37" s="22">
        <v>22.241668522919699</v>
      </c>
      <c r="AB37" s="22">
        <v>22.165599294115566</v>
      </c>
      <c r="AC37" s="22">
        <f t="shared" si="6"/>
        <v>22.203633908517631</v>
      </c>
      <c r="AD37" s="26">
        <f>ABS(AA37-AB37)/2</f>
        <v>3.803461440206668E-2</v>
      </c>
      <c r="AE37" s="21">
        <v>21.930194923112786</v>
      </c>
      <c r="AF37" s="22">
        <v>21.855695548849688</v>
      </c>
      <c r="AG37" s="22">
        <f t="shared" si="14"/>
        <v>21.892945235981237</v>
      </c>
      <c r="AH37" s="26">
        <f>ABS(AE37-AF37)/2</f>
        <v>3.7249687131549081E-2</v>
      </c>
      <c r="AI37" s="22">
        <f t="shared" si="2"/>
        <v>22.048289572249438</v>
      </c>
      <c r="AJ37" s="26">
        <f t="shared" si="3"/>
        <v>0.18456777744291469</v>
      </c>
    </row>
    <row r="38" spans="1:36">
      <c r="A38" s="49" t="s">
        <v>146</v>
      </c>
      <c r="B38" s="50">
        <v>2000</v>
      </c>
      <c r="C38" s="51">
        <v>0.93983777899999998</v>
      </c>
      <c r="D38" s="51">
        <v>2.29822E-4</v>
      </c>
      <c r="E38" s="21">
        <v>21.674399999999999</v>
      </c>
      <c r="F38" s="26">
        <v>3.2888596999999999E-2</v>
      </c>
      <c r="G38" s="23">
        <v>151</v>
      </c>
      <c r="H38" s="51">
        <v>0.94121093091740993</v>
      </c>
      <c r="I38" s="51">
        <v>1.5079777628615023E-4</v>
      </c>
      <c r="J38" s="51">
        <v>0.94106987251402241</v>
      </c>
      <c r="K38" s="58">
        <v>0.94135198932079744</v>
      </c>
      <c r="L38" s="22">
        <v>21.661134292182979</v>
      </c>
      <c r="M38" s="22">
        <v>21.598122542418487</v>
      </c>
      <c r="N38" s="22">
        <f t="shared" si="8"/>
        <v>21.629628417300733</v>
      </c>
      <c r="O38" s="26">
        <f t="shared" si="9"/>
        <v>3.1505874882245877E-2</v>
      </c>
      <c r="P38" s="21">
        <v>21.362638224298415</v>
      </c>
      <c r="Q38" s="22">
        <v>21.300903186193921</v>
      </c>
      <c r="R38" s="22">
        <f t="shared" si="10"/>
        <v>21.331770705246168</v>
      </c>
      <c r="S38" s="26">
        <f t="shared" si="11"/>
        <v>3.0867519052247161E-2</v>
      </c>
      <c r="T38" s="22">
        <f t="shared" si="12"/>
        <v>21.48069956127345</v>
      </c>
      <c r="U38" s="22">
        <f t="shared" si="13"/>
        <v>0.17569866666108896</v>
      </c>
      <c r="V38" s="11">
        <f>T38-E38</f>
        <v>-0.19370043872654819</v>
      </c>
      <c r="W38" s="23">
        <v>2089.0437393663551</v>
      </c>
      <c r="X38" s="24">
        <v>2088.8977173697217</v>
      </c>
      <c r="Y38" s="25">
        <f>(W38+X38)/2</f>
        <v>2088.9707283680382</v>
      </c>
      <c r="Z38" s="25">
        <f>Y38-300</f>
        <v>1788.9707283680382</v>
      </c>
      <c r="AA38" s="22">
        <v>22.238279093250259</v>
      </c>
      <c r="AB38" s="22">
        <v>22.174248282760662</v>
      </c>
      <c r="AC38" s="22">
        <f t="shared" si="6"/>
        <v>22.20626368800546</v>
      </c>
      <c r="AD38" s="26">
        <f>ABS(AA38-AB38)/2</f>
        <v>3.2015405244798956E-2</v>
      </c>
      <c r="AE38" s="21">
        <v>21.925296406473748</v>
      </c>
      <c r="AF38" s="22">
        <v>21.862620047634234</v>
      </c>
      <c r="AG38" s="22">
        <f t="shared" si="14"/>
        <v>21.893958227053993</v>
      </c>
      <c r="AH38" s="26">
        <f>ABS(AE38-AF38)/2</f>
        <v>3.1338179419757139E-2</v>
      </c>
      <c r="AI38" s="22">
        <f t="shared" si="2"/>
        <v>22.050110957529725</v>
      </c>
      <c r="AJ38" s="26">
        <f t="shared" si="3"/>
        <v>0.18398264072531126</v>
      </c>
    </row>
    <row r="39" spans="1:36">
      <c r="A39" s="49" t="s">
        <v>147</v>
      </c>
      <c r="B39" s="50">
        <v>1900</v>
      </c>
      <c r="C39" s="51">
        <v>0.94211801799999995</v>
      </c>
      <c r="D39" s="51">
        <v>2.6494799999999998E-4</v>
      </c>
      <c r="E39" s="21">
        <v>20.508700000000001</v>
      </c>
      <c r="F39" s="26">
        <v>4.1633740000000002E-2</v>
      </c>
      <c r="G39" s="23">
        <v>153</v>
      </c>
      <c r="H39" s="51">
        <v>0.94325907978874068</v>
      </c>
      <c r="I39" s="51">
        <v>1.9321894567583066E-4</v>
      </c>
      <c r="J39" s="51">
        <v>0.94307834001490254</v>
      </c>
      <c r="K39" s="58">
        <v>0.94343981956257883</v>
      </c>
      <c r="L39" s="22">
        <v>20.567564063075345</v>
      </c>
      <c r="M39" s="22">
        <v>20.487817704224039</v>
      </c>
      <c r="N39" s="22">
        <f t="shared" si="8"/>
        <v>20.52769088364969</v>
      </c>
      <c r="O39" s="26">
        <f t="shared" si="9"/>
        <v>3.9873179425653049E-2</v>
      </c>
      <c r="P39" s="21">
        <v>20.293943354543416</v>
      </c>
      <c r="Q39" s="22">
        <v>20.215739421016934</v>
      </c>
      <c r="R39" s="22">
        <f t="shared" si="10"/>
        <v>20.254841387780175</v>
      </c>
      <c r="S39" s="26">
        <f t="shared" si="11"/>
        <v>3.9101966763240625E-2</v>
      </c>
      <c r="T39" s="22">
        <f t="shared" si="12"/>
        <v>20.391266135714933</v>
      </c>
      <c r="U39" s="22">
        <f t="shared" si="13"/>
        <v>0.16399645919020864</v>
      </c>
      <c r="V39" s="11">
        <f>T39-E39</f>
        <v>-0.11743386428506852</v>
      </c>
      <c r="W39" s="23">
        <v>1978.9683988483723</v>
      </c>
      <c r="X39" s="24">
        <v>1978.7931432869379</v>
      </c>
      <c r="Y39" s="25">
        <f>(W39+X39)/2</f>
        <v>1978.8807710676551</v>
      </c>
      <c r="Z39" s="25">
        <f>Y39-300</f>
        <v>1678.8807710676551</v>
      </c>
      <c r="AA39" s="22">
        <v>21.078487972572738</v>
      </c>
      <c r="AB39" s="22">
        <v>20.997527172289399</v>
      </c>
      <c r="AC39" s="22">
        <f t="shared" si="6"/>
        <v>21.03800757243107</v>
      </c>
      <c r="AD39" s="26">
        <f>ABS(AA39-AB39)/2</f>
        <v>4.0480400141669648E-2</v>
      </c>
      <c r="AE39" s="21">
        <v>20.792372708437895</v>
      </c>
      <c r="AF39" s="22">
        <v>20.713042888127809</v>
      </c>
      <c r="AG39" s="22">
        <f t="shared" si="14"/>
        <v>20.752707798282852</v>
      </c>
      <c r="AH39" s="26">
        <f>ABS(AE39-AF39)/2</f>
        <v>3.9664910155043032E-2</v>
      </c>
      <c r="AI39" s="22">
        <f t="shared" si="2"/>
        <v>20.895357685356963</v>
      </c>
      <c r="AJ39" s="26">
        <f t="shared" si="3"/>
        <v>0.1710944153730114</v>
      </c>
    </row>
    <row r="40" spans="1:36">
      <c r="A40" s="49" t="s">
        <v>148</v>
      </c>
      <c r="B40" s="50">
        <v>1800</v>
      </c>
      <c r="C40" s="51">
        <v>0.94096390799999996</v>
      </c>
      <c r="D40" s="51">
        <v>2.9574000000000001E-4</v>
      </c>
      <c r="E40" s="21">
        <v>20.410299999999999</v>
      </c>
      <c r="F40" s="26">
        <v>6.7472129000000006E-2</v>
      </c>
      <c r="G40" s="23">
        <v>155</v>
      </c>
      <c r="H40" s="51">
        <v>0.94079505164428201</v>
      </c>
      <c r="I40" s="51">
        <v>3.1920921200706413E-4</v>
      </c>
      <c r="J40" s="51">
        <v>0.94049645876777388</v>
      </c>
      <c r="K40" s="58">
        <v>0.94109364452079014</v>
      </c>
      <c r="L40" s="22">
        <v>20.494562947521501</v>
      </c>
      <c r="M40" s="22">
        <v>20.36122105879118</v>
      </c>
      <c r="N40" s="22">
        <f t="shared" si="8"/>
        <v>20.427892003156341</v>
      </c>
      <c r="O40" s="26">
        <f t="shared" si="9"/>
        <v>6.6670944365160523E-2</v>
      </c>
      <c r="P40" s="21">
        <v>20.226204171890949</v>
      </c>
      <c r="Q40" s="22">
        <v>20.095313274869273</v>
      </c>
      <c r="R40" s="22">
        <f t="shared" si="10"/>
        <v>20.160758723380113</v>
      </c>
      <c r="S40" s="26">
        <f t="shared" si="11"/>
        <v>6.5445448510837778E-2</v>
      </c>
      <c r="T40" s="22">
        <f t="shared" si="12"/>
        <v>20.294325363268225</v>
      </c>
      <c r="U40" s="22">
        <f t="shared" si="13"/>
        <v>0.17206242304336303</v>
      </c>
      <c r="V40" s="11">
        <f>T40-E40</f>
        <v>-0.11597463673177444</v>
      </c>
      <c r="W40" s="23">
        <v>1871.6675759161533</v>
      </c>
      <c r="X40" s="24">
        <v>1871.4000686220288</v>
      </c>
      <c r="Y40" s="25">
        <f>(W40+X40)/2</f>
        <v>1871.5338222690912</v>
      </c>
      <c r="Z40" s="25">
        <f>Y40-300</f>
        <v>1571.5338222690912</v>
      </c>
      <c r="AA40" s="22">
        <v>20.958286751228663</v>
      </c>
      <c r="AB40" s="22">
        <v>20.823091827412135</v>
      </c>
      <c r="AC40" s="22">
        <f t="shared" si="6"/>
        <v>20.890689289320399</v>
      </c>
      <c r="AD40" s="26">
        <f>ABS(AA40-AB40)/2</f>
        <v>6.7597461908263767E-2</v>
      </c>
      <c r="AE40" s="21">
        <v>20.678205364947438</v>
      </c>
      <c r="AF40" s="22">
        <v>20.545596829681749</v>
      </c>
      <c r="AG40" s="22">
        <f t="shared" si="14"/>
        <v>20.611901097314593</v>
      </c>
      <c r="AH40" s="26">
        <f>ABS(AE40-AF40)/2</f>
        <v>6.6304267632844471E-2</v>
      </c>
      <c r="AI40" s="22">
        <f t="shared" si="2"/>
        <v>20.751295193317496</v>
      </c>
      <c r="AJ40" s="26">
        <f t="shared" si="3"/>
        <v>0.17856296884423334</v>
      </c>
    </row>
    <row r="41" spans="1:36">
      <c r="A41" s="49"/>
      <c r="B41" s="50"/>
      <c r="C41" s="51"/>
      <c r="D41" s="51"/>
      <c r="E41" s="21"/>
      <c r="F41" s="26"/>
      <c r="G41" s="49"/>
      <c r="H41" s="51"/>
      <c r="I41" s="51"/>
      <c r="J41" s="51"/>
      <c r="K41" s="58"/>
      <c r="L41" s="22"/>
      <c r="M41" s="22"/>
      <c r="N41" s="22"/>
      <c r="O41" s="26"/>
      <c r="P41" s="21"/>
      <c r="Q41" s="22"/>
      <c r="R41" s="22"/>
      <c r="S41" s="26"/>
      <c r="T41" s="22"/>
      <c r="U41" s="22"/>
      <c r="V41" s="22"/>
      <c r="W41" s="23"/>
      <c r="X41" s="24"/>
      <c r="Y41" s="25"/>
      <c r="Z41" s="25"/>
      <c r="AA41" s="22"/>
      <c r="AB41" s="22"/>
      <c r="AC41" s="22"/>
      <c r="AD41" s="26"/>
      <c r="AE41" s="21"/>
      <c r="AF41" s="22"/>
      <c r="AG41" s="22"/>
      <c r="AH41" s="26"/>
      <c r="AI41" s="22"/>
      <c r="AJ41" s="26"/>
    </row>
    <row r="42" spans="1:36">
      <c r="A42" s="49" t="s">
        <v>149</v>
      </c>
      <c r="B42" s="50">
        <v>1600</v>
      </c>
      <c r="C42" s="51">
        <v>0.93262601700000003</v>
      </c>
      <c r="D42" s="51">
        <v>2.46908E-4</v>
      </c>
      <c r="E42" s="21">
        <v>20.521126542026671</v>
      </c>
      <c r="F42" s="26">
        <v>1.7000000000000001E-2</v>
      </c>
      <c r="G42" s="23" t="s">
        <v>150</v>
      </c>
      <c r="H42" s="51">
        <v>0.93408168722162888</v>
      </c>
      <c r="I42" s="51">
        <v>6.8988266580142439E-5</v>
      </c>
      <c r="J42" s="51">
        <f>H42+I42</f>
        <v>0.93415067548820907</v>
      </c>
      <c r="K42" s="58">
        <f>H42-I42</f>
        <v>0.93401269895504868</v>
      </c>
      <c r="L42" s="22">
        <v>20.642809789574219</v>
      </c>
      <c r="M42" s="22">
        <v>20.67467242829585</v>
      </c>
      <c r="N42" s="22">
        <f t="shared" ref="N42:N110" si="20">(L42+M42)/2</f>
        <v>20.658741108935033</v>
      </c>
      <c r="O42" s="26">
        <f t="shared" ref="O42:O110" si="21">ABS(L42-M42)/2</f>
        <v>1.5931319360815266E-2</v>
      </c>
      <c r="P42" s="21">
        <v>20.38338459505043</v>
      </c>
      <c r="Q42" s="22">
        <v>20.414723957640476</v>
      </c>
      <c r="R42" s="22">
        <f t="shared" ref="R42:R110" si="22">(P42+Q42)/2</f>
        <v>20.399054276345453</v>
      </c>
      <c r="S42" s="26">
        <f t="shared" ref="S42:S110" si="23">ABS(P42-Q42)/2</f>
        <v>1.5669681295022997E-2</v>
      </c>
      <c r="T42" s="22">
        <f t="shared" ref="T42:T110" si="24">AVERAGE(L42,M42,P42,Q42)</f>
        <v>20.528897692640243</v>
      </c>
      <c r="U42" s="22">
        <f t="shared" ref="U42:U110" si="25">STDEV(L42,M42,P42,Q42)</f>
        <v>0.15103635623842043</v>
      </c>
      <c r="V42" s="11">
        <f t="shared" ref="V42:V110" si="26">T42-E42</f>
        <v>7.7711506135713648E-3</v>
      </c>
      <c r="W42" s="23">
        <v>1658.6504427240436</v>
      </c>
      <c r="X42" s="24">
        <v>1658.7021585031111</v>
      </c>
      <c r="Y42" s="25">
        <f>(W42+X42)/2</f>
        <v>1658.6763006135775</v>
      </c>
      <c r="Z42" s="25">
        <f>Y42-300</f>
        <v>1358.6763006135775</v>
      </c>
      <c r="AA42" s="22">
        <v>21.022335903048557</v>
      </c>
      <c r="AB42" s="22">
        <v>21.054557205504146</v>
      </c>
      <c r="AC42" s="22">
        <f t="shared" si="6"/>
        <v>21.038446554276351</v>
      </c>
      <c r="AD42" s="26">
        <f>ABS(AA42-AB42)/2</f>
        <v>1.6110651227794648E-2</v>
      </c>
      <c r="AE42" s="21">
        <v>20.752541203565048</v>
      </c>
      <c r="AF42" s="22">
        <v>20.78421238472685</v>
      </c>
      <c r="AG42" s="22">
        <f t="shared" si="14"/>
        <v>20.768376794145951</v>
      </c>
      <c r="AH42" s="26">
        <f>ABS(AE42-AF42)/2</f>
        <v>1.5835590580900671E-2</v>
      </c>
      <c r="AI42" s="22">
        <f t="shared" si="2"/>
        <v>20.903411674211149</v>
      </c>
      <c r="AJ42" s="26">
        <f t="shared" si="3"/>
        <v>0.15701200947799318</v>
      </c>
    </row>
    <row r="43" spans="1:36">
      <c r="A43" s="49"/>
      <c r="B43" s="50"/>
      <c r="C43" s="51"/>
      <c r="D43" s="51"/>
      <c r="E43" s="21"/>
      <c r="F43" s="26"/>
      <c r="G43" s="23"/>
      <c r="H43" s="51"/>
      <c r="I43" s="51"/>
      <c r="J43" s="51"/>
      <c r="K43" s="58"/>
      <c r="L43" s="22"/>
      <c r="M43" s="22"/>
      <c r="N43" s="22"/>
      <c r="O43" s="26"/>
      <c r="P43" s="21"/>
      <c r="Q43" s="22"/>
      <c r="R43" s="22"/>
      <c r="S43" s="26"/>
      <c r="T43" s="22"/>
      <c r="U43" s="22"/>
      <c r="V43" s="11"/>
      <c r="W43" s="23"/>
      <c r="X43" s="24"/>
      <c r="Y43" s="25"/>
      <c r="Z43" s="25"/>
      <c r="AA43" s="22"/>
      <c r="AB43" s="22"/>
      <c r="AC43" s="22"/>
      <c r="AD43" s="26"/>
      <c r="AE43" s="21"/>
      <c r="AF43" s="22"/>
      <c r="AG43" s="22"/>
      <c r="AH43" s="26"/>
      <c r="AI43" s="22"/>
      <c r="AJ43" s="26"/>
    </row>
    <row r="44" spans="1:36">
      <c r="A44" s="49" t="s">
        <v>151</v>
      </c>
      <c r="B44" s="50">
        <v>300</v>
      </c>
      <c r="C44" s="51">
        <v>0.91772806200000001</v>
      </c>
      <c r="D44" s="51">
        <v>1.4277800000000001E-4</v>
      </c>
      <c r="E44" s="21">
        <v>19.094688742477807</v>
      </c>
      <c r="F44" s="26">
        <v>1.7000000000000001E-2</v>
      </c>
      <c r="G44" s="23" t="s">
        <v>152</v>
      </c>
      <c r="H44" s="51">
        <v>0.90721612836492671</v>
      </c>
      <c r="I44" s="51">
        <v>7.0878000624106311E-5</v>
      </c>
      <c r="J44" s="51">
        <f>H44+I44</f>
        <v>0.90728700636555082</v>
      </c>
      <c r="K44" s="58">
        <f>H44-I44</f>
        <v>0.9071452503643026</v>
      </c>
      <c r="L44" s="22">
        <v>19.278175903958644</v>
      </c>
      <c r="M44" s="22">
        <v>19.315565279297338</v>
      </c>
      <c r="N44" s="22">
        <f t="shared" si="20"/>
        <v>19.296870591627993</v>
      </c>
      <c r="O44" s="26">
        <f t="shared" si="21"/>
        <v>1.8694687669347232E-2</v>
      </c>
      <c r="P44" s="21">
        <v>19.201483851002685</v>
      </c>
      <c r="Q44" s="22">
        <v>19.23869317743867</v>
      </c>
      <c r="R44" s="22">
        <f t="shared" si="22"/>
        <v>19.220088514220677</v>
      </c>
      <c r="S44" s="26">
        <f t="shared" si="23"/>
        <v>1.8604663217992368E-2</v>
      </c>
      <c r="T44" s="22">
        <f t="shared" si="24"/>
        <v>19.258479552924335</v>
      </c>
      <c r="U44" s="22">
        <f t="shared" si="25"/>
        <v>4.9283997037583051E-2</v>
      </c>
      <c r="V44" s="11">
        <f t="shared" si="26"/>
        <v>0.16379081044652821</v>
      </c>
      <c r="W44" s="23">
        <v>305.18540826191031</v>
      </c>
      <c r="X44" s="24">
        <v>305.19126651193767</v>
      </c>
      <c r="Y44" s="25">
        <f>(W44+X44)/2</f>
        <v>305.18833738692399</v>
      </c>
      <c r="Z44" s="25">
        <f>Y44-300</f>
        <v>5.1883373869239904</v>
      </c>
      <c r="AA44" s="22">
        <v>19.301721731706436</v>
      </c>
      <c r="AB44" s="22">
        <v>19.339136301190312</v>
      </c>
      <c r="AC44" s="22">
        <f t="shared" si="6"/>
        <v>19.320429016448372</v>
      </c>
      <c r="AD44" s="26">
        <f>ABS(AA44-AB44)/2</f>
        <v>1.8707284741937613E-2</v>
      </c>
      <c r="AE44" s="21">
        <v>19.224220747054613</v>
      </c>
      <c r="AF44" s="22">
        <v>19.261453399808719</v>
      </c>
      <c r="AG44" s="22">
        <f t="shared" si="14"/>
        <v>19.242837073431666</v>
      </c>
      <c r="AH44" s="26">
        <f>ABS(AE44-AF44)/2</f>
        <v>1.8616326377053127E-2</v>
      </c>
      <c r="AI44" s="22">
        <f t="shared" si="2"/>
        <v>19.281633044940019</v>
      </c>
      <c r="AJ44" s="26">
        <f t="shared" si="3"/>
        <v>4.9711064635195958E-2</v>
      </c>
    </row>
    <row r="45" spans="1:36">
      <c r="A45" s="49"/>
      <c r="B45" s="50"/>
      <c r="C45" s="51"/>
      <c r="D45" s="51"/>
      <c r="E45" s="21"/>
      <c r="F45" s="26"/>
      <c r="G45" s="23"/>
      <c r="H45" s="51"/>
      <c r="I45" s="51"/>
      <c r="J45" s="51"/>
      <c r="K45" s="58"/>
      <c r="L45" s="22"/>
      <c r="M45" s="22"/>
      <c r="N45" s="22"/>
      <c r="O45" s="26"/>
      <c r="P45" s="21"/>
      <c r="Q45" s="22"/>
      <c r="R45" s="22"/>
      <c r="S45" s="26"/>
      <c r="T45" s="22"/>
      <c r="U45" s="22"/>
      <c r="V45" s="11"/>
      <c r="W45" s="23"/>
      <c r="X45" s="24"/>
      <c r="Y45" s="25"/>
      <c r="Z45" s="25"/>
      <c r="AA45" s="22"/>
      <c r="AB45" s="22"/>
      <c r="AC45" s="22"/>
      <c r="AD45" s="26"/>
      <c r="AE45" s="21"/>
      <c r="AF45" s="22"/>
      <c r="AG45" s="22"/>
      <c r="AH45" s="26"/>
      <c r="AI45" s="22"/>
      <c r="AJ45" s="26"/>
    </row>
    <row r="46" spans="1:36">
      <c r="A46" s="49" t="s">
        <v>153</v>
      </c>
      <c r="B46" s="50">
        <v>1100</v>
      </c>
      <c r="C46" s="51">
        <v>0.92498940399999996</v>
      </c>
      <c r="D46" s="51">
        <v>1.2851200000000001E-4</v>
      </c>
      <c r="E46" s="21">
        <v>20.488802509999999</v>
      </c>
      <c r="F46" s="26">
        <v>3.4000000000000002E-2</v>
      </c>
      <c r="G46" s="23" t="s">
        <v>154</v>
      </c>
      <c r="H46" s="51">
        <v>0.92026830743457044</v>
      </c>
      <c r="I46" s="51">
        <v>1.2746302479653093E-4</v>
      </c>
      <c r="J46" s="51">
        <f>H46+I46</f>
        <v>0.92039577045936694</v>
      </c>
      <c r="K46" s="58">
        <f>H46-I46</f>
        <v>0.92014084440977395</v>
      </c>
      <c r="L46" s="22">
        <v>20.704206803823588</v>
      </c>
      <c r="M46" s="22">
        <v>20.767223347656579</v>
      </c>
      <c r="N46" s="22">
        <f t="shared" si="20"/>
        <v>20.735715075740082</v>
      </c>
      <c r="O46" s="26">
        <f t="shared" si="21"/>
        <v>3.150827191649519E-2</v>
      </c>
      <c r="P46" s="21">
        <v>20.494209824457968</v>
      </c>
      <c r="Q46" s="22">
        <v>20.556500192238314</v>
      </c>
      <c r="R46" s="22">
        <f t="shared" si="22"/>
        <v>20.525355008348143</v>
      </c>
      <c r="S46" s="26">
        <f t="shared" si="23"/>
        <v>3.1145183890172845E-2</v>
      </c>
      <c r="T46" s="22">
        <f t="shared" si="24"/>
        <v>20.630535042044112</v>
      </c>
      <c r="U46" s="22">
        <f t="shared" si="25"/>
        <v>0.12672403785466999</v>
      </c>
      <c r="V46" s="11">
        <f t="shared" si="26"/>
        <v>0.14173253204411296</v>
      </c>
      <c r="W46" s="23">
        <v>1131.3980382122731</v>
      </c>
      <c r="X46" s="24">
        <v>1131.4526052895849</v>
      </c>
      <c r="Y46" s="25">
        <f t="shared" ref="Y46:Y73" si="27">(W46+X46)/2</f>
        <v>1131.425321750929</v>
      </c>
      <c r="Z46" s="25">
        <f t="shared" ref="Z46:Z73" si="28">Y46-300</f>
        <v>831.42532175092902</v>
      </c>
      <c r="AA46" s="22">
        <v>20.905585508884393</v>
      </c>
      <c r="AB46" s="22">
        <v>20.968975766618819</v>
      </c>
      <c r="AC46" s="22">
        <f>(AA46+AB46)/2</f>
        <v>20.937280637751606</v>
      </c>
      <c r="AD46" s="26">
        <f t="shared" ref="AD46:AD73" si="29">ABS(AA46-AB46)/2</f>
        <v>3.1695128867212929E-2</v>
      </c>
      <c r="AE46" s="21">
        <v>20.689187964366344</v>
      </c>
      <c r="AF46" s="22">
        <v>20.751823115224987</v>
      </c>
      <c r="AG46" s="22">
        <f>(AE46+AF46)/2</f>
        <v>20.720505539795667</v>
      </c>
      <c r="AH46" s="26">
        <f>ABS(AE46-AF46)/2</f>
        <v>3.1317575429321565E-2</v>
      </c>
      <c r="AI46" s="22">
        <f>AVERAGE(AA46,AB46,AE46,AF46)</f>
        <v>20.828893088773633</v>
      </c>
      <c r="AJ46" s="26">
        <f>STDEV(AA46,AB46,AE46,AF46)</f>
        <v>0.13033570314533738</v>
      </c>
    </row>
    <row r="47" spans="1:36">
      <c r="A47" s="49" t="s">
        <v>155</v>
      </c>
      <c r="B47" s="50">
        <v>1300</v>
      </c>
      <c r="C47" s="51">
        <v>0.92701230199999995</v>
      </c>
      <c r="D47" s="51">
        <v>1.90538E-4</v>
      </c>
      <c r="E47" s="21">
        <v>21.02372497</v>
      </c>
      <c r="F47" s="26">
        <v>0.02</v>
      </c>
      <c r="G47" s="23" t="s">
        <v>156</v>
      </c>
      <c r="H47" s="51">
        <v>0.92339664489045536</v>
      </c>
      <c r="I47" s="51">
        <v>8.3261243371437289E-5</v>
      </c>
      <c r="J47" s="51">
        <f t="shared" ref="J47:J110" si="30">H47+I47</f>
        <v>0.9234799061338268</v>
      </c>
      <c r="K47" s="58">
        <f t="shared" ref="K47:K110" si="31">H47-I47</f>
        <v>0.92331338364708393</v>
      </c>
      <c r="L47" s="22">
        <v>21.234377092769179</v>
      </c>
      <c r="M47" s="22">
        <v>21.274953182679063</v>
      </c>
      <c r="N47" s="22">
        <f t="shared" si="20"/>
        <v>21.254665137724121</v>
      </c>
      <c r="O47" s="26">
        <f t="shared" si="21"/>
        <v>2.0288044954941853E-2</v>
      </c>
      <c r="P47" s="21">
        <v>20.99355328925083</v>
      </c>
      <c r="Q47" s="22">
        <v>21.033585234179704</v>
      </c>
      <c r="R47" s="22">
        <f t="shared" si="22"/>
        <v>21.013569261715269</v>
      </c>
      <c r="S47" s="26">
        <f t="shared" si="23"/>
        <v>2.0015972464436871E-2</v>
      </c>
      <c r="T47" s="22">
        <f t="shared" si="24"/>
        <v>21.134117199719697</v>
      </c>
      <c r="U47" s="22">
        <f t="shared" si="25"/>
        <v>0.14112843945859929</v>
      </c>
      <c r="V47" s="11">
        <f t="shared" si="26"/>
        <v>0.11039222971969664</v>
      </c>
      <c r="W47" s="23">
        <v>1341.9124846479342</v>
      </c>
      <c r="X47" s="24">
        <v>1341.9578975048187</v>
      </c>
      <c r="Y47" s="25">
        <f t="shared" si="27"/>
        <v>1341.9351910763764</v>
      </c>
      <c r="Z47" s="25">
        <f t="shared" si="28"/>
        <v>1041.9351910763764</v>
      </c>
      <c r="AA47" s="22">
        <v>21.505045368105328</v>
      </c>
      <c r="AB47" s="22">
        <v>21.545936143510019</v>
      </c>
      <c r="AC47" s="22">
        <f t="shared" ref="AC47:AC98" si="32">(AA47+AB47)/2</f>
        <v>21.525490755807674</v>
      </c>
      <c r="AD47" s="26">
        <f t="shared" si="29"/>
        <v>2.0445387702345386E-2</v>
      </c>
      <c r="AE47" s="21">
        <v>21.255885723759363</v>
      </c>
      <c r="AF47" s="22">
        <v>21.296207736963712</v>
      </c>
      <c r="AG47" s="22">
        <f t="shared" ref="AG47:AG105" si="33">(AE47+AF47)/2</f>
        <v>21.276046730361536</v>
      </c>
      <c r="AH47" s="26">
        <f t="shared" ref="AH47:AH73" si="34">ABS(AE47-AF47)/2</f>
        <v>2.016100660217468E-2</v>
      </c>
      <c r="AI47" s="22">
        <f t="shared" ref="AI47:AI82" si="35">AVERAGE(AA47,AB47,AE47,AF47)</f>
        <v>21.400768743084605</v>
      </c>
      <c r="AJ47" s="26">
        <f t="shared" ref="AJ47:AJ82" si="36">STDEV(AA47,AB47,AE47,AF47)</f>
        <v>0.1459123960484475</v>
      </c>
    </row>
    <row r="48" spans="1:36">
      <c r="A48" s="49" t="s">
        <v>157</v>
      </c>
      <c r="B48" s="50">
        <v>1500</v>
      </c>
      <c r="C48" s="51">
        <v>0.92947988699999995</v>
      </c>
      <c r="D48" s="51">
        <v>1.4668799999999999E-4</v>
      </c>
      <c r="E48" s="21">
        <v>21.42056646</v>
      </c>
      <c r="F48" s="26">
        <v>2.1999999999999999E-2</v>
      </c>
      <c r="G48" s="23" t="s">
        <v>158</v>
      </c>
      <c r="H48" s="51">
        <v>0.92724944628801698</v>
      </c>
      <c r="I48" s="51">
        <v>8.5725602737438258E-5</v>
      </c>
      <c r="J48" s="51">
        <f t="shared" si="30"/>
        <v>0.92733517189075443</v>
      </c>
      <c r="K48" s="58">
        <f t="shared" si="31"/>
        <v>0.92716372068527952</v>
      </c>
      <c r="L48" s="22">
        <v>21.597106432302574</v>
      </c>
      <c r="M48" s="22">
        <v>21.638130310912725</v>
      </c>
      <c r="N48" s="22">
        <f t="shared" si="20"/>
        <v>21.617618371607648</v>
      </c>
      <c r="O48" s="26">
        <f t="shared" si="21"/>
        <v>2.0511939305075444E-2</v>
      </c>
      <c r="P48" s="21">
        <v>21.330641991247962</v>
      </c>
      <c r="Q48" s="22">
        <v>21.371036605907399</v>
      </c>
      <c r="R48" s="22">
        <f t="shared" si="22"/>
        <v>21.350839298577682</v>
      </c>
      <c r="S48" s="26">
        <f t="shared" si="23"/>
        <v>2.0197307329718583E-2</v>
      </c>
      <c r="T48" s="22">
        <f t="shared" si="24"/>
        <v>21.484228835092665</v>
      </c>
      <c r="U48" s="22">
        <f t="shared" si="25"/>
        <v>0.15580801815223555</v>
      </c>
      <c r="V48" s="11">
        <f t="shared" si="26"/>
        <v>6.3662375092665258E-2</v>
      </c>
      <c r="W48" s="23">
        <v>1553.8721033800721</v>
      </c>
      <c r="X48" s="24">
        <v>1553.929829111577</v>
      </c>
      <c r="Y48" s="25">
        <f t="shared" si="27"/>
        <v>1553.9009662458245</v>
      </c>
      <c r="Z48" s="25">
        <f t="shared" si="28"/>
        <v>1253.9009662458245</v>
      </c>
      <c r="AA48" s="22">
        <v>21.946172582009769</v>
      </c>
      <c r="AB48" s="22">
        <v>21.987599020592267</v>
      </c>
      <c r="AC48" s="22">
        <f t="shared" si="32"/>
        <v>21.966885801301018</v>
      </c>
      <c r="AD48" s="26">
        <f t="shared" si="29"/>
        <v>2.0713219291248919E-2</v>
      </c>
      <c r="AE48" s="21">
        <v>21.669394807632429</v>
      </c>
      <c r="AF48" s="22">
        <v>21.710160368121066</v>
      </c>
      <c r="AG48" s="22">
        <f t="shared" si="33"/>
        <v>21.689777587876748</v>
      </c>
      <c r="AH48" s="26">
        <f t="shared" si="34"/>
        <v>2.038278024431861E-2</v>
      </c>
      <c r="AI48" s="22">
        <f t="shared" si="35"/>
        <v>21.828331694588883</v>
      </c>
      <c r="AJ48" s="26">
        <f t="shared" si="36"/>
        <v>0.16173842288809226</v>
      </c>
    </row>
    <row r="49" spans="1:36">
      <c r="A49" s="49" t="s">
        <v>159</v>
      </c>
      <c r="B49" s="96">
        <v>1600</v>
      </c>
      <c r="C49" s="51">
        <v>0.93107760500000003</v>
      </c>
      <c r="D49" s="51">
        <v>1.56229E-4</v>
      </c>
      <c r="E49" s="21">
        <v>21.555331899999999</v>
      </c>
      <c r="F49" s="26">
        <v>5.6000000000000001E-2</v>
      </c>
      <c r="G49" s="23" t="s">
        <v>160</v>
      </c>
      <c r="H49" s="51">
        <v>0.92947089977753428</v>
      </c>
      <c r="I49" s="51">
        <v>2.31198084775044E-4</v>
      </c>
      <c r="J49" s="51">
        <f t="shared" si="30"/>
        <v>0.92970209786230928</v>
      </c>
      <c r="K49" s="58">
        <f t="shared" si="31"/>
        <v>0.92923970169275927</v>
      </c>
      <c r="L49" s="22">
        <v>21.675649149658355</v>
      </c>
      <c r="M49" s="22">
        <v>21.785112574126916</v>
      </c>
      <c r="N49" s="22">
        <f t="shared" si="20"/>
        <v>21.730380861892634</v>
      </c>
      <c r="O49" s="26">
        <f t="shared" si="21"/>
        <v>5.4731712234280749E-2</v>
      </c>
      <c r="P49" s="21">
        <v>21.399390611193461</v>
      </c>
      <c r="Q49" s="22">
        <v>21.507069139881317</v>
      </c>
      <c r="R49" s="22">
        <f t="shared" si="22"/>
        <v>21.453229875537389</v>
      </c>
      <c r="S49" s="26">
        <f t="shared" si="23"/>
        <v>5.383926434392805E-2</v>
      </c>
      <c r="T49" s="22">
        <f t="shared" si="24"/>
        <v>21.591805368715008</v>
      </c>
      <c r="U49" s="22">
        <f t="shared" si="25"/>
        <v>0.17185373883632296</v>
      </c>
      <c r="V49" s="11">
        <f t="shared" si="26"/>
        <v>3.6473468715009005E-2</v>
      </c>
      <c r="W49" s="23">
        <v>1659.2337918447097</v>
      </c>
      <c r="X49" s="24">
        <v>1659.4049754604152</v>
      </c>
      <c r="Y49" s="25">
        <f t="shared" si="27"/>
        <v>1659.3193836525625</v>
      </c>
      <c r="Z49" s="25">
        <f t="shared" si="28"/>
        <v>1359.3193836525625</v>
      </c>
      <c r="AA49" s="22">
        <v>22.066222358576766</v>
      </c>
      <c r="AB49" s="22">
        <v>22.176881595116228</v>
      </c>
      <c r="AC49" s="22">
        <f t="shared" si="32"/>
        <v>22.121551976846497</v>
      </c>
      <c r="AD49" s="26">
        <f t="shared" si="29"/>
        <v>5.5329618269730929E-2</v>
      </c>
      <c r="AE49" s="21">
        <v>21.778725163960608</v>
      </c>
      <c r="AF49" s="22">
        <v>21.887505676064809</v>
      </c>
      <c r="AG49" s="22">
        <f t="shared" si="33"/>
        <v>21.83311542001271</v>
      </c>
      <c r="AH49" s="26">
        <f t="shared" si="34"/>
        <v>5.4390256052100128E-2</v>
      </c>
      <c r="AI49" s="22">
        <f t="shared" si="35"/>
        <v>21.9773336984296</v>
      </c>
      <c r="AJ49" s="26">
        <f t="shared" si="36"/>
        <v>0.17817124771850421</v>
      </c>
    </row>
    <row r="50" spans="1:36">
      <c r="A50" s="49" t="s">
        <v>161</v>
      </c>
      <c r="B50" s="50">
        <v>1700</v>
      </c>
      <c r="C50" s="51">
        <v>0.93303910800000001</v>
      </c>
      <c r="D50" s="51">
        <v>1.2211700000000001E-4</v>
      </c>
      <c r="E50" s="95">
        <v>21.504953570000001</v>
      </c>
      <c r="F50" s="26">
        <v>4.1000000000000002E-2</v>
      </c>
      <c r="G50" s="23" t="s">
        <v>162</v>
      </c>
      <c r="H50" s="51">
        <v>0.93260119342869041</v>
      </c>
      <c r="I50" s="51">
        <v>1.6754105351748924E-4</v>
      </c>
      <c r="J50" s="51">
        <f t="shared" si="30"/>
        <v>0.93276873448220787</v>
      </c>
      <c r="K50" s="58">
        <f t="shared" si="31"/>
        <v>0.93243365237517295</v>
      </c>
      <c r="L50" s="22">
        <v>21.610725866565126</v>
      </c>
      <c r="M50" s="22">
        <v>21.68882532926343</v>
      </c>
      <c r="N50" s="22">
        <f t="shared" si="20"/>
        <v>21.649775597914278</v>
      </c>
      <c r="O50" s="26">
        <f t="shared" si="21"/>
        <v>3.9049731349152239E-2</v>
      </c>
      <c r="P50" s="21">
        <v>21.328056815186475</v>
      </c>
      <c r="Q50" s="22">
        <v>21.404804066845543</v>
      </c>
      <c r="R50" s="22">
        <f t="shared" si="22"/>
        <v>21.366430441016007</v>
      </c>
      <c r="S50" s="26">
        <f t="shared" si="23"/>
        <v>3.8373625829533964E-2</v>
      </c>
      <c r="T50" s="22">
        <f t="shared" si="24"/>
        <v>21.508103019465143</v>
      </c>
      <c r="U50" s="22">
        <f t="shared" si="25"/>
        <v>0.16958705856009659</v>
      </c>
      <c r="V50" s="11">
        <f t="shared" si="26"/>
        <v>3.1494494651411742E-3</v>
      </c>
      <c r="W50" s="23">
        <v>1766.8528239855032</v>
      </c>
      <c r="X50" s="24">
        <v>1766.9889351324111</v>
      </c>
      <c r="Y50" s="25">
        <f t="shared" si="27"/>
        <v>1766.920879558957</v>
      </c>
      <c r="Z50" s="25">
        <f t="shared" si="28"/>
        <v>1466.920879558957</v>
      </c>
      <c r="AA50" s="22">
        <v>22.044269156799317</v>
      </c>
      <c r="AB50" s="22">
        <v>22.123319348710893</v>
      </c>
      <c r="AC50" s="22">
        <f t="shared" si="32"/>
        <v>22.083794252755105</v>
      </c>
      <c r="AD50" s="26">
        <f t="shared" si="29"/>
        <v>3.9525095955788458E-2</v>
      </c>
      <c r="AE50" s="21">
        <v>21.749557459500799</v>
      </c>
      <c r="AF50" s="22">
        <v>21.827181531581722</v>
      </c>
      <c r="AG50" s="22">
        <f t="shared" si="33"/>
        <v>21.788369495541261</v>
      </c>
      <c r="AH50" s="26">
        <f t="shared" si="34"/>
        <v>3.8812036040461351E-2</v>
      </c>
      <c r="AI50" s="22">
        <f t="shared" si="35"/>
        <v>21.936081874148179</v>
      </c>
      <c r="AJ50" s="26">
        <f t="shared" si="36"/>
        <v>0.17645868437937487</v>
      </c>
    </row>
    <row r="51" spans="1:36">
      <c r="A51" s="49" t="s">
        <v>163</v>
      </c>
      <c r="B51" s="50">
        <v>1800</v>
      </c>
      <c r="C51" s="51">
        <v>0.93616175300000004</v>
      </c>
      <c r="D51" s="51">
        <v>2.0359299999999999E-4</v>
      </c>
      <c r="E51" s="21">
        <v>21.28414583</v>
      </c>
      <c r="F51" s="26">
        <v>0.05</v>
      </c>
      <c r="G51" s="23" t="s">
        <v>164</v>
      </c>
      <c r="H51" s="51">
        <v>0.93652274734809204</v>
      </c>
      <c r="I51" s="51">
        <v>2.054649595700722E-4</v>
      </c>
      <c r="J51" s="51">
        <f t="shared" si="30"/>
        <v>0.93672821230766212</v>
      </c>
      <c r="K51" s="58">
        <f t="shared" si="31"/>
        <v>0.93631728238852197</v>
      </c>
      <c r="L51" s="22">
        <v>21.345939002001572</v>
      </c>
      <c r="M51" s="22">
        <v>21.439833537335424</v>
      </c>
      <c r="N51" s="22">
        <f t="shared" si="20"/>
        <v>21.392886269668498</v>
      </c>
      <c r="O51" s="26">
        <f t="shared" si="21"/>
        <v>4.6947267666926251E-2</v>
      </c>
      <c r="P51" s="21">
        <v>21.061953782162917</v>
      </c>
      <c r="Q51" s="22">
        <v>21.15412799270532</v>
      </c>
      <c r="R51" s="22">
        <f t="shared" si="22"/>
        <v>21.108040887434118</v>
      </c>
      <c r="S51" s="26">
        <f t="shared" si="23"/>
        <v>4.6087105271201523E-2</v>
      </c>
      <c r="T51" s="22">
        <f t="shared" si="24"/>
        <v>21.250463578551308</v>
      </c>
      <c r="U51" s="22">
        <f t="shared" si="25"/>
        <v>0.17300580549756867</v>
      </c>
      <c r="V51" s="11">
        <f t="shared" si="26"/>
        <v>-3.3682251448691858E-2</v>
      </c>
      <c r="W51" s="23">
        <v>1873.3471055265536</v>
      </c>
      <c r="X51" s="24">
        <v>1873.5293918311136</v>
      </c>
      <c r="Y51" s="25">
        <f t="shared" si="27"/>
        <v>1873.4382486788336</v>
      </c>
      <c r="Z51" s="25">
        <f t="shared" si="28"/>
        <v>1573.4382486788336</v>
      </c>
      <c r="AA51" s="22">
        <v>21.821336112774205</v>
      </c>
      <c r="AB51" s="22">
        <v>21.916501731304272</v>
      </c>
      <c r="AC51" s="22">
        <f t="shared" si="32"/>
        <v>21.868918922039239</v>
      </c>
      <c r="AD51" s="26">
        <f t="shared" si="29"/>
        <v>4.7582809265033887E-2</v>
      </c>
      <c r="AE51" s="21">
        <v>21.524755434547188</v>
      </c>
      <c r="AF51" s="22">
        <v>21.618103609280482</v>
      </c>
      <c r="AG51" s="22">
        <f t="shared" si="33"/>
        <v>21.571429521913835</v>
      </c>
      <c r="AH51" s="26">
        <f t="shared" si="34"/>
        <v>4.6674087366646688E-2</v>
      </c>
      <c r="AI51" s="22">
        <f t="shared" si="35"/>
        <v>21.720174221976539</v>
      </c>
      <c r="AJ51" s="26">
        <f t="shared" si="36"/>
        <v>0.18017133653377129</v>
      </c>
    </row>
    <row r="52" spans="1:36">
      <c r="A52" s="49" t="s">
        <v>165</v>
      </c>
      <c r="B52" s="50">
        <v>1900</v>
      </c>
      <c r="C52" s="51">
        <v>0.93933829899999999</v>
      </c>
      <c r="D52" s="51">
        <v>1.94921E-4</v>
      </c>
      <c r="E52" s="21">
        <v>21.080816330000001</v>
      </c>
      <c r="F52" s="26">
        <v>6.4000000000000001E-2</v>
      </c>
      <c r="G52" s="23" t="s">
        <v>166</v>
      </c>
      <c r="H52" s="51">
        <v>0.94043615887537979</v>
      </c>
      <c r="I52" s="51">
        <v>2.7371794518573603E-4</v>
      </c>
      <c r="J52" s="51">
        <f t="shared" si="30"/>
        <v>0.9407098768205655</v>
      </c>
      <c r="K52" s="58">
        <f t="shared" si="31"/>
        <v>0.94016244093019408</v>
      </c>
      <c r="L52" s="22">
        <v>21.093946264683211</v>
      </c>
      <c r="M52" s="22">
        <v>21.216573516889181</v>
      </c>
      <c r="N52" s="22">
        <f t="shared" si="20"/>
        <v>21.155259890786198</v>
      </c>
      <c r="O52" s="26">
        <f t="shared" si="21"/>
        <v>6.1313626102984742E-2</v>
      </c>
      <c r="P52" s="21">
        <v>20.81015045066912</v>
      </c>
      <c r="Q52" s="22">
        <v>20.930409178583673</v>
      </c>
      <c r="R52" s="22">
        <f t="shared" si="22"/>
        <v>20.870279814626397</v>
      </c>
      <c r="S52" s="26">
        <f t="shared" si="23"/>
        <v>6.0129363957276638E-2</v>
      </c>
      <c r="T52" s="22">
        <f t="shared" si="24"/>
        <v>21.012769852706299</v>
      </c>
      <c r="U52" s="22">
        <f t="shared" si="25"/>
        <v>0.17885137789018341</v>
      </c>
      <c r="V52" s="11">
        <f t="shared" si="26"/>
        <v>-6.8046477293702168E-2</v>
      </c>
      <c r="W52" s="23">
        <v>1980.1132837365287</v>
      </c>
      <c r="X52" s="24">
        <v>1980.3770734319789</v>
      </c>
      <c r="Y52" s="25">
        <f t="shared" si="27"/>
        <v>1980.2451785842538</v>
      </c>
      <c r="Z52" s="25">
        <f t="shared" si="28"/>
        <v>1680.2451785842538</v>
      </c>
      <c r="AA52" s="22">
        <v>21.612820260600738</v>
      </c>
      <c r="AB52" s="22">
        <v>21.737283387370503</v>
      </c>
      <c r="AC52" s="22">
        <f t="shared" si="32"/>
        <v>21.675051823985619</v>
      </c>
      <c r="AD52" s="26">
        <f t="shared" si="29"/>
        <v>6.2231563384882449E-2</v>
      </c>
      <c r="AE52" s="21">
        <v>21.315941746103288</v>
      </c>
      <c r="AF52" s="22">
        <v>21.437898448585095</v>
      </c>
      <c r="AG52" s="22">
        <f t="shared" si="33"/>
        <v>21.37692009734419</v>
      </c>
      <c r="AH52" s="26">
        <f t="shared" si="34"/>
        <v>6.097835124090345E-2</v>
      </c>
      <c r="AI52" s="22">
        <f t="shared" si="35"/>
        <v>21.525985960664904</v>
      </c>
      <c r="AJ52" s="26">
        <f t="shared" si="36"/>
        <v>0.18624784565462876</v>
      </c>
    </row>
    <row r="53" spans="1:36">
      <c r="A53" s="49" t="s">
        <v>167</v>
      </c>
      <c r="B53" s="50">
        <v>1800</v>
      </c>
      <c r="C53" s="51">
        <v>0.93771473500000002</v>
      </c>
      <c r="D53" s="51">
        <v>2.0943000000000001E-4</v>
      </c>
      <c r="E53" s="21">
        <v>20.75981955</v>
      </c>
      <c r="F53" s="26">
        <v>2.5999999999999999E-2</v>
      </c>
      <c r="G53" s="23" t="s">
        <v>168</v>
      </c>
      <c r="H53" s="51">
        <v>0.93891603548634806</v>
      </c>
      <c r="I53" s="51">
        <v>1.0608191980396568E-4</v>
      </c>
      <c r="J53" s="51">
        <f t="shared" si="30"/>
        <v>0.93902211740615205</v>
      </c>
      <c r="K53" s="58">
        <f t="shared" si="31"/>
        <v>0.93880995356654406</v>
      </c>
      <c r="L53" s="22">
        <v>20.825606413684511</v>
      </c>
      <c r="M53" s="22">
        <v>20.873462186051185</v>
      </c>
      <c r="N53" s="22">
        <f t="shared" si="20"/>
        <v>20.849534299867848</v>
      </c>
      <c r="O53" s="26">
        <f t="shared" si="21"/>
        <v>2.3927886183336966E-2</v>
      </c>
      <c r="P53" s="21">
        <v>20.551166319602089</v>
      </c>
      <c r="Q53" s="22">
        <v>20.598143469562217</v>
      </c>
      <c r="R53" s="22">
        <f t="shared" si="22"/>
        <v>20.574654894582153</v>
      </c>
      <c r="S53" s="26">
        <f t="shared" si="23"/>
        <v>2.3488574980063959E-2</v>
      </c>
      <c r="T53" s="22">
        <f t="shared" si="24"/>
        <v>20.712094597225001</v>
      </c>
      <c r="U53" s="22">
        <f t="shared" si="25"/>
        <v>0.16104575047049111</v>
      </c>
      <c r="V53" s="11">
        <f t="shared" si="26"/>
        <v>-4.7724952774998997E-2</v>
      </c>
      <c r="W53" s="23">
        <v>1872.3264224587047</v>
      </c>
      <c r="X53" s="24">
        <v>1872.4210495554873</v>
      </c>
      <c r="Y53" s="25">
        <f t="shared" si="27"/>
        <v>1872.3737360070959</v>
      </c>
      <c r="Z53" s="25">
        <f t="shared" si="28"/>
        <v>1572.3737360070959</v>
      </c>
      <c r="AA53" s="22">
        <v>21.293901320201687</v>
      </c>
      <c r="AB53" s="22">
        <v>21.342414472168439</v>
      </c>
      <c r="AC53" s="22">
        <v>20.873462186051185</v>
      </c>
      <c r="AD53" s="26">
        <f t="shared" si="29"/>
        <v>2.4256575983375939E-2</v>
      </c>
      <c r="AE53" s="21">
        <v>21.007400915491679</v>
      </c>
      <c r="AF53" s="22">
        <v>21.054986446378784</v>
      </c>
      <c r="AG53" s="22">
        <f t="shared" si="33"/>
        <v>21.031193680935232</v>
      </c>
      <c r="AH53" s="26">
        <f t="shared" si="34"/>
        <v>2.3792765443552355E-2</v>
      </c>
      <c r="AI53" s="22">
        <f t="shared" si="35"/>
        <v>21.174675788560148</v>
      </c>
      <c r="AJ53" s="26">
        <f t="shared" si="36"/>
        <v>0.16798553029525093</v>
      </c>
    </row>
    <row r="54" spans="1:36">
      <c r="A54" s="49" t="s">
        <v>169</v>
      </c>
      <c r="B54" s="50">
        <v>1700</v>
      </c>
      <c r="C54" s="51">
        <v>0.93673804699999996</v>
      </c>
      <c r="D54" s="51">
        <v>1.6464499999999999E-4</v>
      </c>
      <c r="E54" s="21">
        <v>20.533196839999999</v>
      </c>
      <c r="F54" s="26">
        <v>3.5999999999999997E-2</v>
      </c>
      <c r="G54" s="23" t="s">
        <v>170</v>
      </c>
      <c r="H54" s="51">
        <v>0.93697213954830394</v>
      </c>
      <c r="I54" s="51">
        <v>1.4872500828089436E-4</v>
      </c>
      <c r="J54" s="51">
        <f t="shared" si="30"/>
        <v>0.93712086455658483</v>
      </c>
      <c r="K54" s="58">
        <f t="shared" si="31"/>
        <v>0.93682341454002305</v>
      </c>
      <c r="L54" s="22">
        <v>20.609061369795977</v>
      </c>
      <c r="M54" s="22">
        <v>20.676775212178381</v>
      </c>
      <c r="N54" s="22">
        <f t="shared" si="20"/>
        <v>20.642918290987179</v>
      </c>
      <c r="O54" s="26">
        <f t="shared" si="21"/>
        <v>3.385692119120165E-2</v>
      </c>
      <c r="P54" s="21">
        <v>20.343784145285049</v>
      </c>
      <c r="Q54" s="22">
        <v>20.410319796405282</v>
      </c>
      <c r="R54" s="22">
        <f t="shared" si="22"/>
        <v>20.377051970845166</v>
      </c>
      <c r="S54" s="26">
        <f t="shared" si="23"/>
        <v>3.3267825560116648E-2</v>
      </c>
      <c r="T54" s="22">
        <f t="shared" si="24"/>
        <v>20.509985130916171</v>
      </c>
      <c r="U54" s="22">
        <f t="shared" si="25"/>
        <v>0.15831506439791371</v>
      </c>
      <c r="V54" s="11">
        <f t="shared" si="26"/>
        <v>-2.3211709083827969E-2</v>
      </c>
      <c r="W54" s="23">
        <v>1765.0751257984537</v>
      </c>
      <c r="X54" s="24">
        <v>1765.1972153842837</v>
      </c>
      <c r="Y54" s="25">
        <f t="shared" si="27"/>
        <v>1765.1361705913687</v>
      </c>
      <c r="Z54" s="25">
        <f t="shared" si="28"/>
        <v>1465.1361705913687</v>
      </c>
      <c r="AA54" s="22">
        <v>21.030233334392509</v>
      </c>
      <c r="AB54" s="22">
        <v>21.098794141487865</v>
      </c>
      <c r="AC54" s="22">
        <f t="shared" si="32"/>
        <v>21.064513737940189</v>
      </c>
      <c r="AD54" s="26">
        <f t="shared" si="29"/>
        <v>3.4280403547677807E-2</v>
      </c>
      <c r="AE54" s="21">
        <v>20.753852435923147</v>
      </c>
      <c r="AF54" s="22">
        <v>20.821172114970551</v>
      </c>
      <c r="AG54" s="22">
        <f t="shared" si="33"/>
        <v>20.787512275446851</v>
      </c>
      <c r="AH54" s="26">
        <f t="shared" si="34"/>
        <v>3.3659839523702217E-2</v>
      </c>
      <c r="AI54" s="22">
        <f t="shared" si="35"/>
        <v>20.92601300669352</v>
      </c>
      <c r="AJ54" s="26">
        <f t="shared" si="36"/>
        <v>0.16466741425446452</v>
      </c>
    </row>
    <row r="55" spans="1:36">
      <c r="A55" s="49" t="s">
        <v>171</v>
      </c>
      <c r="B55" s="50">
        <v>1600</v>
      </c>
      <c r="C55" s="51">
        <v>0.93546645100000003</v>
      </c>
      <c r="D55" s="51">
        <v>9.3399999999999993E-5</v>
      </c>
      <c r="E55" s="21">
        <v>20.349173390000001</v>
      </c>
      <c r="F55" s="26">
        <v>2.9000000000000001E-2</v>
      </c>
      <c r="G55" s="23" t="s">
        <v>172</v>
      </c>
      <c r="H55" s="51">
        <v>0.93485438252137143</v>
      </c>
      <c r="I55" s="51">
        <v>1.1585238548831679E-4</v>
      </c>
      <c r="J55" s="51">
        <f t="shared" si="30"/>
        <v>0.93497023490685971</v>
      </c>
      <c r="K55" s="58">
        <f t="shared" si="31"/>
        <v>0.93473853013588315</v>
      </c>
      <c r="L55" s="22">
        <v>20.45403797522156</v>
      </c>
      <c r="M55" s="22">
        <v>20.507322812630708</v>
      </c>
      <c r="N55" s="22">
        <f t="shared" si="20"/>
        <v>20.480680393926136</v>
      </c>
      <c r="O55" s="26">
        <f t="shared" si="21"/>
        <v>2.6642418704573956E-2</v>
      </c>
      <c r="P55" s="21">
        <v>20.197714596242122</v>
      </c>
      <c r="Q55" s="22">
        <v>20.250123603694647</v>
      </c>
      <c r="R55" s="22">
        <f t="shared" si="22"/>
        <v>20.223919099968384</v>
      </c>
      <c r="S55" s="26">
        <f t="shared" si="23"/>
        <v>2.6204503726262374E-2</v>
      </c>
      <c r="T55" s="22">
        <f t="shared" si="24"/>
        <v>20.35229974694726</v>
      </c>
      <c r="U55" s="22">
        <f t="shared" si="25"/>
        <v>0.15134877056520482</v>
      </c>
      <c r="V55" s="11">
        <f t="shared" si="26"/>
        <v>3.1263569472592678E-3</v>
      </c>
      <c r="W55" s="23">
        <v>1658.3428843880977</v>
      </c>
      <c r="X55" s="24">
        <v>1658.429902056552</v>
      </c>
      <c r="Y55" s="25">
        <f t="shared" si="27"/>
        <v>1658.3863932223248</v>
      </c>
      <c r="Z55" s="25">
        <f t="shared" si="28"/>
        <v>1358.3863932223248</v>
      </c>
      <c r="AA55" s="22">
        <v>20.831432665786981</v>
      </c>
      <c r="AB55" s="22">
        <v>20.885320273924762</v>
      </c>
      <c r="AC55" s="22">
        <f t="shared" si="32"/>
        <v>20.85837646985587</v>
      </c>
      <c r="AD55" s="26">
        <f t="shared" si="29"/>
        <v>2.6943804068890742E-2</v>
      </c>
      <c r="AE55" s="21">
        <v>20.564898509100637</v>
      </c>
      <c r="AF55" s="22">
        <v>20.617865538601471</v>
      </c>
      <c r="AG55" s="22">
        <f t="shared" si="33"/>
        <v>20.591382023851054</v>
      </c>
      <c r="AH55" s="26">
        <f t="shared" si="34"/>
        <v>2.6483514750417214E-2</v>
      </c>
      <c r="AI55" s="22">
        <f t="shared" si="35"/>
        <v>20.724879246853462</v>
      </c>
      <c r="AJ55" s="26">
        <f t="shared" si="36"/>
        <v>0.15720551777836986</v>
      </c>
    </row>
    <row r="56" spans="1:36">
      <c r="A56" s="49" t="s">
        <v>173</v>
      </c>
      <c r="B56" s="50">
        <v>1500</v>
      </c>
      <c r="C56" s="51">
        <v>0.93419613400000001</v>
      </c>
      <c r="D56" s="51">
        <v>1.74487E-4</v>
      </c>
      <c r="E56" s="21">
        <v>20.169209949999999</v>
      </c>
      <c r="F56" s="26">
        <v>3.4000000000000002E-2</v>
      </c>
      <c r="G56" s="23" t="s">
        <v>174</v>
      </c>
      <c r="H56" s="51">
        <v>0.9327449127680334</v>
      </c>
      <c r="I56" s="51">
        <v>1.3787500705970593E-4</v>
      </c>
      <c r="J56" s="51">
        <f t="shared" si="30"/>
        <v>0.93288278777509315</v>
      </c>
      <c r="K56" s="58">
        <f t="shared" si="31"/>
        <v>0.93260703776097365</v>
      </c>
      <c r="L56" s="22">
        <v>20.289922785810404</v>
      </c>
      <c r="M56" s="22">
        <v>20.353980120461802</v>
      </c>
      <c r="N56" s="22">
        <f t="shared" si="20"/>
        <v>20.321951453136101</v>
      </c>
      <c r="O56" s="26">
        <f t="shared" si="21"/>
        <v>3.2028667325699089E-2</v>
      </c>
      <c r="P56" s="21">
        <v>20.043607375993506</v>
      </c>
      <c r="Q56" s="22">
        <v>20.106673460105426</v>
      </c>
      <c r="R56" s="22">
        <f t="shared" si="22"/>
        <v>20.075140418049465</v>
      </c>
      <c r="S56" s="26">
        <f t="shared" si="23"/>
        <v>3.1533042055960081E-2</v>
      </c>
      <c r="T56" s="22">
        <f t="shared" si="24"/>
        <v>20.198545935592783</v>
      </c>
      <c r="U56" s="22">
        <f t="shared" si="25"/>
        <v>0.14714621252851823</v>
      </c>
      <c r="V56" s="11">
        <f t="shared" si="26"/>
        <v>2.9335985592783942E-2</v>
      </c>
      <c r="W56" s="23">
        <v>1551.9902835953972</v>
      </c>
      <c r="X56" s="24">
        <v>1552.0844754992545</v>
      </c>
      <c r="Y56" s="25">
        <f t="shared" si="27"/>
        <v>1552.0373795473258</v>
      </c>
      <c r="Z56" s="25">
        <f t="shared" si="28"/>
        <v>1252.0373795473258</v>
      </c>
      <c r="AA56" s="22">
        <v>20.625925023698802</v>
      </c>
      <c r="AB56" s="22">
        <v>20.690633573982886</v>
      </c>
      <c r="AC56" s="22">
        <f t="shared" si="32"/>
        <v>20.658279298840846</v>
      </c>
      <c r="AD56" s="26">
        <f t="shared" si="29"/>
        <v>3.2354275142042255E-2</v>
      </c>
      <c r="AE56" s="21">
        <v>20.370292635842379</v>
      </c>
      <c r="AF56" s="22">
        <v>20.433961626622903</v>
      </c>
      <c r="AG56" s="22">
        <f t="shared" si="33"/>
        <v>20.402127131232639</v>
      </c>
      <c r="AH56" s="26">
        <f t="shared" si="34"/>
        <v>3.1834495390262063E-2</v>
      </c>
      <c r="AI56" s="22">
        <f t="shared" si="35"/>
        <v>20.530203215036742</v>
      </c>
      <c r="AJ56" s="26">
        <f t="shared" si="36"/>
        <v>0.15246245592912389</v>
      </c>
    </row>
    <row r="57" spans="1:36">
      <c r="A57" s="49" t="s">
        <v>175</v>
      </c>
      <c r="B57" s="50">
        <v>1400</v>
      </c>
      <c r="C57" s="51">
        <v>0.93290327200000001</v>
      </c>
      <c r="D57" s="51">
        <v>1.06222E-4</v>
      </c>
      <c r="E57" s="21">
        <v>19.952585070000001</v>
      </c>
      <c r="F57" s="26">
        <v>1.6E-2</v>
      </c>
      <c r="G57" s="23" t="s">
        <v>176</v>
      </c>
      <c r="H57" s="51">
        <v>0.93082822869314896</v>
      </c>
      <c r="I57" s="51">
        <v>6.9297682186806459E-5</v>
      </c>
      <c r="J57" s="51">
        <f t="shared" si="30"/>
        <v>0.93089752637533574</v>
      </c>
      <c r="K57" s="58">
        <f t="shared" si="31"/>
        <v>0.93075893101096219</v>
      </c>
      <c r="L57" s="22">
        <v>20.107427313080059</v>
      </c>
      <c r="M57" s="22">
        <v>20.139916368770766</v>
      </c>
      <c r="N57" s="22">
        <f t="shared" si="20"/>
        <v>20.123671840925411</v>
      </c>
      <c r="O57" s="26">
        <f t="shared" si="21"/>
        <v>1.6244527845353574E-2</v>
      </c>
      <c r="P57" s="21">
        <v>19.872272814776931</v>
      </c>
      <c r="Q57" s="22">
        <v>19.904290220224784</v>
      </c>
      <c r="R57" s="22">
        <f t="shared" si="22"/>
        <v>19.888281517500857</v>
      </c>
      <c r="S57" s="26">
        <f t="shared" si="23"/>
        <v>1.6008702723926405E-2</v>
      </c>
      <c r="T57" s="22">
        <f t="shared" si="24"/>
        <v>20.005976679213134</v>
      </c>
      <c r="U57" s="22">
        <f t="shared" si="25"/>
        <v>0.13717255660609839</v>
      </c>
      <c r="V57" s="11">
        <f t="shared" si="26"/>
        <v>5.3391609213132796E-2</v>
      </c>
      <c r="W57" s="23">
        <v>1446.0051319797669</v>
      </c>
      <c r="X57" s="24">
        <v>1446.0479297480283</v>
      </c>
      <c r="Y57" s="25">
        <f t="shared" si="27"/>
        <v>1446.0265308638977</v>
      </c>
      <c r="Z57" s="25">
        <f t="shared" si="28"/>
        <v>1146.0265308638977</v>
      </c>
      <c r="AA57" s="22">
        <v>20.404344793952102</v>
      </c>
      <c r="AB57" s="22">
        <v>20.437128921375372</v>
      </c>
      <c r="AC57" s="22">
        <f t="shared" si="32"/>
        <v>20.420736857663737</v>
      </c>
      <c r="AD57" s="26">
        <f t="shared" si="29"/>
        <v>1.6392063711634819E-2</v>
      </c>
      <c r="AE57" s="21">
        <v>20.160767027981134</v>
      </c>
      <c r="AF57" s="22">
        <v>20.193057671370418</v>
      </c>
      <c r="AG57" s="22">
        <f t="shared" si="33"/>
        <v>20.176912349675774</v>
      </c>
      <c r="AH57" s="26">
        <f t="shared" si="34"/>
        <v>1.6145321694642334E-2</v>
      </c>
      <c r="AI57" s="22">
        <f t="shared" si="35"/>
        <v>20.298824603669757</v>
      </c>
      <c r="AJ57" s="26">
        <f t="shared" si="36"/>
        <v>0.14202010776209456</v>
      </c>
    </row>
    <row r="58" spans="1:36">
      <c r="A58" s="49" t="s">
        <v>177</v>
      </c>
      <c r="B58" s="50">
        <v>1300</v>
      </c>
      <c r="C58" s="51">
        <v>0.93166492599999995</v>
      </c>
      <c r="D58" s="51">
        <v>1.8131199999999999E-4</v>
      </c>
      <c r="E58" s="21">
        <v>19.718763150000001</v>
      </c>
      <c r="F58" s="26">
        <v>2.1999999999999999E-2</v>
      </c>
      <c r="G58" s="23" t="s">
        <v>178</v>
      </c>
      <c r="H58" s="51">
        <v>0.9290187734663885</v>
      </c>
      <c r="I58" s="51">
        <v>1.1190437173879146E-4</v>
      </c>
      <c r="J58" s="51">
        <f t="shared" si="30"/>
        <v>0.92913067783812731</v>
      </c>
      <c r="K58" s="58">
        <f t="shared" si="31"/>
        <v>0.9289068690946497</v>
      </c>
      <c r="L58" s="22">
        <v>19.878768559183918</v>
      </c>
      <c r="M58" s="22">
        <v>19.93168054510096</v>
      </c>
      <c r="N58" s="22">
        <f t="shared" si="20"/>
        <v>19.905224552142439</v>
      </c>
      <c r="O58" s="26">
        <f t="shared" si="21"/>
        <v>2.645599295852108E-2</v>
      </c>
      <c r="P58" s="21">
        <v>19.656238893593489</v>
      </c>
      <c r="Q58" s="22">
        <v>19.708433131601662</v>
      </c>
      <c r="R58" s="22">
        <f t="shared" si="22"/>
        <v>19.682336012597574</v>
      </c>
      <c r="S58" s="26">
        <f t="shared" si="23"/>
        <v>2.6097119004086622E-2</v>
      </c>
      <c r="T58" s="22">
        <f t="shared" si="24"/>
        <v>19.793780282370008</v>
      </c>
      <c r="U58" s="22">
        <f t="shared" si="25"/>
        <v>0.1322135386762788</v>
      </c>
      <c r="V58" s="11">
        <f t="shared" si="26"/>
        <v>7.5017132370007289E-2</v>
      </c>
      <c r="W58" s="23">
        <v>1340.3585069485546</v>
      </c>
      <c r="X58" s="24">
        <v>1340.4205432818999</v>
      </c>
      <c r="Y58" s="25">
        <f t="shared" si="27"/>
        <v>1340.3895251152271</v>
      </c>
      <c r="Z58" s="25">
        <f t="shared" si="28"/>
        <v>1040.3895251152271</v>
      </c>
      <c r="AA58" s="22">
        <v>20.138717513663448</v>
      </c>
      <c r="AB58" s="22">
        <v>20.192055643628542</v>
      </c>
      <c r="AC58" s="22">
        <f t="shared" si="32"/>
        <v>20.165386578645993</v>
      </c>
      <c r="AD58" s="26">
        <f t="shared" si="29"/>
        <v>2.6669064982547397E-2</v>
      </c>
      <c r="AE58" s="21">
        <v>19.908665650424638</v>
      </c>
      <c r="AF58" s="22">
        <v>19.961254608289998</v>
      </c>
      <c r="AG58" s="22">
        <f t="shared" si="33"/>
        <v>19.934960129357318</v>
      </c>
      <c r="AH58" s="26">
        <f t="shared" si="34"/>
        <v>2.6294478932680221E-2</v>
      </c>
      <c r="AI58" s="22">
        <f t="shared" si="35"/>
        <v>20.050173354001657</v>
      </c>
      <c r="AJ58" s="26">
        <f t="shared" si="36"/>
        <v>0.13650595326524068</v>
      </c>
    </row>
    <row r="59" spans="1:36">
      <c r="A59" s="49" t="s">
        <v>179</v>
      </c>
      <c r="B59" s="50">
        <v>1200</v>
      </c>
      <c r="C59" s="51">
        <v>0.93057135599999996</v>
      </c>
      <c r="D59" s="51">
        <v>1.17667E-4</v>
      </c>
      <c r="E59" s="21">
        <v>19.53468385</v>
      </c>
      <c r="F59" s="26">
        <v>1.7000000000000001E-2</v>
      </c>
      <c r="G59" s="23" t="s">
        <v>180</v>
      </c>
      <c r="H59" s="51">
        <v>0.92702881919337299</v>
      </c>
      <c r="I59" s="51">
        <v>8.1444454845993458E-5</v>
      </c>
      <c r="J59" s="51">
        <f t="shared" si="30"/>
        <v>0.92711026364821902</v>
      </c>
      <c r="K59" s="58">
        <f t="shared" si="31"/>
        <v>0.92694737473852695</v>
      </c>
      <c r="L59" s="22">
        <v>19.715584394235492</v>
      </c>
      <c r="M59" s="22">
        <v>19.754460718416574</v>
      </c>
      <c r="N59" s="22">
        <f t="shared" si="20"/>
        <v>19.735022556326033</v>
      </c>
      <c r="O59" s="26">
        <f t="shared" si="21"/>
        <v>1.9438162090541056E-2</v>
      </c>
      <c r="P59" s="21">
        <v>19.505585760634375</v>
      </c>
      <c r="Q59" s="22">
        <v>19.543971759226913</v>
      </c>
      <c r="R59" s="22">
        <f t="shared" si="22"/>
        <v>19.524778759930644</v>
      </c>
      <c r="S59" s="26">
        <f t="shared" si="23"/>
        <v>1.9192999296269164E-2</v>
      </c>
      <c r="T59" s="22">
        <f t="shared" si="24"/>
        <v>19.629900658128339</v>
      </c>
      <c r="U59" s="22">
        <f t="shared" si="25"/>
        <v>0.12341647736780698</v>
      </c>
      <c r="V59" s="11">
        <f t="shared" si="26"/>
        <v>9.5216808128338215E-2</v>
      </c>
      <c r="W59" s="23">
        <v>1235.1801873503284</v>
      </c>
      <c r="X59" s="24">
        <v>1235.2203563999237</v>
      </c>
      <c r="Y59" s="25">
        <f t="shared" si="27"/>
        <v>1235.200271875126</v>
      </c>
      <c r="Z59" s="25">
        <f t="shared" si="28"/>
        <v>935.20027187512596</v>
      </c>
      <c r="AA59" s="22">
        <v>19.94157788296452</v>
      </c>
      <c r="AB59" s="22">
        <v>19.98072892817855</v>
      </c>
      <c r="AC59" s="22">
        <f t="shared" si="32"/>
        <v>19.961153405571537</v>
      </c>
      <c r="AD59" s="26">
        <f t="shared" si="29"/>
        <v>1.9575522607015117E-2</v>
      </c>
      <c r="AE59" s="21">
        <v>19.724892830119387</v>
      </c>
      <c r="AF59" s="22">
        <v>19.763533316594483</v>
      </c>
      <c r="AG59" s="22">
        <f t="shared" si="33"/>
        <v>19.744213073356935</v>
      </c>
      <c r="AH59" s="26">
        <f t="shared" si="34"/>
        <v>1.9320243237547885E-2</v>
      </c>
      <c r="AI59" s="22">
        <f t="shared" si="35"/>
        <v>19.852683239464234</v>
      </c>
      <c r="AJ59" s="26">
        <f t="shared" si="36"/>
        <v>0.12724785985046735</v>
      </c>
    </row>
    <row r="60" spans="1:36">
      <c r="A60" s="49" t="s">
        <v>181</v>
      </c>
      <c r="B60" s="50">
        <v>1100</v>
      </c>
      <c r="C60" s="51">
        <v>0.92901176600000002</v>
      </c>
      <c r="D60" s="51">
        <v>4.61986E-4</v>
      </c>
      <c r="E60" s="21">
        <v>19.34510723</v>
      </c>
      <c r="F60" s="26">
        <v>4.5999999999999999E-2</v>
      </c>
      <c r="G60" s="23" t="s">
        <v>182</v>
      </c>
      <c r="H60" s="51">
        <v>0.92510578423398326</v>
      </c>
      <c r="I60" s="51">
        <v>2.1561127747554207E-4</v>
      </c>
      <c r="J60" s="51">
        <f t="shared" si="30"/>
        <v>0.92532139551145876</v>
      </c>
      <c r="K60" s="58">
        <f t="shared" si="31"/>
        <v>0.92489017295650777</v>
      </c>
      <c r="L60" s="22">
        <v>19.503390036159935</v>
      </c>
      <c r="M60" s="22">
        <v>19.607254291442295</v>
      </c>
      <c r="N60" s="22">
        <f t="shared" si="20"/>
        <v>19.555322163801115</v>
      </c>
      <c r="O60" s="26">
        <f t="shared" si="21"/>
        <v>5.1932127641180159E-2</v>
      </c>
      <c r="P60" s="21">
        <v>19.307326734670383</v>
      </c>
      <c r="Q60" s="22">
        <v>19.409979255823327</v>
      </c>
      <c r="R60" s="22">
        <f t="shared" si="22"/>
        <v>19.358652995246857</v>
      </c>
      <c r="S60" s="26">
        <f t="shared" si="23"/>
        <v>5.1326260576471938E-2</v>
      </c>
      <c r="T60" s="22">
        <f t="shared" si="24"/>
        <v>19.456987579523986</v>
      </c>
      <c r="U60" s="22">
        <f t="shared" si="25"/>
        <v>0.12824640823044714</v>
      </c>
      <c r="V60" s="11">
        <f t="shared" si="26"/>
        <v>0.11188034952398596</v>
      </c>
      <c r="W60" s="23">
        <v>1130.3350626978172</v>
      </c>
      <c r="X60" s="24">
        <v>1130.4287917241622</v>
      </c>
      <c r="Y60" s="25">
        <f t="shared" si="27"/>
        <v>1130.3819272109897</v>
      </c>
      <c r="Z60" s="25">
        <f t="shared" si="28"/>
        <v>830.38192721098972</v>
      </c>
      <c r="AA60" s="22">
        <v>19.697517256003444</v>
      </c>
      <c r="AB60" s="22">
        <v>19.802018777624202</v>
      </c>
      <c r="AC60" s="22">
        <f t="shared" si="32"/>
        <v>19.749768016813825</v>
      </c>
      <c r="AD60" s="26">
        <f t="shared" si="29"/>
        <v>5.2250760810379049E-2</v>
      </c>
      <c r="AE60" s="21">
        <v>19.495599635946871</v>
      </c>
      <c r="AF60" s="22">
        <v>19.598842569205161</v>
      </c>
      <c r="AG60" s="22">
        <f t="shared" si="33"/>
        <v>19.547221102576017</v>
      </c>
      <c r="AH60" s="26">
        <f t="shared" si="34"/>
        <v>5.1621466629145019E-2</v>
      </c>
      <c r="AI60" s="22">
        <f t="shared" si="35"/>
        <v>19.648494559694921</v>
      </c>
      <c r="AJ60" s="26">
        <f t="shared" si="36"/>
        <v>0.13142182481317216</v>
      </c>
    </row>
    <row r="61" spans="1:36">
      <c r="A61" s="49" t="s">
        <v>183</v>
      </c>
      <c r="B61" s="50">
        <v>1000</v>
      </c>
      <c r="C61" s="51">
        <v>0.92823002600000004</v>
      </c>
      <c r="D61" s="51">
        <v>1.27052E-4</v>
      </c>
      <c r="E61" s="21">
        <v>19.120760130000001</v>
      </c>
      <c r="F61" s="26">
        <v>2.3E-2</v>
      </c>
      <c r="G61" s="23" t="s">
        <v>184</v>
      </c>
      <c r="H61" s="51">
        <v>0.92337758161541728</v>
      </c>
      <c r="I61" s="51">
        <v>1.1336318316694317E-4</v>
      </c>
      <c r="J61" s="51">
        <f t="shared" si="30"/>
        <v>0.92349094479858418</v>
      </c>
      <c r="K61" s="58">
        <f t="shared" si="31"/>
        <v>0.92326421843225037</v>
      </c>
      <c r="L61" s="22">
        <v>19.307866389861669</v>
      </c>
      <c r="M61" s="22">
        <v>19.362921666839071</v>
      </c>
      <c r="N61" s="22">
        <f t="shared" si="20"/>
        <v>19.335394028350372</v>
      </c>
      <c r="O61" s="26">
        <f t="shared" si="21"/>
        <v>2.7527638488701101E-2</v>
      </c>
      <c r="P61" s="21">
        <v>19.126265519751978</v>
      </c>
      <c r="Q61" s="22">
        <v>19.180729904320579</v>
      </c>
      <c r="R61" s="22">
        <f t="shared" si="22"/>
        <v>19.153497712036277</v>
      </c>
      <c r="S61" s="26">
        <f t="shared" si="23"/>
        <v>2.7232192284300183E-2</v>
      </c>
      <c r="T61" s="22">
        <f t="shared" si="24"/>
        <v>19.244445870193324</v>
      </c>
      <c r="U61" s="22">
        <f t="shared" si="25"/>
        <v>0.10967375292716033</v>
      </c>
      <c r="V61" s="11">
        <f t="shared" si="26"/>
        <v>0.12368574019332357</v>
      </c>
      <c r="W61" s="23">
        <v>1025.8879897911986</v>
      </c>
      <c r="X61" s="24">
        <v>1025.930979548471</v>
      </c>
      <c r="Y61" s="25">
        <f t="shared" si="27"/>
        <v>1025.9094846698349</v>
      </c>
      <c r="Z61" s="25">
        <f t="shared" si="28"/>
        <v>725.90948466983491</v>
      </c>
      <c r="AA61" s="22">
        <v>19.472661475876862</v>
      </c>
      <c r="AB61" s="22">
        <v>19.528006677267072</v>
      </c>
      <c r="AC61" s="22">
        <f t="shared" si="32"/>
        <v>19.500334076571967</v>
      </c>
      <c r="AD61" s="26">
        <f t="shared" si="29"/>
        <v>2.7672600695105132E-2</v>
      </c>
      <c r="AE61" s="21">
        <v>19.28599554677135</v>
      </c>
      <c r="AF61" s="22">
        <v>19.340728616544496</v>
      </c>
      <c r="AG61" s="22">
        <f t="shared" si="33"/>
        <v>19.313362081657921</v>
      </c>
      <c r="AH61" s="26">
        <f t="shared" si="34"/>
        <v>2.7366534886573035E-2</v>
      </c>
      <c r="AI61" s="22">
        <f t="shared" si="35"/>
        <v>19.406848079114944</v>
      </c>
      <c r="AJ61" s="26">
        <f t="shared" si="36"/>
        <v>0.11252840678986335</v>
      </c>
    </row>
    <row r="62" spans="1:36">
      <c r="A62" s="49" t="s">
        <v>185</v>
      </c>
      <c r="B62" s="50">
        <v>900</v>
      </c>
      <c r="C62" s="51">
        <v>0.92714017500000001</v>
      </c>
      <c r="D62" s="51">
        <v>1.4784299999999999E-4</v>
      </c>
      <c r="E62" s="21">
        <v>18.90707613</v>
      </c>
      <c r="F62" s="26">
        <v>3.5000000000000003E-2</v>
      </c>
      <c r="G62" s="23" t="s">
        <v>186</v>
      </c>
      <c r="H62" s="51">
        <v>0.9216539216740941</v>
      </c>
      <c r="I62" s="51">
        <v>1.5951085764848654E-4</v>
      </c>
      <c r="J62" s="51">
        <f t="shared" si="30"/>
        <v>0.92181343253174264</v>
      </c>
      <c r="K62" s="58">
        <f t="shared" si="31"/>
        <v>0.92149441081644556</v>
      </c>
      <c r="L62" s="22">
        <v>19.082875161950799</v>
      </c>
      <c r="M62" s="22">
        <v>19.160977077220096</v>
      </c>
      <c r="N62" s="22">
        <f t="shared" si="20"/>
        <v>19.121926119585446</v>
      </c>
      <c r="O62" s="26">
        <f t="shared" si="21"/>
        <v>3.9050957634648498E-2</v>
      </c>
      <c r="P62" s="21">
        <v>18.916715041191086</v>
      </c>
      <c r="Q62" s="22">
        <v>18.994050843297746</v>
      </c>
      <c r="R62" s="22">
        <f t="shared" si="22"/>
        <v>18.955382942244416</v>
      </c>
      <c r="S62" s="26">
        <f t="shared" si="23"/>
        <v>3.8667901053329956E-2</v>
      </c>
      <c r="T62" s="22">
        <f t="shared" si="24"/>
        <v>19.038654530914929</v>
      </c>
      <c r="U62" s="22">
        <f t="shared" si="25"/>
        <v>0.10610843140698532</v>
      </c>
      <c r="V62" s="11">
        <f t="shared" si="26"/>
        <v>0.13157840091492901</v>
      </c>
      <c r="W62" s="23">
        <v>921.79675343847316</v>
      </c>
      <c r="X62" s="24">
        <v>921.84885624139031</v>
      </c>
      <c r="Y62" s="25">
        <f t="shared" si="27"/>
        <v>921.82280483993168</v>
      </c>
      <c r="Z62" s="25">
        <f t="shared" si="28"/>
        <v>621.82280483993168</v>
      </c>
      <c r="AA62" s="22">
        <v>19.220584630451476</v>
      </c>
      <c r="AB62" s="22">
        <v>19.299034090465526</v>
      </c>
      <c r="AC62" s="22">
        <f t="shared" si="32"/>
        <v>19.259809360458501</v>
      </c>
      <c r="AD62" s="26">
        <f t="shared" si="29"/>
        <v>3.9224730007024533E-2</v>
      </c>
      <c r="AE62" s="21">
        <v>19.050120508317953</v>
      </c>
      <c r="AF62" s="22">
        <v>19.127778483606239</v>
      </c>
      <c r="AG62" s="22">
        <f t="shared" si="33"/>
        <v>19.088949495962098</v>
      </c>
      <c r="AH62" s="26">
        <f t="shared" si="34"/>
        <v>3.8828987644142998E-2</v>
      </c>
      <c r="AI62" s="22">
        <f t="shared" si="35"/>
        <v>19.174379428210298</v>
      </c>
      <c r="AJ62" s="26">
        <f t="shared" si="36"/>
        <v>0.10845219030662914</v>
      </c>
    </row>
    <row r="63" spans="1:36">
      <c r="A63" s="49" t="s">
        <v>187</v>
      </c>
      <c r="B63" s="50">
        <v>800</v>
      </c>
      <c r="C63" s="51">
        <v>0.926165821</v>
      </c>
      <c r="D63" s="51">
        <v>1.4101000000000001E-4</v>
      </c>
      <c r="E63" s="21">
        <v>18.7627022</v>
      </c>
      <c r="F63" s="26">
        <v>0.02</v>
      </c>
      <c r="G63" s="23" t="s">
        <v>188</v>
      </c>
      <c r="H63" s="51">
        <v>0.91969791241026855</v>
      </c>
      <c r="I63" s="51">
        <v>9.3871746658295965E-5</v>
      </c>
      <c r="J63" s="51">
        <f t="shared" si="30"/>
        <v>0.91979178415692686</v>
      </c>
      <c r="K63" s="58">
        <f t="shared" si="31"/>
        <v>0.91960404066361023</v>
      </c>
      <c r="L63" s="22">
        <v>18.951909103260487</v>
      </c>
      <c r="M63" s="22">
        <v>18.998309744121801</v>
      </c>
      <c r="N63" s="22">
        <f t="shared" si="20"/>
        <v>18.975109423691144</v>
      </c>
      <c r="O63" s="26">
        <f t="shared" si="21"/>
        <v>2.3200320430657229E-2</v>
      </c>
      <c r="P63" s="21">
        <v>18.800917485249336</v>
      </c>
      <c r="Q63" s="22">
        <v>18.846905477537049</v>
      </c>
      <c r="R63" s="22">
        <f t="shared" si="22"/>
        <v>18.823911481393193</v>
      </c>
      <c r="S63" s="26">
        <f t="shared" si="23"/>
        <v>2.2993996143856776E-2</v>
      </c>
      <c r="T63" s="22">
        <f t="shared" si="24"/>
        <v>18.899510452542167</v>
      </c>
      <c r="U63" s="22">
        <f t="shared" si="25"/>
        <v>9.1277553298775502E-2</v>
      </c>
      <c r="V63" s="11">
        <f t="shared" si="26"/>
        <v>0.136808252542167</v>
      </c>
      <c r="W63" s="23">
        <v>818.13472531801312</v>
      </c>
      <c r="X63" s="24">
        <v>818.16072169536847</v>
      </c>
      <c r="Y63" s="25">
        <f t="shared" si="27"/>
        <v>818.1477235066908</v>
      </c>
      <c r="Z63" s="25">
        <f t="shared" si="28"/>
        <v>518.1477235066908</v>
      </c>
      <c r="AA63" s="22">
        <v>19.065258736785285</v>
      </c>
      <c r="AB63" s="22">
        <v>19.111830195771589</v>
      </c>
      <c r="AC63" s="22">
        <f t="shared" si="32"/>
        <v>19.088544466278435</v>
      </c>
      <c r="AD63" s="26">
        <f t="shared" si="29"/>
        <v>2.3285729493151663E-2</v>
      </c>
      <c r="AE63" s="21">
        <v>18.910654553463665</v>
      </c>
      <c r="AF63" s="22">
        <v>18.956800903317191</v>
      </c>
      <c r="AG63" s="22">
        <f t="shared" si="33"/>
        <v>18.93372772839043</v>
      </c>
      <c r="AH63" s="26">
        <f t="shared" si="34"/>
        <v>2.3073174926762974E-2</v>
      </c>
      <c r="AI63" s="22">
        <f t="shared" si="35"/>
        <v>19.011136097334433</v>
      </c>
      <c r="AJ63" s="26">
        <f t="shared" si="36"/>
        <v>9.3304904352598889E-2</v>
      </c>
    </row>
    <row r="64" spans="1:36">
      <c r="A64" s="49" t="s">
        <v>189</v>
      </c>
      <c r="B64" s="50">
        <v>700</v>
      </c>
      <c r="C64" s="51">
        <v>0.92500037000000002</v>
      </c>
      <c r="D64" s="51">
        <v>1.3157699999999999E-4</v>
      </c>
      <c r="E64" s="21">
        <v>18.579392649999999</v>
      </c>
      <c r="F64" s="26">
        <v>5.0999999999999997E-2</v>
      </c>
      <c r="G64" s="23" t="s">
        <v>190</v>
      </c>
      <c r="H64" s="51">
        <v>0.91797131052073189</v>
      </c>
      <c r="I64" s="51">
        <v>2.2634821633622275E-4</v>
      </c>
      <c r="J64" s="51">
        <f t="shared" si="30"/>
        <v>0.91819765873706816</v>
      </c>
      <c r="K64" s="58">
        <f t="shared" si="31"/>
        <v>0.91774496230439562</v>
      </c>
      <c r="L64" s="22">
        <v>18.727708364074815</v>
      </c>
      <c r="M64" s="22">
        <v>18.840531055125044</v>
      </c>
      <c r="N64" s="22">
        <f t="shared" si="20"/>
        <v>18.784119709599928</v>
      </c>
      <c r="O64" s="26">
        <f t="shared" si="21"/>
        <v>5.6411345525114953E-2</v>
      </c>
      <c r="P64" s="21">
        <v>18.593257541154244</v>
      </c>
      <c r="Q64" s="22">
        <v>18.70517730402582</v>
      </c>
      <c r="R64" s="22">
        <f t="shared" si="22"/>
        <v>18.649217422590034</v>
      </c>
      <c r="S64" s="26">
        <f t="shared" si="23"/>
        <v>5.5959881435788006E-2</v>
      </c>
      <c r="T64" s="22">
        <f t="shared" si="24"/>
        <v>18.716668566094981</v>
      </c>
      <c r="U64" s="22">
        <f t="shared" si="25"/>
        <v>0.10136752193384123</v>
      </c>
      <c r="V64" s="11">
        <f t="shared" si="26"/>
        <v>0.13727591609498191</v>
      </c>
      <c r="W64" s="23">
        <v>714.7813977930731</v>
      </c>
      <c r="X64" s="24">
        <v>714.83364272976144</v>
      </c>
      <c r="Y64" s="25">
        <f t="shared" si="27"/>
        <v>714.80752026141727</v>
      </c>
      <c r="Z64" s="25">
        <f t="shared" si="28"/>
        <v>414.80752026141727</v>
      </c>
      <c r="AA64" s="22">
        <v>18.818609293844055</v>
      </c>
      <c r="AB64" s="22">
        <v>18.931767700224977</v>
      </c>
      <c r="AC64" s="22">
        <f t="shared" si="32"/>
        <v>18.875188497034515</v>
      </c>
      <c r="AD64" s="26">
        <f t="shared" si="29"/>
        <v>5.6579203190461058E-2</v>
      </c>
      <c r="AE64" s="21">
        <v>18.681220418173741</v>
      </c>
      <c r="AF64" s="22">
        <v>18.79345148703743</v>
      </c>
      <c r="AG64" s="22">
        <f t="shared" si="33"/>
        <v>18.737335952605584</v>
      </c>
      <c r="AH64" s="26">
        <f t="shared" si="34"/>
        <v>5.6115534431844694E-2</v>
      </c>
      <c r="AI64" s="22">
        <f t="shared" si="35"/>
        <v>18.806262224820049</v>
      </c>
      <c r="AJ64" s="26">
        <f t="shared" si="36"/>
        <v>0.10280019922485303</v>
      </c>
    </row>
    <row r="65" spans="1:36">
      <c r="A65" s="49" t="s">
        <v>191</v>
      </c>
      <c r="B65" s="50">
        <v>600</v>
      </c>
      <c r="C65" s="51">
        <v>0.92403645000000001</v>
      </c>
      <c r="D65" s="51">
        <v>1.6280600000000001E-4</v>
      </c>
      <c r="E65" s="21">
        <v>18.365957120000001</v>
      </c>
      <c r="F65" s="26">
        <v>2.7E-2</v>
      </c>
      <c r="G65" s="23" t="s">
        <v>192</v>
      </c>
      <c r="H65" s="51">
        <v>0.91644370214709081</v>
      </c>
      <c r="I65" s="51">
        <v>1.2224461979496218E-4</v>
      </c>
      <c r="J65" s="51">
        <f t="shared" si="30"/>
        <v>0.91656594676688574</v>
      </c>
      <c r="K65" s="58">
        <f t="shared" si="31"/>
        <v>0.91632145752729588</v>
      </c>
      <c r="L65" s="22">
        <v>18.528673937609639</v>
      </c>
      <c r="M65" s="22">
        <v>18.590062179747193</v>
      </c>
      <c r="N65" s="22">
        <f t="shared" si="20"/>
        <v>18.559368058678416</v>
      </c>
      <c r="O65" s="26">
        <f t="shared" si="21"/>
        <v>3.0694121068776781E-2</v>
      </c>
      <c r="P65" s="21">
        <v>18.410871743740419</v>
      </c>
      <c r="Q65" s="22">
        <v>18.471821210742885</v>
      </c>
      <c r="R65" s="22">
        <f t="shared" si="22"/>
        <v>18.441346477241652</v>
      </c>
      <c r="S65" s="26">
        <f t="shared" si="23"/>
        <v>3.0474733501232976E-2</v>
      </c>
      <c r="T65" s="22">
        <f t="shared" si="24"/>
        <v>18.500357267960034</v>
      </c>
      <c r="U65" s="22">
        <f t="shared" si="25"/>
        <v>7.674800884528224E-2</v>
      </c>
      <c r="V65" s="11">
        <f t="shared" si="26"/>
        <v>0.13440014796003297</v>
      </c>
      <c r="W65" s="23">
        <v>611.80223562360288</v>
      </c>
      <c r="X65" s="24">
        <v>611.82526501057464</v>
      </c>
      <c r="Y65" s="25">
        <f t="shared" si="27"/>
        <v>611.81375031708876</v>
      </c>
      <c r="Z65" s="25">
        <f t="shared" si="28"/>
        <v>311.81375031708876</v>
      </c>
      <c r="AA65" s="22">
        <v>18.599440251383964</v>
      </c>
      <c r="AB65" s="22">
        <v>18.660971476048545</v>
      </c>
      <c r="AC65" s="22">
        <f t="shared" si="32"/>
        <v>18.630205863716256</v>
      </c>
      <c r="AD65" s="26">
        <f t="shared" si="29"/>
        <v>3.076561233229036E-2</v>
      </c>
      <c r="AE65" s="21">
        <v>18.479321163190868</v>
      </c>
      <c r="AF65" s="22">
        <v>18.540403275300449</v>
      </c>
      <c r="AG65" s="22">
        <f t="shared" si="33"/>
        <v>18.509862219245658</v>
      </c>
      <c r="AH65" s="26">
        <f t="shared" si="34"/>
        <v>3.0541056054790516E-2</v>
      </c>
      <c r="AI65" s="22">
        <f t="shared" si="35"/>
        <v>18.570034041480959</v>
      </c>
      <c r="AJ65" s="26">
        <f t="shared" si="36"/>
        <v>7.7976814457269922E-2</v>
      </c>
    </row>
    <row r="66" spans="1:36">
      <c r="A66" s="49" t="s">
        <v>193</v>
      </c>
      <c r="B66" s="50">
        <v>500</v>
      </c>
      <c r="C66" s="51">
        <v>0.92307834499999997</v>
      </c>
      <c r="D66" s="51">
        <v>1.3446000000000001E-4</v>
      </c>
      <c r="E66" s="21">
        <v>18.21620192</v>
      </c>
      <c r="F66" s="26">
        <v>2.5000000000000001E-2</v>
      </c>
      <c r="G66" s="23" t="s">
        <v>194</v>
      </c>
      <c r="H66" s="51">
        <v>0.91474969767275127</v>
      </c>
      <c r="I66" s="51">
        <v>1.0871540968489006E-4</v>
      </c>
      <c r="J66" s="51">
        <f t="shared" si="30"/>
        <v>0.91485841308243621</v>
      </c>
      <c r="K66" s="58">
        <f t="shared" si="31"/>
        <v>0.91464098226306634</v>
      </c>
      <c r="L66" s="22">
        <v>18.371969028254679</v>
      </c>
      <c r="M66" s="22">
        <v>18.427033759400931</v>
      </c>
      <c r="N66" s="22">
        <f t="shared" si="20"/>
        <v>18.399501393827805</v>
      </c>
      <c r="O66" s="26">
        <f t="shared" si="21"/>
        <v>2.7532365573126327E-2</v>
      </c>
      <c r="P66" s="21">
        <v>18.270591358588707</v>
      </c>
      <c r="Q66" s="22">
        <v>18.325307476516944</v>
      </c>
      <c r="R66" s="22">
        <f t="shared" si="22"/>
        <v>18.297949417552825</v>
      </c>
      <c r="S66" s="26">
        <f t="shared" si="23"/>
        <v>2.735805896411847E-2</v>
      </c>
      <c r="T66" s="22">
        <f t="shared" si="24"/>
        <v>18.348725405690313</v>
      </c>
      <c r="U66" s="22">
        <f t="shared" si="25"/>
        <v>6.6647813102474085E-2</v>
      </c>
      <c r="V66" s="11">
        <f t="shared" si="26"/>
        <v>0.13252348569031369</v>
      </c>
      <c r="W66" s="23">
        <v>509.19006331348493</v>
      </c>
      <c r="X66" s="24">
        <v>509.2063238191277</v>
      </c>
      <c r="Y66" s="25">
        <f t="shared" si="27"/>
        <v>509.19819356630632</v>
      </c>
      <c r="Z66" s="25">
        <f t="shared" si="28"/>
        <v>209.19819356630632</v>
      </c>
      <c r="AA66" s="22">
        <v>18.424806322094543</v>
      </c>
      <c r="AB66" s="22">
        <v>18.47996651806378</v>
      </c>
      <c r="AC66" s="22">
        <f t="shared" si="32"/>
        <v>18.452386420079161</v>
      </c>
      <c r="AD66" s="26">
        <f t="shared" si="29"/>
        <v>2.7580097984618135E-2</v>
      </c>
      <c r="AE66" s="21">
        <v>18.321679681645612</v>
      </c>
      <c r="AF66" s="22">
        <v>18.376484392496351</v>
      </c>
      <c r="AG66" s="22">
        <f t="shared" si="33"/>
        <v>18.349082037070982</v>
      </c>
      <c r="AH66" s="26">
        <f t="shared" si="34"/>
        <v>2.7402355425369507E-2</v>
      </c>
      <c r="AI66" s="22">
        <f t="shared" si="35"/>
        <v>18.400734228575072</v>
      </c>
      <c r="AJ66" s="26">
        <f t="shared" si="36"/>
        <v>6.7564530448304169E-2</v>
      </c>
    </row>
    <row r="67" spans="1:36">
      <c r="A67" s="49" t="s">
        <v>195</v>
      </c>
      <c r="B67" s="50">
        <v>400</v>
      </c>
      <c r="C67" s="51">
        <v>0.92229524900000004</v>
      </c>
      <c r="D67" s="51">
        <v>1.8471899999999999E-4</v>
      </c>
      <c r="E67" s="21">
        <v>18.048795770000002</v>
      </c>
      <c r="F67" s="26">
        <v>3.5000000000000003E-2</v>
      </c>
      <c r="G67" s="23" t="s">
        <v>196</v>
      </c>
      <c r="H67" s="51">
        <v>0.91325315191748879</v>
      </c>
      <c r="I67" s="51">
        <v>1.5292789188165725E-4</v>
      </c>
      <c r="J67" s="51">
        <f t="shared" si="30"/>
        <v>0.9134060798093705</v>
      </c>
      <c r="K67" s="58">
        <f t="shared" si="31"/>
        <v>0.91310022402560709</v>
      </c>
      <c r="L67" s="22">
        <v>18.186798078733315</v>
      </c>
      <c r="M67" s="22">
        <v>18.264870629272398</v>
      </c>
      <c r="N67" s="22">
        <f t="shared" si="20"/>
        <v>18.225834354002856</v>
      </c>
      <c r="O67" s="26">
        <f t="shared" si="21"/>
        <v>3.9036275269541676E-2</v>
      </c>
      <c r="P67" s="21">
        <v>18.101600024692203</v>
      </c>
      <c r="Q67" s="22">
        <v>18.179236184333266</v>
      </c>
      <c r="R67" s="22">
        <f t="shared" si="22"/>
        <v>18.140418104512733</v>
      </c>
      <c r="S67" s="26">
        <f t="shared" si="23"/>
        <v>3.8818079820531537E-2</v>
      </c>
      <c r="T67" s="22">
        <f t="shared" si="24"/>
        <v>18.183126229257795</v>
      </c>
      <c r="U67" s="22">
        <f t="shared" si="25"/>
        <v>6.6726516200342825E-2</v>
      </c>
      <c r="V67" s="11">
        <f t="shared" si="26"/>
        <v>0.13433045925779297</v>
      </c>
      <c r="W67" s="23">
        <v>406.91435222882336</v>
      </c>
      <c r="X67" s="24">
        <v>406.93191343229944</v>
      </c>
      <c r="Y67" s="25">
        <f t="shared" si="27"/>
        <v>406.92313283056137</v>
      </c>
      <c r="Z67" s="25">
        <f t="shared" si="28"/>
        <v>106.92313283056137</v>
      </c>
      <c r="AA67" s="22">
        <v>18.223632466639515</v>
      </c>
      <c r="AB67" s="22">
        <v>18.301798260337335</v>
      </c>
      <c r="AC67" s="22">
        <f t="shared" si="32"/>
        <v>18.262715363488425</v>
      </c>
      <c r="AD67" s="26">
        <f t="shared" si="29"/>
        <v>3.9082896848910309E-2</v>
      </c>
      <c r="AE67" s="21">
        <v>18.137210980385692</v>
      </c>
      <c r="AF67" s="22">
        <v>18.214933726012276</v>
      </c>
      <c r="AG67" s="22">
        <f t="shared" si="33"/>
        <v>18.176072353198983</v>
      </c>
      <c r="AH67" s="26">
        <f t="shared" si="34"/>
        <v>3.886137281329205E-2</v>
      </c>
      <c r="AI67" s="22">
        <f t="shared" si="35"/>
        <v>18.219393858343704</v>
      </c>
      <c r="AJ67" s="26">
        <f t="shared" si="36"/>
        <v>6.7286376724387614E-2</v>
      </c>
    </row>
    <row r="68" spans="1:36">
      <c r="A68" s="49" t="s">
        <v>197</v>
      </c>
      <c r="B68" s="50">
        <v>305</v>
      </c>
      <c r="C68" s="51">
        <v>0.92189588600000005</v>
      </c>
      <c r="D68" s="51">
        <v>1.64952E-4</v>
      </c>
      <c r="E68" s="21">
        <v>17.826190090000001</v>
      </c>
      <c r="F68" s="26">
        <v>7.0000000000000001E-3</v>
      </c>
      <c r="G68" s="23" t="s">
        <v>198</v>
      </c>
      <c r="H68" s="51">
        <v>0.91226207827630634</v>
      </c>
      <c r="I68" s="51">
        <v>3.2456224574625886E-5</v>
      </c>
      <c r="J68" s="51">
        <f t="shared" si="30"/>
        <v>0.91229453450088094</v>
      </c>
      <c r="K68" s="58">
        <f t="shared" si="31"/>
        <v>0.91222962205173175</v>
      </c>
      <c r="L68" s="22">
        <v>17.998169952276907</v>
      </c>
      <c r="M68" s="22">
        <v>18.014834717509121</v>
      </c>
      <c r="N68" s="22">
        <f t="shared" si="20"/>
        <v>18.006502334893014</v>
      </c>
      <c r="O68" s="26">
        <f t="shared" si="21"/>
        <v>8.3323826161070258E-3</v>
      </c>
      <c r="P68" s="21">
        <v>17.927116570753949</v>
      </c>
      <c r="Q68" s="22">
        <v>17.943697956911002</v>
      </c>
      <c r="R68" s="22">
        <f t="shared" si="22"/>
        <v>17.935407263832474</v>
      </c>
      <c r="S68" s="26">
        <f t="shared" si="23"/>
        <v>8.2906930785267008E-3</v>
      </c>
      <c r="T68" s="22">
        <f t="shared" si="24"/>
        <v>17.970954799362744</v>
      </c>
      <c r="U68" s="22">
        <f t="shared" si="25"/>
        <v>4.2153835383707303E-2</v>
      </c>
      <c r="V68" s="11">
        <f t="shared" si="26"/>
        <v>0.1447647093627431</v>
      </c>
      <c r="W68" s="23">
        <v>310.06702928185553</v>
      </c>
      <c r="X68" s="24">
        <v>310.06981582602037</v>
      </c>
      <c r="Y68" s="25">
        <f t="shared" si="27"/>
        <v>310.06842255393792</v>
      </c>
      <c r="Z68" s="25">
        <f t="shared" si="28"/>
        <v>10.068422553937921</v>
      </c>
      <c r="AA68" s="22">
        <v>18.0214900695639</v>
      </c>
      <c r="AB68" s="22">
        <v>18.038167061858914</v>
      </c>
      <c r="AC68" s="22">
        <f t="shared" si="32"/>
        <v>18.029828565711405</v>
      </c>
      <c r="AD68" s="26">
        <f t="shared" si="29"/>
        <v>8.3384961475072572E-3</v>
      </c>
      <c r="AE68" s="21">
        <v>17.949669398630615</v>
      </c>
      <c r="AF68" s="22">
        <v>17.966262153257627</v>
      </c>
      <c r="AG68" s="22">
        <f t="shared" si="33"/>
        <v>17.957965775944121</v>
      </c>
      <c r="AH68" s="26">
        <f t="shared" si="34"/>
        <v>8.2963773135062979E-3</v>
      </c>
      <c r="AI68" s="22">
        <f t="shared" si="35"/>
        <v>17.993897170827765</v>
      </c>
      <c r="AJ68" s="26">
        <f t="shared" si="36"/>
        <v>4.2587092497599191E-2</v>
      </c>
    </row>
    <row r="69" spans="1:36">
      <c r="A69" s="49" t="s">
        <v>199</v>
      </c>
      <c r="B69" s="50">
        <v>302</v>
      </c>
      <c r="C69" s="51">
        <v>0.92121546300000001</v>
      </c>
      <c r="D69" s="51">
        <v>2.03222E-4</v>
      </c>
      <c r="E69" s="21">
        <v>18.19113948</v>
      </c>
      <c r="F69" s="26">
        <v>3.5999999999999997E-2</v>
      </c>
      <c r="G69" s="23" t="s">
        <v>200</v>
      </c>
      <c r="H69" s="51">
        <v>0.91076807377881608</v>
      </c>
      <c r="I69" s="51">
        <v>1.5111669648679331E-4</v>
      </c>
      <c r="J69" s="51">
        <f t="shared" si="30"/>
        <v>0.9109191904753029</v>
      </c>
      <c r="K69" s="58">
        <f t="shared" si="31"/>
        <v>0.91061695708232926</v>
      </c>
      <c r="L69" s="22">
        <v>18.338823177013488</v>
      </c>
      <c r="M69" s="22">
        <v>18.417038742508101</v>
      </c>
      <c r="N69" s="22">
        <f t="shared" si="20"/>
        <v>18.377930959760796</v>
      </c>
      <c r="O69" s="26">
        <f t="shared" si="21"/>
        <v>3.910778274730653E-2</v>
      </c>
      <c r="P69" s="21">
        <v>18.266458614490197</v>
      </c>
      <c r="Q69" s="22">
        <v>18.344287418253415</v>
      </c>
      <c r="R69" s="22">
        <f t="shared" si="22"/>
        <v>18.305373016371806</v>
      </c>
      <c r="S69" s="26">
        <f t="shared" si="23"/>
        <v>3.8914401881608995E-2</v>
      </c>
      <c r="T69" s="22">
        <f t="shared" si="24"/>
        <v>18.341651988066303</v>
      </c>
      <c r="U69" s="22">
        <f t="shared" si="25"/>
        <v>6.1514642807674637E-2</v>
      </c>
      <c r="V69" s="11">
        <f t="shared" si="26"/>
        <v>0.15051250806630279</v>
      </c>
      <c r="W69" s="23">
        <v>307.07070566626965</v>
      </c>
      <c r="X69" s="24">
        <v>307.08346952937131</v>
      </c>
      <c r="Y69" s="25">
        <f t="shared" si="27"/>
        <v>307.07708759782048</v>
      </c>
      <c r="Z69" s="25">
        <f t="shared" si="28"/>
        <v>7.0770875978204799</v>
      </c>
      <c r="AA69" s="22">
        <v>18.361990140304432</v>
      </c>
      <c r="AB69" s="22">
        <v>18.440261139571987</v>
      </c>
      <c r="AC69" s="22">
        <f t="shared" si="32"/>
        <v>18.401125639938208</v>
      </c>
      <c r="AD69" s="26">
        <f t="shared" si="29"/>
        <v>3.9135499633777826E-2</v>
      </c>
      <c r="AE69" s="21">
        <v>18.288854433778614</v>
      </c>
      <c r="AF69" s="22">
        <v>18.366734716303352</v>
      </c>
      <c r="AG69" s="22">
        <f t="shared" si="33"/>
        <v>18.327794575040983</v>
      </c>
      <c r="AH69" s="26">
        <f t="shared" si="34"/>
        <v>3.894014126236911E-2</v>
      </c>
      <c r="AI69" s="22">
        <f t="shared" si="35"/>
        <v>18.364460107489595</v>
      </c>
      <c r="AJ69" s="26">
        <f t="shared" si="36"/>
        <v>6.18419731929662E-2</v>
      </c>
    </row>
    <row r="70" spans="1:36">
      <c r="A70" s="49" t="s">
        <v>201</v>
      </c>
      <c r="B70" s="50">
        <v>302</v>
      </c>
      <c r="C70" s="51">
        <v>0.92009377299999995</v>
      </c>
      <c r="D70" s="51">
        <v>1.68297E-4</v>
      </c>
      <c r="E70" s="21">
        <v>18.40853091</v>
      </c>
      <c r="F70" s="26">
        <v>1.4E-2</v>
      </c>
      <c r="G70" s="23" t="s">
        <v>202</v>
      </c>
      <c r="H70" s="51">
        <v>0.90991602945190175</v>
      </c>
      <c r="I70" s="51">
        <v>6.1868787108247921E-5</v>
      </c>
      <c r="J70" s="51">
        <f t="shared" si="30"/>
        <v>0.90997789823900999</v>
      </c>
      <c r="K70" s="58">
        <f t="shared" si="31"/>
        <v>0.90985416066479352</v>
      </c>
      <c r="L70" s="22">
        <v>18.58283877008386</v>
      </c>
      <c r="M70" s="22">
        <v>18.615007268119747</v>
      </c>
      <c r="N70" s="22">
        <f t="shared" si="20"/>
        <v>18.598923019101804</v>
      </c>
      <c r="O70" s="26">
        <f t="shared" si="21"/>
        <v>1.6084249017943364E-2</v>
      </c>
      <c r="P70" s="21">
        <v>18.509269999382518</v>
      </c>
      <c r="Q70" s="22">
        <v>18.541280282540296</v>
      </c>
      <c r="R70" s="22">
        <f t="shared" si="22"/>
        <v>18.525275140961405</v>
      </c>
      <c r="S70" s="26">
        <f t="shared" si="23"/>
        <v>1.6005141578888882E-2</v>
      </c>
      <c r="T70" s="22">
        <f t="shared" si="24"/>
        <v>18.562099080031604</v>
      </c>
      <c r="U70" s="22">
        <f t="shared" si="25"/>
        <v>4.6381552372488775E-2</v>
      </c>
      <c r="V70" s="11">
        <f t="shared" si="26"/>
        <v>0.15356817003160472</v>
      </c>
      <c r="W70" s="23">
        <v>307.11040352610036</v>
      </c>
      <c r="X70" s="24">
        <v>307.11561008696373</v>
      </c>
      <c r="Y70" s="25">
        <f t="shared" si="27"/>
        <v>307.11300680653204</v>
      </c>
      <c r="Z70" s="25">
        <f t="shared" si="28"/>
        <v>7.1130068065320415</v>
      </c>
      <c r="AA70" s="22">
        <v>18.606178085224485</v>
      </c>
      <c r="AB70" s="22">
        <v>18.638369175549684</v>
      </c>
      <c r="AC70" s="22">
        <f t="shared" si="32"/>
        <v>18.622273630387085</v>
      </c>
      <c r="AD70" s="26">
        <f t="shared" si="29"/>
        <v>1.6095545162599478E-2</v>
      </c>
      <c r="AE70" s="21">
        <v>18.531825829791071</v>
      </c>
      <c r="AF70" s="22">
        <v>18.563857077955362</v>
      </c>
      <c r="AG70" s="22">
        <f t="shared" si="33"/>
        <v>18.547841453873218</v>
      </c>
      <c r="AH70" s="26">
        <f t="shared" si="34"/>
        <v>1.6015624082145408E-2</v>
      </c>
      <c r="AI70" s="22">
        <f t="shared" si="35"/>
        <v>18.585057542130151</v>
      </c>
      <c r="AJ70" s="26">
        <f t="shared" si="36"/>
        <v>4.6802003084751936E-2</v>
      </c>
    </row>
    <row r="71" spans="1:36">
      <c r="A71" s="49" t="s">
        <v>203</v>
      </c>
      <c r="B71" s="50">
        <v>500</v>
      </c>
      <c r="C71" s="51">
        <v>0.92111619199999994</v>
      </c>
      <c r="D71" s="51">
        <v>1.6376499999999999E-4</v>
      </c>
      <c r="E71" s="21">
        <v>18.703135339999999</v>
      </c>
      <c r="F71" s="26">
        <v>2.5000000000000001E-2</v>
      </c>
      <c r="G71" s="23" t="s">
        <v>204</v>
      </c>
      <c r="H71" s="51">
        <v>0.91279582089436573</v>
      </c>
      <c r="I71" s="51">
        <v>1.1178409621053345E-4</v>
      </c>
      <c r="J71" s="51">
        <f t="shared" si="30"/>
        <v>0.91290760499057622</v>
      </c>
      <c r="K71" s="58">
        <f t="shared" si="31"/>
        <v>0.91268403679815524</v>
      </c>
      <c r="L71" s="22">
        <v>18.868313894940695</v>
      </c>
      <c r="M71" s="22">
        <v>18.925528161339439</v>
      </c>
      <c r="N71" s="22">
        <f t="shared" si="20"/>
        <v>18.896921028140067</v>
      </c>
      <c r="O71" s="26">
        <f t="shared" si="21"/>
        <v>2.860713319937247E-2</v>
      </c>
      <c r="P71" s="21">
        <v>18.763806877577832</v>
      </c>
      <c r="Q71" s="22">
        <v>18.82066236985861</v>
      </c>
      <c r="R71" s="22">
        <f t="shared" si="22"/>
        <v>18.792234623718223</v>
      </c>
      <c r="S71" s="26">
        <f t="shared" si="23"/>
        <v>2.8427746140389232E-2</v>
      </c>
      <c r="T71" s="22">
        <f t="shared" si="24"/>
        <v>18.844577825929143</v>
      </c>
      <c r="U71" s="22">
        <f t="shared" si="25"/>
        <v>6.8828901177224636E-2</v>
      </c>
      <c r="V71" s="11">
        <f t="shared" si="26"/>
        <v>0.14144248592914366</v>
      </c>
      <c r="W71" s="23">
        <v>509.33544061699581</v>
      </c>
      <c r="X71" s="24">
        <v>509.3520281332016</v>
      </c>
      <c r="Y71" s="25">
        <f t="shared" si="27"/>
        <v>509.34373437509873</v>
      </c>
      <c r="Z71" s="25">
        <f t="shared" si="28"/>
        <v>209.34373437509873</v>
      </c>
      <c r="AA71" s="22">
        <v>18.922005198651263</v>
      </c>
      <c r="AB71" s="22">
        <v>18.979316980395861</v>
      </c>
      <c r="AC71" s="22">
        <f t="shared" si="32"/>
        <v>18.950661089523564</v>
      </c>
      <c r="AD71" s="26">
        <f t="shared" si="29"/>
        <v>2.8655890872299139E-2</v>
      </c>
      <c r="AE71" s="21">
        <v>18.815687134509169</v>
      </c>
      <c r="AF71" s="22">
        <v>18.872632967673187</v>
      </c>
      <c r="AG71" s="22">
        <f t="shared" si="33"/>
        <v>18.84416005109118</v>
      </c>
      <c r="AH71" s="26">
        <f t="shared" si="34"/>
        <v>2.8472916582009233E-2</v>
      </c>
      <c r="AI71" s="22">
        <f t="shared" si="35"/>
        <v>18.897410570307372</v>
      </c>
      <c r="AJ71" s="26">
        <f t="shared" si="36"/>
        <v>6.9776321934016422E-2</v>
      </c>
    </row>
    <row r="72" spans="1:36">
      <c r="A72" s="49" t="s">
        <v>205</v>
      </c>
      <c r="B72" s="50">
        <v>700</v>
      </c>
      <c r="C72" s="51">
        <v>0.92273679500000005</v>
      </c>
      <c r="D72" s="51">
        <v>1.2466800000000001E-4</v>
      </c>
      <c r="E72" s="21">
        <v>19.166596259999999</v>
      </c>
      <c r="F72" s="26">
        <v>2.5000000000000001E-2</v>
      </c>
      <c r="G72" s="23" t="s">
        <v>206</v>
      </c>
      <c r="H72" s="51">
        <v>0.91556992410474214</v>
      </c>
      <c r="I72" s="51">
        <v>1.0618516029516947E-4</v>
      </c>
      <c r="J72" s="51">
        <f t="shared" si="30"/>
        <v>0.91567610926503729</v>
      </c>
      <c r="K72" s="58">
        <f t="shared" si="31"/>
        <v>0.91546373894444699</v>
      </c>
      <c r="L72" s="22">
        <v>19.359634982035907</v>
      </c>
      <c r="M72" s="22">
        <v>19.413247967967674</v>
      </c>
      <c r="N72" s="22">
        <f t="shared" si="20"/>
        <v>19.386441475001789</v>
      </c>
      <c r="O72" s="26">
        <f t="shared" si="21"/>
        <v>2.6806492965883777E-2</v>
      </c>
      <c r="P72" s="21">
        <v>19.220146423006103</v>
      </c>
      <c r="Q72" s="22">
        <v>19.273334299960315</v>
      </c>
      <c r="R72" s="22">
        <f t="shared" si="22"/>
        <v>19.246740361483209</v>
      </c>
      <c r="S72" s="26">
        <f t="shared" si="23"/>
        <v>2.6593938477105894E-2</v>
      </c>
      <c r="T72" s="22">
        <f t="shared" si="24"/>
        <v>19.316590918242497</v>
      </c>
      <c r="U72" s="22">
        <f t="shared" si="25"/>
        <v>8.6348233674348726E-2</v>
      </c>
      <c r="V72" s="11">
        <f t="shared" si="26"/>
        <v>0.14999465824249825</v>
      </c>
      <c r="W72" s="23">
        <v>715.07127159110212</v>
      </c>
      <c r="X72" s="24">
        <v>715.09556043492989</v>
      </c>
      <c r="Y72" s="25">
        <f t="shared" si="27"/>
        <v>715.08341601301595</v>
      </c>
      <c r="Z72" s="25">
        <f t="shared" si="28"/>
        <v>415.08341601301595</v>
      </c>
      <c r="AA72" s="22">
        <v>19.452400880111291</v>
      </c>
      <c r="AB72" s="22">
        <v>19.506170390887135</v>
      </c>
      <c r="AC72" s="22">
        <f t="shared" si="32"/>
        <v>19.479285635499213</v>
      </c>
      <c r="AD72" s="26">
        <f t="shared" si="29"/>
        <v>2.6884755387921899E-2</v>
      </c>
      <c r="AE72" s="21">
        <v>19.309837101886878</v>
      </c>
      <c r="AF72" s="22">
        <v>19.36316981724163</v>
      </c>
      <c r="AG72" s="22">
        <f t="shared" si="33"/>
        <v>19.336503459564256</v>
      </c>
      <c r="AH72" s="26">
        <f t="shared" si="34"/>
        <v>2.666635767737624E-2</v>
      </c>
      <c r="AI72" s="22">
        <f t="shared" si="35"/>
        <v>19.407894547531733</v>
      </c>
      <c r="AJ72" s="26">
        <f t="shared" si="36"/>
        <v>8.8042639618187327E-2</v>
      </c>
    </row>
    <row r="73" spans="1:36">
      <c r="A73" s="49" t="s">
        <v>207</v>
      </c>
      <c r="B73" s="50">
        <v>900</v>
      </c>
      <c r="C73" s="51">
        <v>0.92457785699999995</v>
      </c>
      <c r="D73" s="51">
        <v>1.7582700000000001E-4</v>
      </c>
      <c r="E73" s="21">
        <v>19.582901379999999</v>
      </c>
      <c r="F73" s="26">
        <v>1.4999999999999999E-2</v>
      </c>
      <c r="G73" s="23" t="s">
        <v>208</v>
      </c>
      <c r="H73" s="51">
        <v>0.91883406448999905</v>
      </c>
      <c r="I73" s="51">
        <v>7.147587722424469E-5</v>
      </c>
      <c r="J73" s="51">
        <f t="shared" si="30"/>
        <v>0.91890554036722327</v>
      </c>
      <c r="K73" s="58">
        <f t="shared" si="31"/>
        <v>0.91876258861277482</v>
      </c>
      <c r="L73" s="22">
        <v>19.79974165604634</v>
      </c>
      <c r="M73" s="22">
        <v>19.835271815460288</v>
      </c>
      <c r="N73" s="22">
        <f t="shared" si="20"/>
        <v>19.817506735753312</v>
      </c>
      <c r="O73" s="26">
        <f t="shared" si="21"/>
        <v>1.7765079706974163E-2</v>
      </c>
      <c r="P73" s="21">
        <v>19.626576083554802</v>
      </c>
      <c r="Q73" s="22">
        <v>19.661760659040141</v>
      </c>
      <c r="R73" s="22">
        <f t="shared" si="22"/>
        <v>19.644168371297472</v>
      </c>
      <c r="S73" s="26">
        <f t="shared" si="23"/>
        <v>1.7592287742669299E-2</v>
      </c>
      <c r="T73" s="22">
        <f t="shared" si="24"/>
        <v>19.73083755352539</v>
      </c>
      <c r="U73" s="22">
        <f t="shared" si="25"/>
        <v>0.10213775319351566</v>
      </c>
      <c r="V73" s="11">
        <f t="shared" si="26"/>
        <v>0.14793617352539101</v>
      </c>
      <c r="W73" s="23">
        <v>922.26952993217083</v>
      </c>
      <c r="X73" s="24">
        <v>922.29264890989839</v>
      </c>
      <c r="Y73" s="25">
        <f t="shared" si="27"/>
        <v>922.28108942103461</v>
      </c>
      <c r="Z73" s="25">
        <f t="shared" si="28"/>
        <v>622.28108942103461</v>
      </c>
      <c r="AA73" s="22">
        <v>19.940610408187286</v>
      </c>
      <c r="AB73" s="22">
        <v>19.976295389718391</v>
      </c>
      <c r="AC73" s="22">
        <f t="shared" si="32"/>
        <v>19.958452898952839</v>
      </c>
      <c r="AD73" s="26">
        <f t="shared" si="29"/>
        <v>1.7842490765552554E-2</v>
      </c>
      <c r="AE73" s="21">
        <v>19.762906890991296</v>
      </c>
      <c r="AF73" s="22">
        <v>19.798234632683396</v>
      </c>
      <c r="AG73" s="22">
        <f t="shared" si="33"/>
        <v>19.780570761837346</v>
      </c>
      <c r="AH73" s="26">
        <f t="shared" si="34"/>
        <v>1.7663870846050145E-2</v>
      </c>
      <c r="AI73" s="22">
        <f t="shared" si="35"/>
        <v>19.869511830395091</v>
      </c>
      <c r="AJ73" s="26">
        <f t="shared" si="36"/>
        <v>0.10472629138973723</v>
      </c>
    </row>
    <row r="74" spans="1:36">
      <c r="A74" s="49"/>
      <c r="B74" s="50"/>
      <c r="C74" s="51"/>
      <c r="D74" s="51"/>
      <c r="E74" s="21"/>
      <c r="F74" s="26"/>
      <c r="G74" s="23"/>
      <c r="H74" s="51"/>
      <c r="I74" s="51"/>
      <c r="J74" s="51"/>
      <c r="K74" s="58"/>
      <c r="L74" s="22"/>
      <c r="M74" s="22"/>
      <c r="N74" s="22"/>
      <c r="O74" s="26"/>
      <c r="P74" s="21"/>
      <c r="Q74" s="22"/>
      <c r="R74" s="22"/>
      <c r="S74" s="26"/>
      <c r="T74" s="22"/>
      <c r="U74" s="22"/>
      <c r="V74" s="11"/>
      <c r="W74" s="23"/>
      <c r="X74" s="24"/>
      <c r="Y74" s="25"/>
      <c r="Z74" s="25"/>
      <c r="AA74" s="22"/>
      <c r="AB74" s="22"/>
      <c r="AC74" s="22"/>
      <c r="AD74" s="26"/>
      <c r="AE74" s="21"/>
      <c r="AF74" s="22"/>
      <c r="AG74" s="22"/>
      <c r="AH74" s="26"/>
      <c r="AI74" s="22"/>
      <c r="AJ74" s="26"/>
    </row>
    <row r="75" spans="1:36">
      <c r="A75" s="49" t="s">
        <v>209</v>
      </c>
      <c r="B75" s="50">
        <v>304</v>
      </c>
      <c r="C75" s="51">
        <v>0.91941779899999998</v>
      </c>
      <c r="D75" s="51">
        <v>1.74518E-4</v>
      </c>
      <c r="E75" s="21">
        <v>18.504821710000002</v>
      </c>
      <c r="F75" s="26">
        <v>3.3000000000000002E-2</v>
      </c>
      <c r="G75" s="23" t="s">
        <v>210</v>
      </c>
      <c r="H75" s="51">
        <v>0.90961187372557939</v>
      </c>
      <c r="I75" s="51">
        <v>1.3661197198868E-4</v>
      </c>
      <c r="J75" s="51">
        <f t="shared" si="30"/>
        <v>0.90974848569756805</v>
      </c>
      <c r="K75" s="58">
        <f t="shared" si="31"/>
        <v>0.90947526175359072</v>
      </c>
      <c r="L75" s="22">
        <v>18.651597571957691</v>
      </c>
      <c r="M75" s="22">
        <v>18.722743031958718</v>
      </c>
      <c r="N75" s="22">
        <f t="shared" si="20"/>
        <v>18.687170301958204</v>
      </c>
      <c r="O75" s="26">
        <f t="shared" si="21"/>
        <v>3.5572730000513531E-2</v>
      </c>
      <c r="P75" s="21">
        <v>18.577429500119862</v>
      </c>
      <c r="Q75" s="22">
        <v>18.648225028809016</v>
      </c>
      <c r="R75" s="22">
        <f t="shared" si="22"/>
        <v>18.612827264464439</v>
      </c>
      <c r="S75" s="26">
        <f t="shared" si="23"/>
        <v>3.5397764344576643E-2</v>
      </c>
      <c r="T75" s="22">
        <f t="shared" si="24"/>
        <v>18.649998783211323</v>
      </c>
      <c r="U75" s="22">
        <f t="shared" si="25"/>
        <v>5.9340062083909267E-2</v>
      </c>
      <c r="V75" s="11">
        <f t="shared" si="26"/>
        <v>0.14517707321132178</v>
      </c>
      <c r="W75" s="23">
        <v>309.15713867717557</v>
      </c>
      <c r="X75" s="24">
        <v>309.16869612135224</v>
      </c>
      <c r="Y75" s="25">
        <f t="shared" ref="Y75:Y89" si="37">(W75+X75)/2</f>
        <v>309.1629173992639</v>
      </c>
      <c r="Z75" s="25">
        <f t="shared" ref="Z75:Z89" si="38">Y75-300</f>
        <v>9.1629173992639039</v>
      </c>
      <c r="AA75" s="22">
        <v>18.675255455955146</v>
      </c>
      <c r="AB75" s="22">
        <v>18.74645134873326</v>
      </c>
      <c r="AC75" s="22">
        <f t="shared" si="32"/>
        <v>18.710853402344203</v>
      </c>
      <c r="AD75" s="26">
        <f t="shared" ref="AD75:AD89" si="39">ABS(AA75-AB75)/2</f>
        <v>3.5597946389057E-2</v>
      </c>
      <c r="AE75" s="21">
        <v>18.600291080097424</v>
      </c>
      <c r="AF75" s="22">
        <v>18.6711333943258</v>
      </c>
      <c r="AG75" s="22">
        <f t="shared" si="33"/>
        <v>18.635712237211614</v>
      </c>
      <c r="AH75" s="26">
        <f t="shared" ref="AH75:AH89" si="40">ABS(AE75-AF75)/2</f>
        <v>3.5421157114187807E-2</v>
      </c>
      <c r="AI75" s="22">
        <f t="shared" si="35"/>
        <v>18.67328281977791</v>
      </c>
      <c r="AJ75" s="26">
        <f t="shared" si="36"/>
        <v>5.9693492147624594E-2</v>
      </c>
    </row>
    <row r="76" spans="1:36">
      <c r="A76" s="49" t="s">
        <v>211</v>
      </c>
      <c r="B76" s="50">
        <v>300</v>
      </c>
      <c r="C76" s="51">
        <v>0.91481194600000004</v>
      </c>
      <c r="D76" s="51">
        <v>1.7346700000000001E-4</v>
      </c>
      <c r="E76" s="21">
        <v>19.832593639999999</v>
      </c>
      <c r="F76" s="26">
        <v>4.4999999999999998E-2</v>
      </c>
      <c r="G76" s="23" t="s">
        <v>212</v>
      </c>
      <c r="H76" s="51">
        <v>0.90439203973956939</v>
      </c>
      <c r="I76" s="51">
        <v>1.8966214641614012E-4</v>
      </c>
      <c r="J76" s="51">
        <f t="shared" si="30"/>
        <v>0.90458170188598552</v>
      </c>
      <c r="K76" s="58">
        <f t="shared" si="31"/>
        <v>0.90420237759315325</v>
      </c>
      <c r="L76" s="22">
        <v>19.99663862314241</v>
      </c>
      <c r="M76" s="22">
        <v>20.098211607726274</v>
      </c>
      <c r="N76" s="22">
        <f t="shared" si="20"/>
        <v>20.047425115434343</v>
      </c>
      <c r="O76" s="26">
        <f t="shared" si="21"/>
        <v>5.0786492291932106E-2</v>
      </c>
      <c r="P76" s="21">
        <v>19.916522427471907</v>
      </c>
      <c r="Q76" s="22">
        <v>20.017617642670622</v>
      </c>
      <c r="R76" s="22">
        <f t="shared" si="22"/>
        <v>19.967070035071266</v>
      </c>
      <c r="S76" s="26">
        <f t="shared" si="23"/>
        <v>5.0547607599357391E-2</v>
      </c>
      <c r="T76" s="22">
        <f t="shared" si="24"/>
        <v>20.007247575252805</v>
      </c>
      <c r="U76" s="22">
        <f t="shared" si="25"/>
        <v>7.4667252542710574E-2</v>
      </c>
      <c r="V76" s="11">
        <f t="shared" si="26"/>
        <v>0.17465393525280604</v>
      </c>
      <c r="W76" s="23">
        <v>305.29661828677581</v>
      </c>
      <c r="X76" s="24">
        <v>305.31211338311601</v>
      </c>
      <c r="Y76" s="25">
        <f t="shared" si="37"/>
        <v>305.30436583494588</v>
      </c>
      <c r="Z76" s="25">
        <f t="shared" si="38"/>
        <v>5.3043658349458838</v>
      </c>
      <c r="AA76" s="22">
        <v>20.020662064891347</v>
      </c>
      <c r="AB76" s="22">
        <v>20.122301485350821</v>
      </c>
      <c r="AC76" s="22">
        <f t="shared" si="32"/>
        <v>20.071481775121086</v>
      </c>
      <c r="AD76" s="26">
        <f t="shared" si="39"/>
        <v>5.081971022973697E-2</v>
      </c>
      <c r="AE76" s="21">
        <v>19.93970104156282</v>
      </c>
      <c r="AF76" s="22">
        <v>20.0408576177398</v>
      </c>
      <c r="AG76" s="22">
        <f t="shared" si="33"/>
        <v>19.990279329651308</v>
      </c>
      <c r="AH76" s="26">
        <f t="shared" si="40"/>
        <v>5.0578288088489742E-2</v>
      </c>
      <c r="AI76" s="22">
        <f t="shared" si="35"/>
        <v>20.030880552386197</v>
      </c>
      <c r="AJ76" s="26">
        <f t="shared" si="36"/>
        <v>7.5000998877492828E-2</v>
      </c>
    </row>
    <row r="77" spans="1:36">
      <c r="A77" s="49" t="s">
        <v>213</v>
      </c>
      <c r="B77" s="50">
        <v>300</v>
      </c>
      <c r="C77" s="51">
        <v>0.91083296000000002</v>
      </c>
      <c r="D77" s="51">
        <v>2.0728200000000001E-4</v>
      </c>
      <c r="E77" s="21">
        <v>20.48256451</v>
      </c>
      <c r="F77" s="26">
        <v>3.2000000000000001E-2</v>
      </c>
      <c r="G77" s="23" t="s">
        <v>214</v>
      </c>
      <c r="H77" s="51">
        <v>0.90193860320861985</v>
      </c>
      <c r="I77" s="51">
        <v>1.0858963286309223E-4</v>
      </c>
      <c r="J77" s="51">
        <f t="shared" si="30"/>
        <v>0.90204719284148294</v>
      </c>
      <c r="K77" s="58">
        <f t="shared" si="31"/>
        <v>0.90183001357575676</v>
      </c>
      <c r="L77" s="22">
        <v>20.679242407253255</v>
      </c>
      <c r="M77" s="22">
        <v>20.738165740227863</v>
      </c>
      <c r="N77" s="22">
        <f t="shared" si="20"/>
        <v>20.708704073740559</v>
      </c>
      <c r="O77" s="26">
        <f t="shared" si="21"/>
        <v>2.9461666487303972E-2</v>
      </c>
      <c r="P77" s="21">
        <v>20.595947681497343</v>
      </c>
      <c r="Q77" s="22">
        <v>20.65460029593612</v>
      </c>
      <c r="R77" s="22">
        <f t="shared" si="22"/>
        <v>20.625273988716732</v>
      </c>
      <c r="S77" s="26">
        <f t="shared" si="23"/>
        <v>2.9326307219388781E-2</v>
      </c>
      <c r="T77" s="22">
        <f t="shared" si="24"/>
        <v>20.666989031228646</v>
      </c>
      <c r="U77" s="22">
        <f t="shared" si="25"/>
        <v>5.892544233111692E-2</v>
      </c>
      <c r="V77" s="11">
        <f t="shared" si="26"/>
        <v>0.18442452122864594</v>
      </c>
      <c r="W77" s="23">
        <v>305.39970344010288</v>
      </c>
      <c r="X77" s="24">
        <v>305.40848826064627</v>
      </c>
      <c r="Y77" s="25">
        <f t="shared" si="37"/>
        <v>305.40409585037457</v>
      </c>
      <c r="Z77" s="25">
        <f t="shared" si="38"/>
        <v>5.4040958503745742</v>
      </c>
      <c r="AA77" s="22">
        <v>20.703707315934871</v>
      </c>
      <c r="AB77" s="22">
        <v>20.7626682140227</v>
      </c>
      <c r="AC77" s="22">
        <f t="shared" si="32"/>
        <v>20.733187764978787</v>
      </c>
      <c r="AD77" s="26">
        <f t="shared" si="39"/>
        <v>2.9480449043914447E-2</v>
      </c>
      <c r="AE77" s="21">
        <v>20.619533662498792</v>
      </c>
      <c r="AF77" s="22">
        <v>20.67822089929431</v>
      </c>
      <c r="AG77" s="22">
        <f t="shared" si="33"/>
        <v>20.648877280896549</v>
      </c>
      <c r="AH77" s="26">
        <f t="shared" si="40"/>
        <v>2.9343618397758675E-2</v>
      </c>
      <c r="AI77" s="22">
        <f t="shared" si="35"/>
        <v>20.691032522937668</v>
      </c>
      <c r="AJ77" s="26">
        <f t="shared" si="36"/>
        <v>5.9353593991683717E-2</v>
      </c>
    </row>
    <row r="78" spans="1:36">
      <c r="A78" s="49" t="s">
        <v>215</v>
      </c>
      <c r="B78" s="50">
        <v>300</v>
      </c>
      <c r="C78" s="51">
        <v>0.89628644000000002</v>
      </c>
      <c r="D78" s="51">
        <v>3.2756840000000001E-3</v>
      </c>
      <c r="E78" s="21">
        <v>21.04722538</v>
      </c>
      <c r="F78" s="26">
        <v>3.2000000000000001E-2</v>
      </c>
      <c r="G78" s="23" t="s">
        <v>216</v>
      </c>
      <c r="H78" s="51">
        <v>0.89983247999346694</v>
      </c>
      <c r="I78" s="51">
        <v>1.1325775306498316E-4</v>
      </c>
      <c r="J78" s="51">
        <f t="shared" si="30"/>
        <v>0.89994573774653197</v>
      </c>
      <c r="K78" s="58">
        <f t="shared" si="31"/>
        <v>0.89971922224040191</v>
      </c>
      <c r="L78" s="22">
        <v>21.252277520079172</v>
      </c>
      <c r="M78" s="22">
        <v>21.314430594242612</v>
      </c>
      <c r="N78" s="22">
        <f t="shared" si="20"/>
        <v>21.283354057160892</v>
      </c>
      <c r="O78" s="26">
        <f t="shared" si="21"/>
        <v>3.107653708172009E-2</v>
      </c>
      <c r="P78" s="21">
        <v>21.166376054187555</v>
      </c>
      <c r="Q78" s="22">
        <v>21.228249963432489</v>
      </c>
      <c r="R78" s="22">
        <f t="shared" si="22"/>
        <v>21.197313008810021</v>
      </c>
      <c r="S78" s="26">
        <f t="shared" si="23"/>
        <v>3.0936954622466928E-2</v>
      </c>
      <c r="T78" s="22">
        <f t="shared" si="24"/>
        <v>21.240333532985456</v>
      </c>
      <c r="U78" s="22">
        <f t="shared" si="25"/>
        <v>6.1233854029517899E-2</v>
      </c>
      <c r="V78" s="11">
        <f t="shared" si="26"/>
        <v>0.19310815298545592</v>
      </c>
      <c r="W78" s="23">
        <v>305.48439234486966</v>
      </c>
      <c r="X78" s="24">
        <v>305.49347950861863</v>
      </c>
      <c r="Y78" s="25">
        <f t="shared" si="37"/>
        <v>305.48893592674415</v>
      </c>
      <c r="Z78" s="25">
        <f t="shared" si="38"/>
        <v>5.4889359267441478</v>
      </c>
      <c r="AA78" s="22">
        <v>21.277104199072262</v>
      </c>
      <c r="AB78" s="22">
        <v>21.339296041983609</v>
      </c>
      <c r="AC78" s="22">
        <f t="shared" si="32"/>
        <v>21.308200120527935</v>
      </c>
      <c r="AD78" s="26">
        <f t="shared" si="39"/>
        <v>3.1095921455673192E-2</v>
      </c>
      <c r="AE78" s="21">
        <v>21.190295195686218</v>
      </c>
      <c r="AF78" s="22">
        <v>21.25220477194911</v>
      </c>
      <c r="AG78" s="22">
        <f t="shared" si="33"/>
        <v>21.221249983817664</v>
      </c>
      <c r="AH78" s="26">
        <f t="shared" si="40"/>
        <v>3.095478813144581E-2</v>
      </c>
      <c r="AI78" s="22">
        <f t="shared" si="35"/>
        <v>21.2647250521728</v>
      </c>
      <c r="AJ78" s="26">
        <f t="shared" si="36"/>
        <v>6.1672891810516654E-2</v>
      </c>
    </row>
    <row r="79" spans="1:36">
      <c r="A79" s="49" t="s">
        <v>217</v>
      </c>
      <c r="B79" s="50">
        <v>700</v>
      </c>
      <c r="C79" s="51">
        <v>0.91356816900000004</v>
      </c>
      <c r="D79" s="51">
        <v>1.7702399999999999E-4</v>
      </c>
      <c r="E79" s="21">
        <v>21.739480499999999</v>
      </c>
      <c r="F79" s="26">
        <v>2.8000000000000001E-2</v>
      </c>
      <c r="G79" s="23" t="s">
        <v>218</v>
      </c>
      <c r="H79" s="51">
        <v>0.90538898917523747</v>
      </c>
      <c r="I79" s="51">
        <v>1.0239191941852083E-4</v>
      </c>
      <c r="J79" s="51">
        <f t="shared" si="30"/>
        <v>0.90549138109465599</v>
      </c>
      <c r="K79" s="58">
        <f t="shared" si="31"/>
        <v>0.90528659725581895</v>
      </c>
      <c r="L79" s="22">
        <v>22.000719357430409</v>
      </c>
      <c r="M79" s="22">
        <v>22.055315893174402</v>
      </c>
      <c r="N79" s="22">
        <f t="shared" si="20"/>
        <v>22.028017625302404</v>
      </c>
      <c r="O79" s="26">
        <f t="shared" si="21"/>
        <v>2.7298267871996629E-2</v>
      </c>
      <c r="P79" s="21">
        <v>21.840813578219585</v>
      </c>
      <c r="Q79" s="22">
        <v>21.895000950612808</v>
      </c>
      <c r="R79" s="22">
        <f t="shared" si="22"/>
        <v>21.867907264416196</v>
      </c>
      <c r="S79" s="26">
        <f t="shared" si="23"/>
        <v>2.7093686196611344E-2</v>
      </c>
      <c r="T79" s="22">
        <f t="shared" si="24"/>
        <v>21.9479624448593</v>
      </c>
      <c r="U79" s="22">
        <f t="shared" si="25"/>
        <v>9.7628298807561686E-2</v>
      </c>
      <c r="V79" s="11">
        <f t="shared" si="26"/>
        <v>0.20848194485930094</v>
      </c>
      <c r="W79" s="23">
        <v>716.21540698247418</v>
      </c>
      <c r="X79" s="24">
        <v>716.23799700743689</v>
      </c>
      <c r="Y79" s="25">
        <f t="shared" si="37"/>
        <v>716.22670199495553</v>
      </c>
      <c r="Z79" s="25">
        <f t="shared" si="38"/>
        <v>416.22670199495553</v>
      </c>
      <c r="AA79" s="22">
        <v>22.10090392995027</v>
      </c>
      <c r="AB79" s="22">
        <v>22.155647916625625</v>
      </c>
      <c r="AC79" s="22">
        <f t="shared" si="32"/>
        <v>22.128275923287948</v>
      </c>
      <c r="AD79" s="26">
        <f t="shared" si="39"/>
        <v>2.737199333767748E-2</v>
      </c>
      <c r="AE79" s="21">
        <v>21.937339136792161</v>
      </c>
      <c r="AF79" s="22">
        <v>21.991661734387751</v>
      </c>
      <c r="AG79" s="22">
        <f t="shared" si="33"/>
        <v>21.964500435589954</v>
      </c>
      <c r="AH79" s="26">
        <f t="shared" si="40"/>
        <v>2.7161298797794942E-2</v>
      </c>
      <c r="AI79" s="22">
        <f t="shared" si="35"/>
        <v>22.046388179438949</v>
      </c>
      <c r="AJ79" s="26">
        <f t="shared" si="36"/>
        <v>9.9659979788005337E-2</v>
      </c>
    </row>
    <row r="80" spans="1:36">
      <c r="A80" s="49" t="s">
        <v>219</v>
      </c>
      <c r="B80" s="50">
        <v>1100</v>
      </c>
      <c r="C80" s="51">
        <v>0.91728567999999999</v>
      </c>
      <c r="D80" s="51">
        <v>1.92277E-4</v>
      </c>
      <c r="E80" s="21">
        <v>22.407080709999999</v>
      </c>
      <c r="F80" s="26">
        <v>2.4E-2</v>
      </c>
      <c r="G80" s="23" t="s">
        <v>220</v>
      </c>
      <c r="H80" s="51">
        <v>0.91241994745138266</v>
      </c>
      <c r="I80" s="51">
        <v>8.6084321094829719E-5</v>
      </c>
      <c r="J80" s="51">
        <f t="shared" si="30"/>
        <v>0.91250603177247747</v>
      </c>
      <c r="K80" s="58">
        <f t="shared" si="31"/>
        <v>0.91233386313028786</v>
      </c>
      <c r="L80" s="22">
        <v>22.695028859838025</v>
      </c>
      <c r="M80" s="22">
        <v>22.739418948293263</v>
      </c>
      <c r="N80" s="22">
        <f t="shared" si="20"/>
        <v>22.717223904065644</v>
      </c>
      <c r="O80" s="26">
        <f t="shared" si="21"/>
        <v>2.2195044227618865E-2</v>
      </c>
      <c r="P80" s="21">
        <v>22.462390984055716</v>
      </c>
      <c r="Q80" s="22">
        <v>22.506284106085658</v>
      </c>
      <c r="R80" s="22">
        <f t="shared" si="22"/>
        <v>22.484337545070687</v>
      </c>
      <c r="S80" s="26">
        <f t="shared" si="23"/>
        <v>2.1946561014971167E-2</v>
      </c>
      <c r="T80" s="22">
        <f t="shared" si="24"/>
        <v>22.600780724568164</v>
      </c>
      <c r="U80" s="22">
        <f t="shared" si="25"/>
        <v>0.13685101298276606</v>
      </c>
      <c r="V80" s="11">
        <f t="shared" si="26"/>
        <v>0.1937000145681651</v>
      </c>
      <c r="W80" s="23">
        <v>1133.06744313641</v>
      </c>
      <c r="X80" s="24">
        <v>1133.1034390269233</v>
      </c>
      <c r="Y80" s="25">
        <f t="shared" si="37"/>
        <v>1133.0854410816667</v>
      </c>
      <c r="Z80" s="25">
        <f t="shared" si="38"/>
        <v>833.08544108166666</v>
      </c>
      <c r="AA80" s="22">
        <v>22.907908777258342</v>
      </c>
      <c r="AB80" s="22">
        <v>22.952548448486812</v>
      </c>
      <c r="AC80" s="22">
        <f t="shared" si="32"/>
        <v>22.930228612872575</v>
      </c>
      <c r="AD80" s="26">
        <f t="shared" si="39"/>
        <v>2.2319835614235117E-2</v>
      </c>
      <c r="AE80" s="21">
        <v>22.667944826085886</v>
      </c>
      <c r="AF80" s="22">
        <v>22.712066639882185</v>
      </c>
      <c r="AG80" s="22">
        <f t="shared" si="33"/>
        <v>22.690005732984034</v>
      </c>
      <c r="AH80" s="26">
        <f t="shared" si="40"/>
        <v>2.2060906898149213E-2</v>
      </c>
      <c r="AI80" s="22">
        <f t="shared" si="35"/>
        <v>22.810117172928305</v>
      </c>
      <c r="AJ80" s="26">
        <f t="shared" si="36"/>
        <v>0.14103988723286204</v>
      </c>
    </row>
    <row r="81" spans="1:36">
      <c r="A81" s="49" t="s">
        <v>221</v>
      </c>
      <c r="B81" s="50">
        <v>1300</v>
      </c>
      <c r="C81" s="51">
        <v>0.91980304199999996</v>
      </c>
      <c r="D81" s="51">
        <v>1.4654100000000001E-4</v>
      </c>
      <c r="E81" s="21">
        <v>22.77929361</v>
      </c>
      <c r="F81" s="26">
        <v>4.9000000000000002E-2</v>
      </c>
      <c r="G81" s="23" t="s">
        <v>222</v>
      </c>
      <c r="H81" s="51">
        <v>0.91608571891399082</v>
      </c>
      <c r="I81" s="51">
        <v>1.8654760381731647E-4</v>
      </c>
      <c r="J81" s="51">
        <f t="shared" si="30"/>
        <v>0.91627226651780813</v>
      </c>
      <c r="K81" s="58">
        <f t="shared" si="31"/>
        <v>0.91589917131017351</v>
      </c>
      <c r="L81" s="22">
        <v>23.024285466788179</v>
      </c>
      <c r="M81" s="22">
        <v>23.118837781549807</v>
      </c>
      <c r="N81" s="22">
        <f t="shared" si="20"/>
        <v>23.071561624168993</v>
      </c>
      <c r="O81" s="26">
        <f t="shared" si="21"/>
        <v>4.7276157380814254E-2</v>
      </c>
      <c r="P81" s="21">
        <v>22.759696852160193</v>
      </c>
      <c r="Q81" s="22">
        <v>22.853008902913452</v>
      </c>
      <c r="R81" s="22">
        <f t="shared" si="22"/>
        <v>22.806352877536824</v>
      </c>
      <c r="S81" s="26">
        <f t="shared" si="23"/>
        <v>4.6656025376629273E-2</v>
      </c>
      <c r="T81" s="22">
        <f t="shared" si="24"/>
        <v>22.938957250852908</v>
      </c>
      <c r="U81" s="22">
        <f t="shared" si="25"/>
        <v>0.16243903349819924</v>
      </c>
      <c r="V81" s="11">
        <f t="shared" si="26"/>
        <v>0.15966364085290863</v>
      </c>
      <c r="W81" s="23">
        <v>1343.8590672055911</v>
      </c>
      <c r="X81" s="24">
        <v>1343.9587977848023</v>
      </c>
      <c r="Y81" s="25">
        <f t="shared" si="37"/>
        <v>1343.9089324951967</v>
      </c>
      <c r="Z81" s="25">
        <f t="shared" si="38"/>
        <v>1043.9089324951967</v>
      </c>
      <c r="AA81" s="22">
        <v>23.308518740408111</v>
      </c>
      <c r="AB81" s="22">
        <v>23.403770359000902</v>
      </c>
      <c r="AC81" s="22">
        <f t="shared" si="32"/>
        <v>23.356144549704506</v>
      </c>
      <c r="AD81" s="26">
        <f t="shared" si="39"/>
        <v>4.7625809296395261E-2</v>
      </c>
      <c r="AE81" s="21">
        <v>23.034495159475338</v>
      </c>
      <c r="AF81" s="22">
        <v>23.1284477431815</v>
      </c>
      <c r="AG81" s="22">
        <f t="shared" si="33"/>
        <v>23.081471451328419</v>
      </c>
      <c r="AH81" s="26">
        <f t="shared" si="40"/>
        <v>4.6976291853081165E-2</v>
      </c>
      <c r="AI81" s="22">
        <f t="shared" si="35"/>
        <v>23.218808000516461</v>
      </c>
      <c r="AJ81" s="26">
        <f t="shared" si="36"/>
        <v>0.16772526184838196</v>
      </c>
    </row>
    <row r="82" spans="1:36">
      <c r="A82" s="49" t="s">
        <v>223</v>
      </c>
      <c r="B82" s="50">
        <v>1400</v>
      </c>
      <c r="C82" s="51">
        <v>0.92093099</v>
      </c>
      <c r="D82" s="51">
        <v>1.5803099999999999E-4</v>
      </c>
      <c r="E82" s="21">
        <v>22.99290714</v>
      </c>
      <c r="F82" s="26">
        <v>0.10299999999999999</v>
      </c>
      <c r="G82" s="23" t="s">
        <v>224</v>
      </c>
      <c r="H82" s="51">
        <v>0.91786317434991649</v>
      </c>
      <c r="I82" s="51">
        <v>1.8448518687933942E-4</v>
      </c>
      <c r="J82" s="51">
        <f t="shared" si="30"/>
        <v>0.91804765953679579</v>
      </c>
      <c r="K82" s="58">
        <f t="shared" si="31"/>
        <v>0.91767868916303719</v>
      </c>
      <c r="L82" s="22">
        <v>23.2249792789937</v>
      </c>
      <c r="M82" s="22">
        <v>23.317715242441295</v>
      </c>
      <c r="N82" s="22">
        <f t="shared" si="20"/>
        <v>23.271347260717498</v>
      </c>
      <c r="O82" s="26">
        <f t="shared" si="21"/>
        <v>4.6367981723797413E-2</v>
      </c>
      <c r="P82" s="21">
        <v>22.945151083461361</v>
      </c>
      <c r="Q82" s="22">
        <v>23.036581031060585</v>
      </c>
      <c r="R82" s="22">
        <f t="shared" si="22"/>
        <v>22.990866057260973</v>
      </c>
      <c r="S82" s="26">
        <f t="shared" si="23"/>
        <v>4.5714973799611869E-2</v>
      </c>
      <c r="T82" s="22">
        <f t="shared" si="24"/>
        <v>23.131106658989239</v>
      </c>
      <c r="U82" s="22">
        <f t="shared" si="25"/>
        <v>0.17044002132685415</v>
      </c>
      <c r="V82" s="11">
        <f t="shared" si="26"/>
        <v>0.13819951898923932</v>
      </c>
      <c r="W82" s="23">
        <v>1449.9051854662409</v>
      </c>
      <c r="X82" s="24">
        <v>1450.0152372885932</v>
      </c>
      <c r="Y82" s="25">
        <f t="shared" si="37"/>
        <v>1449.9602113774172</v>
      </c>
      <c r="Z82" s="25">
        <f t="shared" si="38"/>
        <v>1149.9602113774172</v>
      </c>
      <c r="AA82" s="22">
        <v>23.549056055453249</v>
      </c>
      <c r="AB82" s="22">
        <v>23.64256670739066</v>
      </c>
      <c r="AC82" s="22">
        <f t="shared" si="32"/>
        <v>23.595811381421953</v>
      </c>
      <c r="AD82" s="26">
        <f t="shared" si="39"/>
        <v>4.6755325968705463E-2</v>
      </c>
      <c r="AE82" s="21">
        <v>23.258658160345203</v>
      </c>
      <c r="AF82" s="22">
        <v>23.350797506139063</v>
      </c>
      <c r="AG82" s="22">
        <f t="shared" si="33"/>
        <v>23.304727833242133</v>
      </c>
      <c r="AH82" s="26">
        <f t="shared" si="40"/>
        <v>4.6069672896930314E-2</v>
      </c>
      <c r="AI82" s="22">
        <f t="shared" si="35"/>
        <v>23.450269607332043</v>
      </c>
      <c r="AJ82" s="26">
        <f t="shared" si="36"/>
        <v>0.17639593963155242</v>
      </c>
    </row>
    <row r="83" spans="1:36">
      <c r="A83" s="49" t="s">
        <v>225</v>
      </c>
      <c r="B83" s="50">
        <v>1500</v>
      </c>
      <c r="C83" s="51">
        <v>0.92213227799999997</v>
      </c>
      <c r="D83" s="51">
        <v>1.27873E-4</v>
      </c>
      <c r="E83" s="21">
        <v>23.179292459999999</v>
      </c>
      <c r="F83" s="26">
        <v>3.5000000000000003E-2</v>
      </c>
      <c r="G83" s="23" t="s">
        <v>226</v>
      </c>
      <c r="H83" s="51">
        <v>0.91978483469385441</v>
      </c>
      <c r="I83" s="51">
        <v>1.4345012676052183E-4</v>
      </c>
      <c r="J83" s="51">
        <f t="shared" si="30"/>
        <v>0.91992828482061495</v>
      </c>
      <c r="K83" s="58">
        <f t="shared" si="31"/>
        <v>0.91964138456709388</v>
      </c>
      <c r="L83" s="22">
        <v>23.404325447323508</v>
      </c>
      <c r="M83" s="22">
        <v>23.475785109379224</v>
      </c>
      <c r="N83" s="22">
        <f t="shared" si="20"/>
        <v>23.440055278351366</v>
      </c>
      <c r="O83" s="26">
        <f t="shared" si="21"/>
        <v>3.5729831027857983E-2</v>
      </c>
      <c r="P83" s="21">
        <v>23.110370206010533</v>
      </c>
      <c r="Q83" s="22">
        <v>23.180753742954728</v>
      </c>
      <c r="R83" s="22">
        <f t="shared" si="22"/>
        <v>23.145561974482632</v>
      </c>
      <c r="S83" s="26">
        <f t="shared" si="23"/>
        <v>3.5191768472097706E-2</v>
      </c>
      <c r="T83" s="22">
        <f t="shared" si="24"/>
        <v>23.292808626416999</v>
      </c>
      <c r="U83" s="22">
        <f t="shared" si="25"/>
        <v>0.174887076719493</v>
      </c>
      <c r="V83" s="11">
        <f t="shared" si="26"/>
        <v>0.11351616641699991</v>
      </c>
      <c r="W83" s="23">
        <v>1556.343340928187</v>
      </c>
      <c r="X83" s="24">
        <v>1556.4381568427987</v>
      </c>
      <c r="Y83" s="25">
        <f t="shared" si="37"/>
        <v>1556.3907488854929</v>
      </c>
      <c r="Z83" s="25">
        <f t="shared" si="38"/>
        <v>1256.3907488854929</v>
      </c>
      <c r="AA83" s="22">
        <v>23.770726610558231</v>
      </c>
      <c r="AB83" s="22">
        <v>23.842855625530106</v>
      </c>
      <c r="AC83" s="22">
        <f t="shared" si="32"/>
        <v>23.806791118044167</v>
      </c>
      <c r="AD83" s="26">
        <f t="shared" si="39"/>
        <v>3.6064507485937369E-2</v>
      </c>
      <c r="AE83" s="21">
        <v>23.465047210558126</v>
      </c>
      <c r="AF83" s="22">
        <v>23.536043593342775</v>
      </c>
      <c r="AG83" s="22">
        <f t="shared" si="33"/>
        <v>23.50054540195045</v>
      </c>
      <c r="AH83" s="26">
        <f t="shared" si="40"/>
        <v>3.5498191392324685E-2</v>
      </c>
      <c r="AI83" s="22">
        <f>AVERAGE(AA83,AB83,AE83,AF83)</f>
        <v>23.65366825999731</v>
      </c>
      <c r="AJ83" s="26">
        <f>STDEV(AA83,AB83,AE83,AF83)</f>
        <v>0.18157457532229282</v>
      </c>
    </row>
    <row r="84" spans="1:36">
      <c r="A84" s="49" t="s">
        <v>227</v>
      </c>
      <c r="B84" s="50">
        <v>1300</v>
      </c>
      <c r="C84" s="51">
        <v>0.91957873300000004</v>
      </c>
      <c r="D84" s="51">
        <v>1.53339E-4</v>
      </c>
      <c r="E84" s="21">
        <v>22.926553089999999</v>
      </c>
      <c r="F84" s="26">
        <v>3.0999999999999999E-3</v>
      </c>
      <c r="G84" s="23" t="s">
        <v>228</v>
      </c>
      <c r="H84" s="51">
        <v>0.91548504495206484</v>
      </c>
      <c r="I84" s="51">
        <v>1.2071669335737464E-4</v>
      </c>
      <c r="J84" s="51">
        <f t="shared" si="30"/>
        <v>0.91560576164542218</v>
      </c>
      <c r="K84" s="58">
        <f t="shared" si="31"/>
        <v>0.9153643282587075</v>
      </c>
      <c r="L84" s="22">
        <v>23.19332884739304</v>
      </c>
      <c r="M84" s="22">
        <v>23.254712232746339</v>
      </c>
      <c r="N84" s="22">
        <f t="shared" si="20"/>
        <v>23.224020540069688</v>
      </c>
      <c r="O84" s="26">
        <f t="shared" si="21"/>
        <v>3.0691692676649396E-2</v>
      </c>
      <c r="P84" s="21">
        <v>22.92652403207352</v>
      </c>
      <c r="Q84" s="22">
        <v>22.987103999116236</v>
      </c>
      <c r="R84" s="22">
        <f t="shared" si="22"/>
        <v>22.95681401559488</v>
      </c>
      <c r="S84" s="26">
        <f t="shared" si="23"/>
        <v>3.0289983521358366E-2</v>
      </c>
      <c r="T84" s="22">
        <f t="shared" si="24"/>
        <v>23.09041727783228</v>
      </c>
      <c r="U84" s="22">
        <f t="shared" si="25"/>
        <v>0.1582384834398935</v>
      </c>
      <c r="V84" s="11">
        <f t="shared" si="26"/>
        <v>0.16386418783228152</v>
      </c>
      <c r="W84" s="23">
        <v>1344.03715864132</v>
      </c>
      <c r="X84" s="24">
        <v>1344.1015925967508</v>
      </c>
      <c r="Y84" s="25">
        <f t="shared" si="37"/>
        <v>1344.0693756190353</v>
      </c>
      <c r="Z84" s="25">
        <f t="shared" si="38"/>
        <v>1044.0693756190353</v>
      </c>
      <c r="AA84" s="22">
        <v>23.478811189293509</v>
      </c>
      <c r="AB84" s="22">
        <v>23.540646831484338</v>
      </c>
      <c r="AC84" s="22">
        <f t="shared" si="32"/>
        <v>23.509729010388924</v>
      </c>
      <c r="AD84" s="26">
        <f t="shared" si="39"/>
        <v>3.0917821095414411E-2</v>
      </c>
      <c r="AE84" s="21">
        <v>23.202466288270557</v>
      </c>
      <c r="AF84" s="22">
        <v>23.263460288281379</v>
      </c>
      <c r="AG84" s="22">
        <f t="shared" si="33"/>
        <v>23.232963288275968</v>
      </c>
      <c r="AH84" s="26">
        <f t="shared" si="40"/>
        <v>3.0497000005411223E-2</v>
      </c>
      <c r="AI84" s="22">
        <f t="shared" ref="AI84:AI99" si="41">AVERAGE(AA84,AB84,AE84,AF84)</f>
        <v>23.371346149332446</v>
      </c>
      <c r="AJ84" s="26">
        <f t="shared" ref="AJ84:AJ99" si="42">STDEV(AA84,AB84,AE84,AF84)</f>
        <v>0.16367775482936162</v>
      </c>
    </row>
    <row r="85" spans="1:36">
      <c r="A85" s="49" t="s">
        <v>229</v>
      </c>
      <c r="B85" s="50">
        <v>1100</v>
      </c>
      <c r="C85" s="51">
        <v>0.91766220600000004</v>
      </c>
      <c r="D85" s="51">
        <v>1.3703000000000001E-4</v>
      </c>
      <c r="E85" s="21">
        <v>22.496196319999999</v>
      </c>
      <c r="F85" s="26">
        <v>2.9000000000000001E-2</v>
      </c>
      <c r="G85" s="23" t="s">
        <v>230</v>
      </c>
      <c r="H85" s="51">
        <v>0.91206307598542802</v>
      </c>
      <c r="I85" s="51">
        <v>1.1479423579056109E-4</v>
      </c>
      <c r="J85" s="51">
        <f t="shared" si="30"/>
        <v>0.91217787022121855</v>
      </c>
      <c r="K85" s="58">
        <f t="shared" si="31"/>
        <v>0.91194828174963749</v>
      </c>
      <c r="L85" s="22">
        <v>22.779673891391326</v>
      </c>
      <c r="M85" s="22">
        <v>22.838981958479749</v>
      </c>
      <c r="N85" s="22">
        <f t="shared" si="20"/>
        <v>22.809327924935538</v>
      </c>
      <c r="O85" s="26">
        <f t="shared" si="21"/>
        <v>2.96540335442117E-2</v>
      </c>
      <c r="P85" s="21">
        <v>22.546088704514592</v>
      </c>
      <c r="Q85" s="22">
        <v>22.604733843847548</v>
      </c>
      <c r="R85" s="22">
        <f t="shared" si="22"/>
        <v>22.575411274181072</v>
      </c>
      <c r="S85" s="26">
        <f t="shared" si="23"/>
        <v>2.932256966647806E-2</v>
      </c>
      <c r="T85" s="22">
        <f t="shared" si="24"/>
        <v>22.692369599558305</v>
      </c>
      <c r="U85" s="22">
        <f t="shared" si="25"/>
        <v>0.13927831740171795</v>
      </c>
      <c r="V85" s="11">
        <f t="shared" si="26"/>
        <v>0.19617327955830532</v>
      </c>
      <c r="W85" s="23">
        <v>1133.1360375138668</v>
      </c>
      <c r="X85" s="24">
        <v>1133.1839888463592</v>
      </c>
      <c r="Y85" s="25">
        <f t="shared" si="37"/>
        <v>1133.1600131801129</v>
      </c>
      <c r="Z85" s="25">
        <f t="shared" si="38"/>
        <v>833.16001318011286</v>
      </c>
      <c r="AA85" s="22">
        <v>22.993029477715563</v>
      </c>
      <c r="AB85" s="22">
        <v>23.05267021369427</v>
      </c>
      <c r="AC85" s="22">
        <f t="shared" si="32"/>
        <v>23.022849845704918</v>
      </c>
      <c r="AD85" s="26">
        <f t="shared" si="39"/>
        <v>2.9820367989353613E-2</v>
      </c>
      <c r="AE85" s="21">
        <v>22.752078370565641</v>
      </c>
      <c r="AF85" s="22">
        <v>22.811028238364187</v>
      </c>
      <c r="AG85" s="22">
        <f t="shared" si="33"/>
        <v>22.781553304464914</v>
      </c>
      <c r="AH85" s="26">
        <f t="shared" si="40"/>
        <v>2.9474933899273026E-2</v>
      </c>
      <c r="AI85" s="22">
        <f t="shared" si="41"/>
        <v>22.902201575084916</v>
      </c>
      <c r="AJ85" s="26">
        <f t="shared" si="42"/>
        <v>0.14345739549329864</v>
      </c>
    </row>
    <row r="86" spans="1:36">
      <c r="A86" s="49" t="s">
        <v>231</v>
      </c>
      <c r="B86" s="50">
        <v>900</v>
      </c>
      <c r="C86" s="51">
        <v>0.915431145</v>
      </c>
      <c r="D86" s="51">
        <v>1.5782599999999999E-4</v>
      </c>
      <c r="E86" s="21">
        <v>22.16162216</v>
      </c>
      <c r="F86" s="26">
        <v>3.7999999999999999E-2</v>
      </c>
      <c r="G86" s="23" t="s">
        <v>232</v>
      </c>
      <c r="H86" s="51">
        <v>0.90844066452331074</v>
      </c>
      <c r="I86" s="51">
        <v>1.4485264977060451E-4</v>
      </c>
      <c r="J86" s="51">
        <f t="shared" si="30"/>
        <v>0.90858551717308134</v>
      </c>
      <c r="K86" s="58">
        <f t="shared" si="31"/>
        <v>0.90829581187354014</v>
      </c>
      <c r="L86" s="22">
        <v>22.436032909288645</v>
      </c>
      <c r="M86" s="22">
        <v>22.512165079529481</v>
      </c>
      <c r="N86" s="22">
        <f t="shared" si="20"/>
        <v>22.474098994409061</v>
      </c>
      <c r="O86" s="26">
        <f t="shared" si="21"/>
        <v>3.8066085120417981E-2</v>
      </c>
      <c r="P86" s="21">
        <v>22.237748099740706</v>
      </c>
      <c r="Q86" s="22">
        <v>22.313172981352235</v>
      </c>
      <c r="R86" s="22">
        <f t="shared" si="22"/>
        <v>22.275460540546469</v>
      </c>
      <c r="S86" s="26">
        <f t="shared" si="23"/>
        <v>3.7712440805764302E-2</v>
      </c>
      <c r="T86" s="22">
        <f t="shared" si="24"/>
        <v>22.374779767477769</v>
      </c>
      <c r="U86" s="22">
        <f t="shared" si="25"/>
        <v>0.12274600524221788</v>
      </c>
      <c r="V86" s="11">
        <f t="shared" si="26"/>
        <v>0.21315760747776835</v>
      </c>
      <c r="W86" s="23">
        <v>923.91056574775382</v>
      </c>
      <c r="X86" s="24">
        <v>923.95584868546621</v>
      </c>
      <c r="Y86" s="25">
        <f t="shared" si="37"/>
        <v>923.93320721661007</v>
      </c>
      <c r="Z86" s="25">
        <f t="shared" si="38"/>
        <v>623.93320721661007</v>
      </c>
      <c r="AA86" s="22">
        <v>22.587972238401381</v>
      </c>
      <c r="AB86" s="22">
        <v>22.66441231529911</v>
      </c>
      <c r="AC86" s="22">
        <f t="shared" si="32"/>
        <v>22.626192276850247</v>
      </c>
      <c r="AD86" s="26">
        <f t="shared" si="39"/>
        <v>3.8220038448864457E-2</v>
      </c>
      <c r="AE86" s="21">
        <v>22.384270656773641</v>
      </c>
      <c r="AF86" s="22">
        <v>22.459977681838474</v>
      </c>
      <c r="AG86" s="22">
        <f t="shared" si="33"/>
        <v>22.422124169306059</v>
      </c>
      <c r="AH86" s="26">
        <f t="shared" si="40"/>
        <v>3.7853512532416644E-2</v>
      </c>
      <c r="AI86" s="22">
        <f t="shared" si="41"/>
        <v>22.524158223078153</v>
      </c>
      <c r="AJ86" s="26">
        <f t="shared" si="42"/>
        <v>0.12573929645211071</v>
      </c>
    </row>
    <row r="87" spans="1:36">
      <c r="A87" s="49" t="s">
        <v>233</v>
      </c>
      <c r="B87" s="50">
        <v>700</v>
      </c>
      <c r="C87" s="51">
        <v>0.91351194400000002</v>
      </c>
      <c r="D87" s="51">
        <v>1.5309500000000001E-4</v>
      </c>
      <c r="E87" s="21">
        <v>21.79731112</v>
      </c>
      <c r="F87" s="26">
        <v>2.1999999999999999E-2</v>
      </c>
      <c r="G87" s="23" t="s">
        <v>234</v>
      </c>
      <c r="H87" s="51">
        <v>0.9051662627296988</v>
      </c>
      <c r="I87" s="51">
        <v>7.8495886872075968E-5</v>
      </c>
      <c r="J87" s="51">
        <f t="shared" si="30"/>
        <v>0.90524475861657083</v>
      </c>
      <c r="K87" s="58">
        <f t="shared" si="31"/>
        <v>0.90508776684282677</v>
      </c>
      <c r="L87" s="22">
        <v>22.066477687110375</v>
      </c>
      <c r="M87" s="22">
        <v>22.108382585725902</v>
      </c>
      <c r="N87" s="22">
        <f t="shared" si="20"/>
        <v>22.087430136418138</v>
      </c>
      <c r="O87" s="26">
        <f t="shared" si="21"/>
        <v>2.0952449307763743E-2</v>
      </c>
      <c r="P87" s="21">
        <v>21.906079166792825</v>
      </c>
      <c r="Q87" s="22">
        <v>21.94767050772699</v>
      </c>
      <c r="R87" s="22">
        <f t="shared" si="22"/>
        <v>21.926874837259909</v>
      </c>
      <c r="S87" s="26">
        <f t="shared" si="23"/>
        <v>2.0795670467082417E-2</v>
      </c>
      <c r="T87" s="22">
        <f t="shared" si="24"/>
        <v>22.007152486839026</v>
      </c>
      <c r="U87" s="22">
        <f t="shared" si="25"/>
        <v>9.5779145559161019E-2</v>
      </c>
      <c r="V87" s="11">
        <f t="shared" si="26"/>
        <v>0.20984136683902577</v>
      </c>
      <c r="W87" s="23">
        <v>716.24261036796497</v>
      </c>
      <c r="X87" s="24">
        <v>716.25991533821207</v>
      </c>
      <c r="Y87" s="25">
        <f t="shared" si="37"/>
        <v>716.25126285308852</v>
      </c>
      <c r="Z87" s="25">
        <f t="shared" si="38"/>
        <v>416.25126285308852</v>
      </c>
      <c r="AA87" s="22">
        <v>22.166839827994735</v>
      </c>
      <c r="AB87" s="22">
        <v>22.208857713406289</v>
      </c>
      <c r="AC87" s="22">
        <f t="shared" si="32"/>
        <v>22.187848770700512</v>
      </c>
      <c r="AD87" s="26">
        <f t="shared" si="39"/>
        <v>2.100894270577669E-2</v>
      </c>
      <c r="AE87" s="21">
        <v>22.002767567851006</v>
      </c>
      <c r="AF87" s="22">
        <v>22.044462507104278</v>
      </c>
      <c r="AG87" s="22">
        <f t="shared" si="33"/>
        <v>22.02361503747764</v>
      </c>
      <c r="AH87" s="26">
        <f t="shared" si="40"/>
        <v>2.0847469626636084E-2</v>
      </c>
      <c r="AI87" s="22">
        <f t="shared" si="41"/>
        <v>22.105731904089076</v>
      </c>
      <c r="AJ87" s="26">
        <f t="shared" si="42"/>
        <v>9.785142556484494E-2</v>
      </c>
    </row>
    <row r="88" spans="1:36">
      <c r="A88" s="49" t="s">
        <v>235</v>
      </c>
      <c r="B88" s="50">
        <v>500</v>
      </c>
      <c r="C88" s="51">
        <v>0.91159690299999996</v>
      </c>
      <c r="D88" s="51">
        <v>1.9777799999999999E-4</v>
      </c>
      <c r="E88" s="21">
        <v>21.461670179999999</v>
      </c>
      <c r="F88" s="26">
        <v>2.3E-2</v>
      </c>
      <c r="G88" s="23" t="s">
        <v>236</v>
      </c>
      <c r="H88" s="51">
        <v>0.90208800653211874</v>
      </c>
      <c r="I88" s="51">
        <v>7.6490580378731546E-5</v>
      </c>
      <c r="J88" s="51">
        <f t="shared" si="30"/>
        <v>0.90216449711249747</v>
      </c>
      <c r="K88" s="58">
        <f t="shared" si="31"/>
        <v>0.90201151595174001</v>
      </c>
      <c r="L88" s="22">
        <v>21.696545585375741</v>
      </c>
      <c r="M88" s="22">
        <v>21.738006200129366</v>
      </c>
      <c r="N88" s="22">
        <f t="shared" si="20"/>
        <v>21.717275892752554</v>
      </c>
      <c r="O88" s="26">
        <f t="shared" si="21"/>
        <v>2.0730307376812362E-2</v>
      </c>
      <c r="P88" s="21">
        <v>21.574895587307715</v>
      </c>
      <c r="Q88" s="22">
        <v>21.616115213660208</v>
      </c>
      <c r="R88" s="22">
        <f t="shared" si="22"/>
        <v>21.595505400483962</v>
      </c>
      <c r="S88" s="26">
        <f t="shared" si="23"/>
        <v>2.0609813176246661E-2</v>
      </c>
      <c r="T88" s="22">
        <f t="shared" si="24"/>
        <v>21.656390646618256</v>
      </c>
      <c r="U88" s="22">
        <f t="shared" si="25"/>
        <v>7.4245253211970855E-2</v>
      </c>
      <c r="V88" s="11">
        <f t="shared" si="26"/>
        <v>0.19472046661825715</v>
      </c>
      <c r="W88" s="23">
        <v>510.1164577298772</v>
      </c>
      <c r="X88" s="24">
        <v>510.12735346750071</v>
      </c>
      <c r="Y88" s="25">
        <f t="shared" si="37"/>
        <v>510.12190559868895</v>
      </c>
      <c r="Z88" s="25">
        <f t="shared" si="38"/>
        <v>210.12190559868895</v>
      </c>
      <c r="AA88" s="22">
        <v>21.754845620670061</v>
      </c>
      <c r="AB88" s="22">
        <v>21.796370792461516</v>
      </c>
      <c r="AC88" s="22">
        <f t="shared" si="32"/>
        <v>21.775608206565789</v>
      </c>
      <c r="AD88" s="26">
        <f t="shared" si="39"/>
        <v>2.0762585895727881E-2</v>
      </c>
      <c r="AE88" s="21">
        <v>21.631025945954907</v>
      </c>
      <c r="AF88" s="22">
        <v>21.672304819814929</v>
      </c>
      <c r="AG88" s="22">
        <f t="shared" si="33"/>
        <v>21.651665382884918</v>
      </c>
      <c r="AH88" s="26">
        <f t="shared" si="40"/>
        <v>2.0639436930011357E-2</v>
      </c>
      <c r="AI88" s="22">
        <f t="shared" si="41"/>
        <v>21.713636794725353</v>
      </c>
      <c r="AJ88" s="26">
        <f t="shared" si="42"/>
        <v>7.5445269791459144E-2</v>
      </c>
    </row>
    <row r="89" spans="1:36">
      <c r="A89" s="49" t="s">
        <v>237</v>
      </c>
      <c r="B89" s="50">
        <v>300</v>
      </c>
      <c r="C89" s="51">
        <v>0.91059674700000004</v>
      </c>
      <c r="D89" s="51">
        <v>1.66117E-4</v>
      </c>
      <c r="E89" s="21">
        <v>21.134234880000001</v>
      </c>
      <c r="F89" s="26">
        <v>7.1999999999999995E-2</v>
      </c>
      <c r="G89" s="23" t="s">
        <v>238</v>
      </c>
      <c r="H89" s="51">
        <v>0.89951000091240096</v>
      </c>
      <c r="I89" s="51">
        <v>1.1277559293187E-4</v>
      </c>
      <c r="J89" s="51">
        <f t="shared" si="30"/>
        <v>0.89962277650533284</v>
      </c>
      <c r="K89" s="58">
        <f t="shared" si="31"/>
        <v>0.89939722531946908</v>
      </c>
      <c r="L89" s="22">
        <v>21.340917004579929</v>
      </c>
      <c r="M89" s="22">
        <v>21.402912412249048</v>
      </c>
      <c r="N89" s="22">
        <f t="shared" si="20"/>
        <v>21.371914708414486</v>
      </c>
      <c r="O89" s="26">
        <f t="shared" si="21"/>
        <v>3.0997703834559687E-2</v>
      </c>
      <c r="P89" s="21">
        <v>21.254617626052983</v>
      </c>
      <c r="Q89" s="22">
        <v>21.316335598886749</v>
      </c>
      <c r="R89" s="22">
        <f t="shared" si="22"/>
        <v>21.285476612469864</v>
      </c>
      <c r="S89" s="26">
        <f t="shared" si="23"/>
        <v>3.0858986416882672E-2</v>
      </c>
      <c r="T89" s="22">
        <f t="shared" si="24"/>
        <v>21.328695660442175</v>
      </c>
      <c r="U89" s="22">
        <f t="shared" si="25"/>
        <v>6.1367238278842169E-2</v>
      </c>
      <c r="V89" s="11">
        <f t="shared" si="26"/>
        <v>0.1944607804421743</v>
      </c>
      <c r="W89" s="23">
        <v>305.49734621872392</v>
      </c>
      <c r="X89" s="24">
        <v>305.50638340393766</v>
      </c>
      <c r="Y89" s="25">
        <f t="shared" si="37"/>
        <v>305.50186481133079</v>
      </c>
      <c r="Z89" s="25">
        <f t="shared" si="38"/>
        <v>5.5018648113307904</v>
      </c>
      <c r="AA89" s="22">
        <v>21.365798946027269</v>
      </c>
      <c r="AB89" s="22">
        <v>21.42783289560867</v>
      </c>
      <c r="AC89" s="22">
        <f t="shared" si="32"/>
        <v>21.396815920817971</v>
      </c>
      <c r="AD89" s="26">
        <f t="shared" si="39"/>
        <v>3.1016974790700758E-2</v>
      </c>
      <c r="AE89" s="21">
        <v>21.278587606574924</v>
      </c>
      <c r="AF89" s="22">
        <v>21.340341027911023</v>
      </c>
      <c r="AG89" s="22">
        <f t="shared" si="33"/>
        <v>21.309464317242973</v>
      </c>
      <c r="AH89" s="26">
        <f t="shared" si="40"/>
        <v>3.0876710668049867E-2</v>
      </c>
      <c r="AI89" s="22">
        <f t="shared" si="41"/>
        <v>21.353140119030471</v>
      </c>
      <c r="AJ89" s="26">
        <f t="shared" si="42"/>
        <v>6.1809251251502641E-2</v>
      </c>
    </row>
    <row r="90" spans="1:36">
      <c r="A90" s="49"/>
      <c r="B90" s="50"/>
      <c r="C90" s="51"/>
      <c r="D90" s="51"/>
      <c r="E90" s="21"/>
      <c r="F90" s="26"/>
      <c r="G90" s="23"/>
      <c r="H90" s="51"/>
      <c r="I90" s="51"/>
      <c r="J90" s="51"/>
      <c r="K90" s="58"/>
      <c r="L90" s="22"/>
      <c r="M90" s="22"/>
      <c r="N90" s="22"/>
      <c r="O90" s="26"/>
      <c r="P90" s="21"/>
      <c r="Q90" s="22"/>
      <c r="R90" s="22"/>
      <c r="S90" s="26"/>
      <c r="T90" s="22"/>
      <c r="U90" s="22"/>
      <c r="V90" s="11"/>
      <c r="W90" s="23"/>
      <c r="X90" s="24"/>
      <c r="Y90" s="25"/>
      <c r="Z90" s="25"/>
      <c r="AA90" s="22"/>
      <c r="AB90" s="22"/>
      <c r="AC90" s="22"/>
      <c r="AD90" s="26"/>
      <c r="AE90" s="21"/>
      <c r="AF90" s="22"/>
      <c r="AG90" s="22"/>
      <c r="AH90" s="26"/>
      <c r="AI90" s="22"/>
      <c r="AJ90" s="26"/>
    </row>
    <row r="91" spans="1:36">
      <c r="A91" s="49" t="s">
        <v>239</v>
      </c>
      <c r="B91" s="50">
        <v>1500</v>
      </c>
      <c r="C91" s="51">
        <v>0.92230840999999997</v>
      </c>
      <c r="D91" s="51">
        <v>1.06467E-4</v>
      </c>
      <c r="E91" s="21">
        <v>23.182697430000001</v>
      </c>
      <c r="F91" s="26">
        <v>4.4999999999999998E-2</v>
      </c>
      <c r="G91" s="23" t="s">
        <v>240</v>
      </c>
      <c r="H91" s="51">
        <v>0.9197706636823102</v>
      </c>
      <c r="I91" s="51">
        <v>1.8245064386844257E-4</v>
      </c>
      <c r="J91" s="51">
        <f t="shared" si="30"/>
        <v>0.91995311432617866</v>
      </c>
      <c r="K91" s="58">
        <f t="shared" si="31"/>
        <v>0.91958821303844174</v>
      </c>
      <c r="L91" s="22">
        <v>23.398146220584653</v>
      </c>
      <c r="M91" s="22">
        <v>23.489040915337934</v>
      </c>
      <c r="N91" s="22">
        <f t="shared" si="20"/>
        <v>23.443593567961294</v>
      </c>
      <c r="O91" s="26">
        <f t="shared" si="21"/>
        <v>4.5447347376640579E-2</v>
      </c>
      <c r="P91" s="21">
        <v>23.104284076520216</v>
      </c>
      <c r="Q91" s="22">
        <v>23.193810028379072</v>
      </c>
      <c r="R91" s="22">
        <f t="shared" si="22"/>
        <v>23.149047052449646</v>
      </c>
      <c r="S91" s="26">
        <f t="shared" si="23"/>
        <v>4.476297592942835E-2</v>
      </c>
      <c r="T91" s="22">
        <f t="shared" si="24"/>
        <v>23.29632031020547</v>
      </c>
      <c r="U91" s="22">
        <f t="shared" si="25"/>
        <v>0.17785389190317408</v>
      </c>
      <c r="V91" s="11">
        <f t="shared" si="26"/>
        <v>0.11362288020546885</v>
      </c>
      <c r="W91" s="23">
        <v>1556.3351320826623</v>
      </c>
      <c r="X91" s="24">
        <v>1556.4557219587718</v>
      </c>
      <c r="Y91" s="25">
        <f t="shared" ref="Y91:Y105" si="43">(W91+X91)/2</f>
        <v>1556.3954270207171</v>
      </c>
      <c r="Z91" s="25">
        <f t="shared" ref="Z91:Z105" si="44">Y91-300</f>
        <v>1256.3954270207171</v>
      </c>
      <c r="AA91" s="22">
        <v>23.764489448615418</v>
      </c>
      <c r="AB91" s="22">
        <v>23.856235467796356</v>
      </c>
      <c r="AC91" s="22">
        <f t="shared" si="32"/>
        <v>23.810362458205887</v>
      </c>
      <c r="AD91" s="26">
        <f t="shared" ref="AD91:AD105" si="45">ABS(AA91-AB91)/2</f>
        <v>4.5873009590469138E-2</v>
      </c>
      <c r="AE91" s="21">
        <v>23.458908029679172</v>
      </c>
      <c r="AF91" s="22">
        <v>23.549213427289907</v>
      </c>
      <c r="AG91" s="22">
        <f t="shared" si="33"/>
        <v>23.504060728484539</v>
      </c>
      <c r="AH91" s="26">
        <f t="shared" ref="AH91:AH105" si="46">ABS(AE91-AF91)/2</f>
        <v>4.5152698805367208E-2</v>
      </c>
      <c r="AI91" s="22">
        <f t="shared" si="41"/>
        <v>23.657211593345217</v>
      </c>
      <c r="AJ91" s="26">
        <f t="shared" si="42"/>
        <v>0.18448753170777379</v>
      </c>
    </row>
    <row r="92" spans="1:36">
      <c r="A92" s="49" t="s">
        <v>241</v>
      </c>
      <c r="B92" s="50">
        <v>1500</v>
      </c>
      <c r="C92" s="51">
        <v>0.92528433200000004</v>
      </c>
      <c r="D92" s="51">
        <v>1.3630099999999999E-4</v>
      </c>
      <c r="E92" s="21">
        <v>22.60030553</v>
      </c>
      <c r="F92" s="26">
        <v>7.1999999999999995E-2</v>
      </c>
      <c r="G92" s="23" t="s">
        <v>242</v>
      </c>
      <c r="H92" s="51">
        <v>0.92221001027995642</v>
      </c>
      <c r="I92" s="51">
        <v>2.8643996662144422E-4</v>
      </c>
      <c r="J92" s="51">
        <f t="shared" si="30"/>
        <v>0.92249645024657789</v>
      </c>
      <c r="K92" s="58">
        <f t="shared" si="31"/>
        <v>0.92192357031333494</v>
      </c>
      <c r="L92" s="22">
        <v>22.769545591242707</v>
      </c>
      <c r="M92" s="22">
        <v>22.910387158269977</v>
      </c>
      <c r="N92" s="22">
        <f t="shared" si="20"/>
        <v>22.839966374756344</v>
      </c>
      <c r="O92" s="26">
        <f t="shared" si="21"/>
        <v>7.0420783513634788E-2</v>
      </c>
      <c r="P92" s="21">
        <v>22.485188545429903</v>
      </c>
      <c r="Q92" s="22">
        <v>22.623894661635752</v>
      </c>
      <c r="R92" s="22">
        <f t="shared" si="22"/>
        <v>22.554541603532826</v>
      </c>
      <c r="S92" s="26">
        <f t="shared" si="23"/>
        <v>6.9353058102924692E-2</v>
      </c>
      <c r="T92" s="22">
        <f t="shared" si="24"/>
        <v>22.697253989144585</v>
      </c>
      <c r="U92" s="22">
        <f t="shared" si="25"/>
        <v>0.18348947914053926</v>
      </c>
      <c r="V92" s="11">
        <f t="shared" si="26"/>
        <v>9.6948459144584831E-2</v>
      </c>
      <c r="W92" s="23">
        <v>1555.4916466039472</v>
      </c>
      <c r="X92" s="24">
        <v>1555.6820984973895</v>
      </c>
      <c r="Y92" s="25">
        <f t="shared" si="43"/>
        <v>1555.5868725506684</v>
      </c>
      <c r="Z92" s="25">
        <f t="shared" si="44"/>
        <v>1255.5868725506684</v>
      </c>
      <c r="AA92" s="22">
        <v>23.129948524858641</v>
      </c>
      <c r="AB92" s="22">
        <v>23.27212917023471</v>
      </c>
      <c r="AC92" s="22">
        <f t="shared" si="32"/>
        <v>23.201038847546677</v>
      </c>
      <c r="AD92" s="26">
        <f t="shared" si="45"/>
        <v>7.1090322688034391E-2</v>
      </c>
      <c r="AE92" s="21">
        <v>22.834366952826059</v>
      </c>
      <c r="AF92" s="22">
        <v>22.974301658287605</v>
      </c>
      <c r="AG92" s="22">
        <f t="shared" si="33"/>
        <v>22.90433430555683</v>
      </c>
      <c r="AH92" s="26">
        <f t="shared" si="46"/>
        <v>6.9967352730772703E-2</v>
      </c>
      <c r="AI92" s="22">
        <f t="shared" si="41"/>
        <v>23.052686576551753</v>
      </c>
      <c r="AJ92" s="26">
        <f t="shared" si="42"/>
        <v>0.18967701854598792</v>
      </c>
    </row>
    <row r="93" spans="1:36">
      <c r="A93" s="49" t="s">
        <v>243</v>
      </c>
      <c r="B93" s="50">
        <v>1700</v>
      </c>
      <c r="C93" s="51">
        <v>0.92778646499999995</v>
      </c>
      <c r="D93" s="51">
        <v>1.7461399999999999E-4</v>
      </c>
      <c r="E93" s="21">
        <v>22.910079320000001</v>
      </c>
      <c r="F93" s="26">
        <v>3.4000000000000002E-2</v>
      </c>
      <c r="G93" s="23" t="s">
        <v>244</v>
      </c>
      <c r="H93" s="51">
        <v>0.92645381615714295</v>
      </c>
      <c r="I93" s="51">
        <v>1.4322790093971712E-4</v>
      </c>
      <c r="J93" s="51">
        <f t="shared" si="30"/>
        <v>0.92659704405808263</v>
      </c>
      <c r="K93" s="58">
        <f t="shared" si="31"/>
        <v>0.92631058825620327</v>
      </c>
      <c r="L93" s="22">
        <v>23.072058221587962</v>
      </c>
      <c r="M93" s="22">
        <v>23.141071983915481</v>
      </c>
      <c r="N93" s="22">
        <f t="shared" si="20"/>
        <v>23.106565102751723</v>
      </c>
      <c r="O93" s="26">
        <f t="shared" si="21"/>
        <v>3.4506881163759218E-2</v>
      </c>
      <c r="P93" s="21">
        <v>22.764208051296624</v>
      </c>
      <c r="Q93" s="22">
        <v>22.832039720726257</v>
      </c>
      <c r="R93" s="22">
        <f t="shared" si="22"/>
        <v>22.798123886011439</v>
      </c>
      <c r="S93" s="26">
        <f t="shared" si="23"/>
        <v>3.3915834714816739E-2</v>
      </c>
      <c r="T93" s="22">
        <f t="shared" si="24"/>
        <v>22.952344494381581</v>
      </c>
      <c r="U93" s="22">
        <f t="shared" si="25"/>
        <v>0.18240796909522178</v>
      </c>
      <c r="V93" s="11">
        <f t="shared" si="26"/>
        <v>4.226517438157984E-2</v>
      </c>
      <c r="W93" s="23">
        <v>1769.342990137292</v>
      </c>
      <c r="X93" s="24">
        <v>1769.457725246464</v>
      </c>
      <c r="Y93" s="25">
        <f t="shared" si="43"/>
        <v>1769.4003576918781</v>
      </c>
      <c r="Z93" s="25">
        <f t="shared" si="44"/>
        <v>1469.4003576918781</v>
      </c>
      <c r="AA93" s="22">
        <v>23.523077070131155</v>
      </c>
      <c r="AB93" s="22">
        <v>23.59290028675882</v>
      </c>
      <c r="AC93" s="22">
        <f t="shared" si="32"/>
        <v>23.557988678444985</v>
      </c>
      <c r="AD93" s="26">
        <f t="shared" si="45"/>
        <v>3.4911608313832332E-2</v>
      </c>
      <c r="AE93" s="21">
        <v>23.201785791248991</v>
      </c>
      <c r="AF93" s="22">
        <v>23.270360092492744</v>
      </c>
      <c r="AG93" s="22">
        <f t="shared" si="33"/>
        <v>23.236072941870866</v>
      </c>
      <c r="AH93" s="26">
        <f t="shared" si="46"/>
        <v>3.4287150621876705E-2</v>
      </c>
      <c r="AI93" s="22">
        <f t="shared" si="41"/>
        <v>23.397030810157929</v>
      </c>
      <c r="AJ93" s="26">
        <f t="shared" si="42"/>
        <v>0.19010400630506571</v>
      </c>
    </row>
    <row r="94" spans="1:36">
      <c r="A94" s="49" t="s">
        <v>245</v>
      </c>
      <c r="B94" s="50">
        <v>1700</v>
      </c>
      <c r="C94" s="51">
        <v>0.92899361000000003</v>
      </c>
      <c r="D94" s="51">
        <v>1.3642600000000001E-4</v>
      </c>
      <c r="E94" s="21">
        <v>22.63082928</v>
      </c>
      <c r="F94" s="26">
        <v>1.9E-2</v>
      </c>
      <c r="G94" s="23" t="s">
        <v>246</v>
      </c>
      <c r="H94" s="51">
        <v>0.92765976874332301</v>
      </c>
      <c r="I94" s="51">
        <v>7.7657251193042514E-5</v>
      </c>
      <c r="J94" s="51">
        <f t="shared" si="30"/>
        <v>0.92773742599451603</v>
      </c>
      <c r="K94" s="58">
        <f t="shared" si="31"/>
        <v>0.92758211149212999</v>
      </c>
      <c r="L94" s="22">
        <v>22.798367143040949</v>
      </c>
      <c r="M94" s="88">
        <v>22.835543749756539</v>
      </c>
      <c r="N94" s="22">
        <f t="shared" si="20"/>
        <v>22.816955446398744</v>
      </c>
      <c r="O94" s="26">
        <f t="shared" si="21"/>
        <v>1.8588303357795155E-2</v>
      </c>
      <c r="P94" s="21">
        <v>22.495211777131857</v>
      </c>
      <c r="Q94" s="22">
        <v>22.531750033826388</v>
      </c>
      <c r="R94" s="22">
        <f t="shared" si="22"/>
        <v>22.513480905479121</v>
      </c>
      <c r="S94" s="26">
        <f t="shared" si="23"/>
        <v>1.8269128347265351E-2</v>
      </c>
      <c r="T94" s="22">
        <f t="shared" si="24"/>
        <v>22.665218175938932</v>
      </c>
      <c r="U94" s="22">
        <f t="shared" si="25"/>
        <v>0.17649869605840871</v>
      </c>
      <c r="V94" s="11">
        <f t="shared" si="26"/>
        <v>3.4388895938931796E-2</v>
      </c>
      <c r="W94" s="23">
        <v>1768.8854987176987</v>
      </c>
      <c r="X94" s="24">
        <v>1768.9478758052326</v>
      </c>
      <c r="Y94" s="25">
        <f t="shared" si="43"/>
        <v>1768.9166872614655</v>
      </c>
      <c r="Z94" s="25">
        <f t="shared" si="44"/>
        <v>1468.9166872614655</v>
      </c>
      <c r="AA94" s="22">
        <v>23.246162195356192</v>
      </c>
      <c r="AB94" s="22">
        <v>23.283777997471773</v>
      </c>
      <c r="AC94" s="22">
        <f t="shared" si="32"/>
        <v>23.264970096413983</v>
      </c>
      <c r="AD94" s="26">
        <f t="shared" si="45"/>
        <v>1.8807901057790843E-2</v>
      </c>
      <c r="AE94" s="21">
        <v>22.929830055376854</v>
      </c>
      <c r="AF94" s="22">
        <v>22.966771664857308</v>
      </c>
      <c r="AG94" s="22">
        <f t="shared" si="33"/>
        <v>22.948300860117079</v>
      </c>
      <c r="AH94" s="26">
        <f t="shared" si="46"/>
        <v>1.8470804740227109E-2</v>
      </c>
      <c r="AI94" s="22">
        <f t="shared" si="41"/>
        <v>23.106635478265531</v>
      </c>
      <c r="AJ94" s="26">
        <f t="shared" si="42"/>
        <v>0.1840916626364569</v>
      </c>
    </row>
    <row r="95" spans="1:36">
      <c r="A95" s="49" t="s">
        <v>247</v>
      </c>
      <c r="B95" s="50">
        <v>1700</v>
      </c>
      <c r="C95" s="51">
        <v>0.92992120700000003</v>
      </c>
      <c r="D95" s="51">
        <v>1.2424800000000001E-4</v>
      </c>
      <c r="E95" s="21">
        <v>22.3654346</v>
      </c>
      <c r="F95" s="26">
        <v>1.7000000000000001E-2</v>
      </c>
      <c r="G95" s="23" t="s">
        <v>248</v>
      </c>
      <c r="H95" s="51">
        <v>0.92881303646986157</v>
      </c>
      <c r="I95" s="51">
        <v>7.2543399708450352E-5</v>
      </c>
      <c r="J95" s="51">
        <f t="shared" si="30"/>
        <v>0.92888557986956999</v>
      </c>
      <c r="K95" s="58">
        <f t="shared" si="31"/>
        <v>0.92874049307015316</v>
      </c>
      <c r="L95" s="22">
        <v>22.524503654759826</v>
      </c>
      <c r="M95" s="22">
        <v>22.559017085899431</v>
      </c>
      <c r="N95" s="22">
        <f t="shared" si="20"/>
        <v>22.541760370329627</v>
      </c>
      <c r="O95" s="26">
        <f t="shared" si="21"/>
        <v>1.7256715569802239E-2</v>
      </c>
      <c r="P95" s="21">
        <v>22.226056634954318</v>
      </c>
      <c r="Q95" s="22">
        <v>22.259976139898232</v>
      </c>
      <c r="R95" s="22">
        <f t="shared" si="22"/>
        <v>22.243016387426273</v>
      </c>
      <c r="S95" s="26">
        <f t="shared" si="23"/>
        <v>1.6959752471956691E-2</v>
      </c>
      <c r="T95" s="22">
        <f t="shared" si="24"/>
        <v>22.39238837887795</v>
      </c>
      <c r="U95" s="22">
        <f t="shared" si="25"/>
        <v>0.17360762482611303</v>
      </c>
      <c r="V95" s="11">
        <f t="shared" si="26"/>
        <v>2.6953778877949475E-2</v>
      </c>
      <c r="W95" s="23">
        <v>1768.4236996962875</v>
      </c>
      <c r="X95" s="24">
        <v>1768.4821214322578</v>
      </c>
      <c r="Y95" s="25">
        <f t="shared" si="43"/>
        <v>1768.4529105642728</v>
      </c>
      <c r="Z95" s="25">
        <f t="shared" si="44"/>
        <v>1468.4529105642728</v>
      </c>
      <c r="AA95" s="22">
        <v>22.969050662690247</v>
      </c>
      <c r="AB95" s="22">
        <v>23.003974664192519</v>
      </c>
      <c r="AC95" s="22">
        <f t="shared" si="32"/>
        <v>22.986512663441381</v>
      </c>
      <c r="AD95" s="26">
        <f t="shared" si="45"/>
        <v>1.7462000751136131E-2</v>
      </c>
      <c r="AE95" s="21">
        <v>22.657690284508128</v>
      </c>
      <c r="AF95" s="22">
        <v>22.691987223765459</v>
      </c>
      <c r="AG95" s="22">
        <f t="shared" si="33"/>
        <v>22.674838754136793</v>
      </c>
      <c r="AH95" s="26">
        <f t="shared" si="46"/>
        <v>1.7148469628665453E-2</v>
      </c>
      <c r="AI95" s="22">
        <f t="shared" si="41"/>
        <v>22.830675708789087</v>
      </c>
      <c r="AJ95" s="26">
        <f t="shared" si="42"/>
        <v>0.18105119782617798</v>
      </c>
    </row>
    <row r="96" spans="1:36">
      <c r="A96" s="49" t="s">
        <v>249</v>
      </c>
      <c r="B96" s="50">
        <v>1800</v>
      </c>
      <c r="C96" s="51">
        <v>0.93142442700000005</v>
      </c>
      <c r="D96" s="51">
        <v>1.49851E-4</v>
      </c>
      <c r="E96" s="21">
        <v>22.471579299999998</v>
      </c>
      <c r="F96" s="26">
        <v>4.2999999999999997E-2</v>
      </c>
      <c r="G96" s="23" t="s">
        <v>250</v>
      </c>
      <c r="H96" s="51">
        <v>0.93121181210393833</v>
      </c>
      <c r="I96" s="51">
        <v>1.7527162526530867E-4</v>
      </c>
      <c r="J96" s="51">
        <f t="shared" si="30"/>
        <v>0.93138708372920365</v>
      </c>
      <c r="K96" s="58">
        <f t="shared" si="31"/>
        <v>0.93103654047867301</v>
      </c>
      <c r="L96" s="22">
        <v>22.582727257279004</v>
      </c>
      <c r="M96" s="22">
        <v>22.665151274238386</v>
      </c>
      <c r="N96" s="22">
        <f t="shared" si="20"/>
        <v>22.623939265758693</v>
      </c>
      <c r="O96" s="26">
        <f t="shared" si="21"/>
        <v>4.121200847969142E-2</v>
      </c>
      <c r="P96" s="21">
        <v>22.276148541798065</v>
      </c>
      <c r="Q96" s="22">
        <v>22.357072772740814</v>
      </c>
      <c r="R96" s="22">
        <f t="shared" si="22"/>
        <v>22.31661065726944</v>
      </c>
      <c r="S96" s="26">
        <f t="shared" si="23"/>
        <v>4.046211547137446E-2</v>
      </c>
      <c r="T96" s="22">
        <f t="shared" si="24"/>
        <v>22.470274961514065</v>
      </c>
      <c r="U96" s="22">
        <f t="shared" si="25"/>
        <v>0.18359565940642503</v>
      </c>
      <c r="V96" s="11">
        <f t="shared" si="26"/>
        <v>-1.3043384859336982E-3</v>
      </c>
      <c r="W96" s="23">
        <v>1875.7034928950011</v>
      </c>
      <c r="X96" s="24">
        <v>1875.8571835709686</v>
      </c>
      <c r="Y96" s="25">
        <f t="shared" si="43"/>
        <v>1875.7803382329848</v>
      </c>
      <c r="Z96" s="25">
        <f t="shared" si="44"/>
        <v>1575.7803382329848</v>
      </c>
      <c r="AA96" s="22">
        <v>23.074619843625115</v>
      </c>
      <c r="AB96" s="22">
        <v>23.158124681584567</v>
      </c>
      <c r="AC96" s="22">
        <f t="shared" si="32"/>
        <v>23.116372262604841</v>
      </c>
      <c r="AD96" s="26">
        <f t="shared" si="45"/>
        <v>4.1752418979726258E-2</v>
      </c>
      <c r="AE96" s="21">
        <v>22.754153580322093</v>
      </c>
      <c r="AF96" s="22">
        <v>22.836071570901531</v>
      </c>
      <c r="AG96" s="22">
        <f t="shared" si="33"/>
        <v>22.79511257561181</v>
      </c>
      <c r="AH96" s="26">
        <f t="shared" si="46"/>
        <v>4.0958995289718914E-2</v>
      </c>
      <c r="AI96" s="22">
        <f t="shared" si="41"/>
        <v>22.955742419108326</v>
      </c>
      <c r="AJ96" s="26">
        <f t="shared" si="42"/>
        <v>0.19152858277418428</v>
      </c>
    </row>
    <row r="97" spans="1:36">
      <c r="A97" s="49" t="s">
        <v>251</v>
      </c>
      <c r="B97" s="50">
        <v>1900</v>
      </c>
      <c r="C97" s="51">
        <v>0.93418447599999999</v>
      </c>
      <c r="D97" s="51">
        <v>1.3938000000000001E-4</v>
      </c>
      <c r="E97" s="21">
        <v>22.47514645</v>
      </c>
      <c r="F97" s="26">
        <v>3.1E-2</v>
      </c>
      <c r="G97" s="23" t="s">
        <v>252</v>
      </c>
      <c r="H97" s="51">
        <v>0.93409275745751552</v>
      </c>
      <c r="I97" s="51">
        <v>1.2926268893402723E-4</v>
      </c>
      <c r="J97" s="51">
        <f t="shared" si="30"/>
        <v>0.93422202014644951</v>
      </c>
      <c r="K97" s="58">
        <f t="shared" si="31"/>
        <v>0.93396349476858154</v>
      </c>
      <c r="L97" s="22">
        <v>22.570822684151064</v>
      </c>
      <c r="M97" s="22">
        <v>22.630751137379363</v>
      </c>
      <c r="N97" s="22">
        <f t="shared" si="20"/>
        <v>22.600786910765216</v>
      </c>
      <c r="O97" s="26">
        <f t="shared" si="21"/>
        <v>2.9964226614149325E-2</v>
      </c>
      <c r="P97" s="21">
        <v>22.258575135489398</v>
      </c>
      <c r="Q97" s="22">
        <v>22.31735329910207</v>
      </c>
      <c r="R97" s="22">
        <f t="shared" si="22"/>
        <v>22.287964217295734</v>
      </c>
      <c r="S97" s="26">
        <f t="shared" si="23"/>
        <v>2.9389081806336037E-2</v>
      </c>
      <c r="T97" s="22">
        <f t="shared" si="24"/>
        <v>22.444375564030473</v>
      </c>
      <c r="U97" s="22">
        <f t="shared" si="25"/>
        <v>0.18383070432829163</v>
      </c>
      <c r="V97" s="11">
        <f t="shared" si="26"/>
        <v>-3.0770885969527484E-2</v>
      </c>
      <c r="W97" s="23">
        <v>1983.2199800585313</v>
      </c>
      <c r="X97" s="24">
        <v>1983.3429061935053</v>
      </c>
      <c r="Y97" s="25">
        <f t="shared" si="43"/>
        <v>1983.2814431260183</v>
      </c>
      <c r="Z97" s="25">
        <f t="shared" si="44"/>
        <v>1683.2814431260183</v>
      </c>
      <c r="AA97" s="22">
        <v>23.111419024640156</v>
      </c>
      <c r="AB97" s="22">
        <v>23.172211624604373</v>
      </c>
      <c r="AC97" s="22">
        <f t="shared" si="32"/>
        <v>23.141815324622264</v>
      </c>
      <c r="AD97" s="26">
        <f t="shared" si="45"/>
        <v>3.0396299982108133E-2</v>
      </c>
      <c r="AE97" s="21">
        <v>22.78440699279323</v>
      </c>
      <c r="AF97" s="22">
        <v>22.843980133608</v>
      </c>
      <c r="AG97" s="22">
        <f t="shared" si="33"/>
        <v>22.814193563200615</v>
      </c>
      <c r="AH97" s="26">
        <f t="shared" si="46"/>
        <v>2.9786570407384971E-2</v>
      </c>
      <c r="AI97" s="22">
        <f t="shared" si="41"/>
        <v>22.978004443911438</v>
      </c>
      <c r="AJ97" s="26">
        <f t="shared" si="42"/>
        <v>0.19231776501014955</v>
      </c>
    </row>
    <row r="98" spans="1:36">
      <c r="A98" s="49" t="s">
        <v>253</v>
      </c>
      <c r="B98" s="50">
        <v>1700</v>
      </c>
      <c r="C98" s="51">
        <v>0.93169083699999999</v>
      </c>
      <c r="D98" s="51">
        <v>1.20214E-4</v>
      </c>
      <c r="E98" s="21">
        <v>21.917397659999999</v>
      </c>
      <c r="F98" s="26">
        <v>3.4000000000000002E-2</v>
      </c>
      <c r="G98" s="23" t="s">
        <v>254</v>
      </c>
      <c r="H98" s="51">
        <v>0.93077602263792114</v>
      </c>
      <c r="I98" s="51">
        <v>1.420774519769087E-4</v>
      </c>
      <c r="J98" s="51">
        <f t="shared" si="30"/>
        <v>0.93091810008989806</v>
      </c>
      <c r="K98" s="58">
        <f t="shared" si="31"/>
        <v>0.93063394518594422</v>
      </c>
      <c r="L98" s="22">
        <v>22.043830215777199</v>
      </c>
      <c r="M98" s="22">
        <v>22.110714339620497</v>
      </c>
      <c r="N98" s="22">
        <f t="shared" si="20"/>
        <v>22.077272277698846</v>
      </c>
      <c r="O98" s="26">
        <f t="shared" si="21"/>
        <v>3.3442061921649113E-2</v>
      </c>
      <c r="P98" s="21">
        <v>21.753670682042255</v>
      </c>
      <c r="Q98" s="22">
        <v>21.819399932803094</v>
      </c>
      <c r="R98" s="22">
        <f t="shared" si="22"/>
        <v>21.786535307422675</v>
      </c>
      <c r="S98" s="26">
        <f t="shared" si="23"/>
        <v>3.2864625380419454E-2</v>
      </c>
      <c r="T98" s="22">
        <f t="shared" si="24"/>
        <v>21.93190379256076</v>
      </c>
      <c r="U98" s="22">
        <f t="shared" si="25"/>
        <v>0.17216745346638718</v>
      </c>
      <c r="V98" s="11">
        <f t="shared" si="26"/>
        <v>1.4506132560761387E-2</v>
      </c>
      <c r="W98" s="23">
        <v>1767.6032297407596</v>
      </c>
      <c r="X98" s="24">
        <v>1767.7181653686014</v>
      </c>
      <c r="Y98" s="25">
        <f t="shared" si="43"/>
        <v>1767.6606975546806</v>
      </c>
      <c r="Z98" s="25">
        <f t="shared" si="44"/>
        <v>1467.6606975546806</v>
      </c>
      <c r="AA98" s="22">
        <v>22.482621393904417</v>
      </c>
      <c r="AB98" s="22">
        <v>22.550310685796696</v>
      </c>
      <c r="AC98" s="22">
        <f t="shared" si="32"/>
        <v>22.516466039850556</v>
      </c>
      <c r="AD98" s="26">
        <f t="shared" si="45"/>
        <v>3.3844645946139451E-2</v>
      </c>
      <c r="AE98" s="21">
        <v>22.180008131075155</v>
      </c>
      <c r="AF98" s="22">
        <v>22.246478804776203</v>
      </c>
      <c r="AG98" s="22">
        <f t="shared" si="33"/>
        <v>22.213243467925679</v>
      </c>
      <c r="AH98" s="26">
        <f t="shared" si="46"/>
        <v>3.3235336850523822E-2</v>
      </c>
      <c r="AI98" s="22">
        <f t="shared" si="41"/>
        <v>22.364854753888118</v>
      </c>
      <c r="AJ98" s="26">
        <f t="shared" si="42"/>
        <v>0.17929865539030301</v>
      </c>
    </row>
    <row r="99" spans="1:36">
      <c r="A99" s="49" t="s">
        <v>255</v>
      </c>
      <c r="B99" s="50">
        <v>1500</v>
      </c>
      <c r="C99" s="51">
        <v>0.929463288</v>
      </c>
      <c r="D99" s="51">
        <v>1.59479E-4</v>
      </c>
      <c r="E99" s="21">
        <v>21.55452876</v>
      </c>
      <c r="F99" s="26">
        <v>0.03</v>
      </c>
      <c r="G99" s="23" t="s">
        <v>256</v>
      </c>
      <c r="H99" s="51">
        <v>0.92667043564585372</v>
      </c>
      <c r="I99" s="51">
        <v>1.1548543268142698E-4</v>
      </c>
      <c r="J99" s="51">
        <f t="shared" si="30"/>
        <v>0.92678592107853519</v>
      </c>
      <c r="K99" s="58">
        <f t="shared" si="31"/>
        <v>0.92655495021317225</v>
      </c>
      <c r="L99" s="22">
        <v>21.728661731283534</v>
      </c>
      <c r="M99" s="22">
        <v>21.784099544882739</v>
      </c>
      <c r="N99" s="22">
        <f t="shared" si="20"/>
        <v>21.756380638083137</v>
      </c>
      <c r="O99" s="26">
        <f t="shared" si="21"/>
        <v>2.7718906799602649E-2</v>
      </c>
      <c r="P99" s="21">
        <v>21.460180124289021</v>
      </c>
      <c r="Q99" s="22">
        <v>21.51476856434606</v>
      </c>
      <c r="R99" s="22">
        <f t="shared" si="22"/>
        <v>21.48747434431754</v>
      </c>
      <c r="S99" s="26">
        <f t="shared" si="23"/>
        <v>2.7294220028519334E-2</v>
      </c>
      <c r="T99" s="22">
        <f t="shared" si="24"/>
        <v>21.621927491200339</v>
      </c>
      <c r="U99" s="22">
        <f t="shared" si="25"/>
        <v>0.15846894470632583</v>
      </c>
      <c r="V99" s="11">
        <f t="shared" si="26"/>
        <v>6.7398731200338347E-2</v>
      </c>
      <c r="W99" s="23">
        <v>1554.0569405079559</v>
      </c>
      <c r="X99" s="24">
        <v>1554.1345905717417</v>
      </c>
      <c r="Y99" s="25">
        <f t="shared" si="43"/>
        <v>1554.0957655398488</v>
      </c>
      <c r="Z99" s="25">
        <f t="shared" si="44"/>
        <v>1254.0957655398488</v>
      </c>
      <c r="AA99" s="22">
        <v>22.079017263402228</v>
      </c>
      <c r="AB99" s="22">
        <v>22.134997085533747</v>
      </c>
      <c r="AC99" s="22">
        <f>(AA99+AB99)/2</f>
        <v>22.107007174467988</v>
      </c>
      <c r="AD99" s="26">
        <f t="shared" si="45"/>
        <v>2.7989911065759543E-2</v>
      </c>
      <c r="AE99" s="21">
        <v>21.800120871782106</v>
      </c>
      <c r="AF99" s="22">
        <v>21.855208506839091</v>
      </c>
      <c r="AG99" s="22">
        <f t="shared" si="33"/>
        <v>21.827664689310598</v>
      </c>
      <c r="AH99" s="26">
        <f t="shared" si="46"/>
        <v>2.7543817528492553E-2</v>
      </c>
      <c r="AI99" s="22">
        <f t="shared" si="41"/>
        <v>21.967335931889295</v>
      </c>
      <c r="AJ99" s="26">
        <f t="shared" si="42"/>
        <v>0.16443480777593944</v>
      </c>
    </row>
    <row r="100" spans="1:36">
      <c r="A100" s="49" t="s">
        <v>257</v>
      </c>
      <c r="B100" s="50">
        <v>1300</v>
      </c>
      <c r="C100" s="51">
        <v>0.92707686499999997</v>
      </c>
      <c r="D100" s="51">
        <v>1.2254099999999999E-4</v>
      </c>
      <c r="E100" s="21">
        <v>21.16086378</v>
      </c>
      <c r="F100" s="26">
        <v>2.8000000000000001E-2</v>
      </c>
      <c r="G100" s="23" t="s">
        <v>258</v>
      </c>
      <c r="H100" s="51">
        <v>0.92281532679854261</v>
      </c>
      <c r="I100" s="51">
        <v>1.1081604959974496E-4</v>
      </c>
      <c r="J100" s="51">
        <f t="shared" si="30"/>
        <v>0.92292614284814234</v>
      </c>
      <c r="K100" s="58">
        <f t="shared" si="31"/>
        <v>0.92270451074894289</v>
      </c>
      <c r="L100" s="22">
        <v>21.369451593520399</v>
      </c>
      <c r="M100" s="22">
        <v>21.423625020938218</v>
      </c>
      <c r="N100" s="22">
        <f t="shared" si="20"/>
        <v>21.396538307229306</v>
      </c>
      <c r="O100" s="26">
        <f t="shared" si="21"/>
        <v>2.7086713708909471E-2</v>
      </c>
      <c r="P100" s="21">
        <v>21.126817247022228</v>
      </c>
      <c r="Q100" s="22">
        <v>21.180265239515187</v>
      </c>
      <c r="R100" s="22">
        <f t="shared" si="22"/>
        <v>21.153541243268705</v>
      </c>
      <c r="S100" s="26">
        <f t="shared" si="23"/>
        <v>2.6723996246479587E-2</v>
      </c>
      <c r="T100" s="22">
        <f t="shared" si="24"/>
        <v>21.275039775249006</v>
      </c>
      <c r="U100" s="22">
        <f t="shared" si="25"/>
        <v>0.14369330437118849</v>
      </c>
      <c r="V100" s="11">
        <f t="shared" si="26"/>
        <v>0.11417599524900623</v>
      </c>
      <c r="W100" s="23">
        <v>1342.0634206881487</v>
      </c>
      <c r="X100" s="24">
        <v>1342.1237637445822</v>
      </c>
      <c r="Y100" s="25">
        <f t="shared" si="43"/>
        <v>1342.0935922163653</v>
      </c>
      <c r="Z100" s="25">
        <f t="shared" si="44"/>
        <v>1042.0935922163653</v>
      </c>
      <c r="AA100" s="22">
        <v>21.641166090980537</v>
      </c>
      <c r="AB100" s="22">
        <v>21.695758046968987</v>
      </c>
      <c r="AC100" s="22">
        <f>(AA100+AB100)/2</f>
        <v>21.668462068974762</v>
      </c>
      <c r="AD100" s="26">
        <f t="shared" si="45"/>
        <v>2.7295977994224785E-2</v>
      </c>
      <c r="AE100" s="21">
        <v>21.390113898323268</v>
      </c>
      <c r="AF100" s="22">
        <v>21.443947484795167</v>
      </c>
      <c r="AG100" s="22">
        <f t="shared" si="33"/>
        <v>21.417030691559219</v>
      </c>
      <c r="AH100" s="26">
        <f t="shared" si="46"/>
        <v>2.6916793235949754E-2</v>
      </c>
      <c r="AI100" s="22">
        <f>AVERAGE(AA100,AB100,AE100,AF100)</f>
        <v>21.542746380266991</v>
      </c>
      <c r="AJ100" s="26">
        <f>STDEV(AA100,AB100,AE100,AF100)</f>
        <v>0.14850017496579371</v>
      </c>
    </row>
    <row r="101" spans="1:36">
      <c r="A101" s="49" t="s">
        <v>259</v>
      </c>
      <c r="B101" s="50">
        <v>1100</v>
      </c>
      <c r="C101" s="51">
        <v>0.92484243099999996</v>
      </c>
      <c r="D101" s="51">
        <v>1.30343E-4</v>
      </c>
      <c r="E101" s="21">
        <v>20.682307399999999</v>
      </c>
      <c r="F101" s="26">
        <v>2.1000000000000001E-2</v>
      </c>
      <c r="G101" s="23" t="s">
        <v>260</v>
      </c>
      <c r="H101" s="51">
        <v>0.91946181653687087</v>
      </c>
      <c r="I101" s="51">
        <v>8.4503797306945916E-5</v>
      </c>
      <c r="J101" s="51">
        <f t="shared" si="30"/>
        <v>0.91954632033417782</v>
      </c>
      <c r="K101" s="58">
        <f t="shared" si="31"/>
        <v>0.91937731273956391</v>
      </c>
      <c r="L101" s="22">
        <v>20.914522376755755</v>
      </c>
      <c r="M101" s="22">
        <v>20.956481487855328</v>
      </c>
      <c r="N101" s="22">
        <f t="shared" si="20"/>
        <v>20.935501932305542</v>
      </c>
      <c r="O101" s="26">
        <f t="shared" si="21"/>
        <v>2.0979555549786255E-2</v>
      </c>
      <c r="P101" s="21">
        <v>20.702103981573572</v>
      </c>
      <c r="Q101" s="22">
        <v>20.743580758598576</v>
      </c>
      <c r="R101" s="22">
        <f t="shared" si="22"/>
        <v>20.722842370086074</v>
      </c>
      <c r="S101" s="26">
        <f t="shared" si="23"/>
        <v>2.0738388512501871E-2</v>
      </c>
      <c r="T101" s="22">
        <f t="shared" si="24"/>
        <v>20.829172151195806</v>
      </c>
      <c r="U101" s="22">
        <f t="shared" si="25"/>
        <v>0.12511932227770919</v>
      </c>
      <c r="V101" s="11">
        <f t="shared" si="26"/>
        <v>0.14686475119580678</v>
      </c>
      <c r="W101" s="23">
        <v>1131.6157825058165</v>
      </c>
      <c r="X101" s="24">
        <v>1131.6157825058165</v>
      </c>
      <c r="Y101" s="25">
        <f t="shared" si="43"/>
        <v>1131.6157825058165</v>
      </c>
      <c r="Z101" s="25">
        <f t="shared" si="44"/>
        <v>831.61578250581647</v>
      </c>
      <c r="AA101" s="22">
        <v>21.117145772086573</v>
      </c>
      <c r="AB101" s="22">
        <v>21.159352332501673</v>
      </c>
      <c r="AC101" s="22">
        <f t="shared" ref="AC101:AC133" si="47">(AA101+AB101)/2</f>
        <v>21.138249052294121</v>
      </c>
      <c r="AD101" s="26">
        <f t="shared" si="45"/>
        <v>2.1103280207549702E-2</v>
      </c>
      <c r="AE101" s="21">
        <v>20.898230157678668</v>
      </c>
      <c r="AF101" s="22">
        <v>20.939935067570858</v>
      </c>
      <c r="AG101" s="22">
        <f t="shared" si="33"/>
        <v>20.919082612624763</v>
      </c>
      <c r="AH101" s="26">
        <f t="shared" si="46"/>
        <v>2.0852454946094667E-2</v>
      </c>
      <c r="AI101" s="22">
        <f t="shared" ref="AI101:AI133" si="48">AVERAGE(AA101,AB101,AE101,AF101)</f>
        <v>21.028665832459442</v>
      </c>
      <c r="AJ101" s="26">
        <f t="shared" ref="AJ101:AJ133" si="49">STDEV(AA101,AB101,AE101,AF101)</f>
        <v>0.12883358115923263</v>
      </c>
    </row>
    <row r="102" spans="1:36">
      <c r="A102" s="49" t="s">
        <v>261</v>
      </c>
      <c r="B102" s="50">
        <v>900</v>
      </c>
      <c r="C102" s="51">
        <v>0.92277814400000002</v>
      </c>
      <c r="D102" s="51">
        <v>8.7200000000000005E-5</v>
      </c>
      <c r="E102" s="21">
        <v>20.275888930000001</v>
      </c>
      <c r="F102" s="26">
        <v>2.1999999999999999E-2</v>
      </c>
      <c r="G102" s="23" t="s">
        <v>262</v>
      </c>
      <c r="H102" s="51">
        <v>0.915985068474924</v>
      </c>
      <c r="I102" s="51">
        <v>8.2243877594557522E-5</v>
      </c>
      <c r="J102" s="51">
        <f t="shared" si="30"/>
        <v>0.91606731235251859</v>
      </c>
      <c r="K102" s="58">
        <f t="shared" si="31"/>
        <v>0.91590282459732941</v>
      </c>
      <c r="L102" s="22">
        <v>20.510295901669412</v>
      </c>
      <c r="M102" s="22">
        <v>20.551808072711008</v>
      </c>
      <c r="N102" s="22">
        <f t="shared" si="20"/>
        <v>20.53105198719021</v>
      </c>
      <c r="O102" s="26">
        <f t="shared" si="21"/>
        <v>2.0756085520797996E-2</v>
      </c>
      <c r="P102" s="21">
        <v>20.330251575997274</v>
      </c>
      <c r="Q102" s="22">
        <v>20.371364089916614</v>
      </c>
      <c r="R102" s="22">
        <f t="shared" si="22"/>
        <v>20.350807832956946</v>
      </c>
      <c r="S102" s="26">
        <f t="shared" si="23"/>
        <v>2.0556256959670449E-2</v>
      </c>
      <c r="T102" s="22">
        <f t="shared" si="24"/>
        <v>20.440929910073578</v>
      </c>
      <c r="U102" s="22">
        <f t="shared" si="25"/>
        <v>0.10676251637465092</v>
      </c>
      <c r="V102" s="11">
        <f t="shared" si="26"/>
        <v>0.16504098007357726</v>
      </c>
      <c r="W102" s="23">
        <v>922.72644369299394</v>
      </c>
      <c r="X102" s="24">
        <v>922.75278981426004</v>
      </c>
      <c r="Y102" s="25">
        <f t="shared" si="43"/>
        <v>922.73961675362693</v>
      </c>
      <c r="Z102" s="25">
        <f t="shared" si="44"/>
        <v>622.73961675362693</v>
      </c>
      <c r="AA102" s="22">
        <v>20.654230362971195</v>
      </c>
      <c r="AB102" s="22">
        <v>20.695919687344748</v>
      </c>
      <c r="AC102" s="22">
        <f t="shared" si="47"/>
        <v>20.675075025157973</v>
      </c>
      <c r="AD102" s="26">
        <f t="shared" si="45"/>
        <v>2.084466218677683E-2</v>
      </c>
      <c r="AE102" s="21">
        <v>20.469413948453532</v>
      </c>
      <c r="AF102" s="22">
        <v>20.510689870282214</v>
      </c>
      <c r="AG102" s="22">
        <f t="shared" si="33"/>
        <v>20.490051909367871</v>
      </c>
      <c r="AH102" s="26">
        <f t="shared" si="46"/>
        <v>2.0637960914340781E-2</v>
      </c>
      <c r="AI102" s="22">
        <f t="shared" si="48"/>
        <v>20.582563467262922</v>
      </c>
      <c r="AJ102" s="26">
        <f t="shared" si="49"/>
        <v>0.10947511760127902</v>
      </c>
    </row>
    <row r="103" spans="1:36">
      <c r="A103" s="49" t="s">
        <v>263</v>
      </c>
      <c r="B103" s="50">
        <v>700</v>
      </c>
      <c r="C103" s="51">
        <v>0.92097163800000004</v>
      </c>
      <c r="D103" s="51">
        <v>1.3052199999999999E-4</v>
      </c>
      <c r="E103" s="21">
        <v>19.929298030000002</v>
      </c>
      <c r="F103" s="26">
        <v>0.02</v>
      </c>
      <c r="G103" s="23" t="s">
        <v>264</v>
      </c>
      <c r="H103" s="51">
        <v>0.91249506367933875</v>
      </c>
      <c r="I103" s="51">
        <v>8.9537919791259589E-5</v>
      </c>
      <c r="J103" s="51">
        <f t="shared" si="30"/>
        <v>0.91258460159913002</v>
      </c>
      <c r="K103" s="58">
        <f t="shared" si="31"/>
        <v>0.91240552575954748</v>
      </c>
      <c r="L103" s="22">
        <v>20.146138932386968</v>
      </c>
      <c r="M103" s="22">
        <v>20.192097624186641</v>
      </c>
      <c r="N103" s="22">
        <f t="shared" si="20"/>
        <v>20.169118278286803</v>
      </c>
      <c r="O103" s="26">
        <f t="shared" si="21"/>
        <v>2.297934589983619E-2</v>
      </c>
      <c r="P103" s="21">
        <v>20.000453696700223</v>
      </c>
      <c r="Q103" s="22">
        <v>20.046053055874516</v>
      </c>
      <c r="R103" s="22">
        <f t="shared" si="22"/>
        <v>20.023253376287371</v>
      </c>
      <c r="S103" s="26">
        <f t="shared" si="23"/>
        <v>2.2799679587146571E-2</v>
      </c>
      <c r="T103" s="22">
        <f t="shared" si="24"/>
        <v>20.096185827287087</v>
      </c>
      <c r="U103" s="22">
        <f t="shared" si="25"/>
        <v>8.826535955066861E-2</v>
      </c>
      <c r="V103" s="11">
        <f t="shared" si="26"/>
        <v>0.16688779728708525</v>
      </c>
      <c r="W103" s="23">
        <v>715.42297894613205</v>
      </c>
      <c r="X103" s="24">
        <v>715.44323025830499</v>
      </c>
      <c r="Y103" s="25">
        <f t="shared" si="43"/>
        <v>715.43310460221846</v>
      </c>
      <c r="Z103" s="25">
        <f t="shared" si="44"/>
        <v>415.43310460221846</v>
      </c>
      <c r="AA103" s="22">
        <v>20.241175314980843</v>
      </c>
      <c r="AB103" s="22">
        <v>20.287265004528592</v>
      </c>
      <c r="AC103" s="22">
        <f t="shared" si="47"/>
        <v>20.264220159754718</v>
      </c>
      <c r="AD103" s="26">
        <f t="shared" si="45"/>
        <v>2.3044844773874473E-2</v>
      </c>
      <c r="AE103" s="21">
        <v>20.092242688325985</v>
      </c>
      <c r="AF103" s="22">
        <v>20.137962937399251</v>
      </c>
      <c r="AG103" s="22">
        <f t="shared" si="33"/>
        <v>20.115102812862617</v>
      </c>
      <c r="AH103" s="26">
        <f t="shared" si="46"/>
        <v>2.2860124536633109E-2</v>
      </c>
      <c r="AI103" s="22">
        <f t="shared" si="48"/>
        <v>20.189661486308669</v>
      </c>
      <c r="AJ103" s="26">
        <f t="shared" si="49"/>
        <v>9.008011891848168E-2</v>
      </c>
    </row>
    <row r="104" spans="1:36">
      <c r="A104" s="49" t="s">
        <v>265</v>
      </c>
      <c r="B104" s="50">
        <v>500</v>
      </c>
      <c r="C104" s="51">
        <v>0.91946804500000001</v>
      </c>
      <c r="D104" s="51">
        <v>1.44771E-4</v>
      </c>
      <c r="E104" s="21">
        <v>19.52707388</v>
      </c>
      <c r="F104" s="26">
        <v>4.1000000000000002E-2</v>
      </c>
      <c r="G104" s="23" t="s">
        <v>266</v>
      </c>
      <c r="H104" s="51">
        <v>0.90953435772480129</v>
      </c>
      <c r="I104" s="51">
        <v>1.833479360421899E-4</v>
      </c>
      <c r="J104" s="51">
        <f t="shared" si="30"/>
        <v>0.90971770566084353</v>
      </c>
      <c r="K104" s="58">
        <f t="shared" si="31"/>
        <v>0.90935100978875905</v>
      </c>
      <c r="L104" s="22">
        <v>19.691171591786816</v>
      </c>
      <c r="M104" s="22">
        <v>19.78666716866438</v>
      </c>
      <c r="N104" s="22">
        <f t="shared" si="20"/>
        <v>19.738919380225596</v>
      </c>
      <c r="O104" s="26">
        <f t="shared" si="21"/>
        <v>4.7747788438782024E-2</v>
      </c>
      <c r="P104" s="21">
        <v>19.581547065898949</v>
      </c>
      <c r="Q104" s="22">
        <v>19.67645495956349</v>
      </c>
      <c r="R104" s="22">
        <f t="shared" si="22"/>
        <v>19.629001012731219</v>
      </c>
      <c r="S104" s="26">
        <f t="shared" si="23"/>
        <v>4.7453946832270333E-2</v>
      </c>
      <c r="T104" s="22">
        <f t="shared" si="24"/>
        <v>19.683960196478406</v>
      </c>
      <c r="U104" s="22">
        <f t="shared" si="25"/>
        <v>8.395535371878414E-2</v>
      </c>
      <c r="V104" s="11">
        <f t="shared" si="26"/>
        <v>0.15688631647840623</v>
      </c>
      <c r="W104" s="23">
        <v>509.57072279492928</v>
      </c>
      <c r="X104" s="24">
        <v>509.59758094066757</v>
      </c>
      <c r="Y104" s="25">
        <f t="shared" si="43"/>
        <v>509.58415186779843</v>
      </c>
      <c r="Z104" s="25">
        <f t="shared" si="44"/>
        <v>209.58415186779843</v>
      </c>
      <c r="AA104" s="22">
        <v>19.746247516438288</v>
      </c>
      <c r="AB104" s="22">
        <v>19.841901351365433</v>
      </c>
      <c r="AC104" s="22">
        <f t="shared" si="47"/>
        <v>19.794074433901862</v>
      </c>
      <c r="AD104" s="26">
        <f t="shared" si="45"/>
        <v>4.7826917463572372E-2</v>
      </c>
      <c r="AE104" s="21">
        <v>19.634708407832534</v>
      </c>
      <c r="AF104" s="22">
        <v>19.729762496792127</v>
      </c>
      <c r="AG104" s="22">
        <f t="shared" si="33"/>
        <v>19.68223545231233</v>
      </c>
      <c r="AH104" s="26">
        <f t="shared" si="46"/>
        <v>4.7527044479796388E-2</v>
      </c>
      <c r="AI104" s="22">
        <f t="shared" si="48"/>
        <v>19.738154943107098</v>
      </c>
      <c r="AJ104" s="26">
        <f t="shared" si="49"/>
        <v>8.4853650059159888E-2</v>
      </c>
    </row>
    <row r="105" spans="1:36">
      <c r="A105" s="49" t="s">
        <v>267</v>
      </c>
      <c r="B105" s="50">
        <v>300</v>
      </c>
      <c r="C105" s="51">
        <v>0.91817266399999997</v>
      </c>
      <c r="D105" s="51">
        <v>1.2538600000000001E-4</v>
      </c>
      <c r="E105" s="21">
        <v>19.139926939999999</v>
      </c>
      <c r="F105" s="26">
        <v>1.7100000000000001E-2</v>
      </c>
      <c r="G105" s="23" t="s">
        <v>268</v>
      </c>
      <c r="H105" s="51">
        <v>0.907201115764664</v>
      </c>
      <c r="I105" s="51">
        <v>7.2031070822350224E-5</v>
      </c>
      <c r="J105" s="51">
        <f t="shared" si="30"/>
        <v>0.90727314683548632</v>
      </c>
      <c r="K105" s="58">
        <f t="shared" si="31"/>
        <v>0.90712908469384168</v>
      </c>
      <c r="L105" s="22">
        <v>19.281830225129411</v>
      </c>
      <c r="M105" s="22">
        <v>19.319830916100127</v>
      </c>
      <c r="N105" s="22">
        <f t="shared" si="20"/>
        <v>19.300830570614771</v>
      </c>
      <c r="O105" s="26">
        <f t="shared" si="21"/>
        <v>1.9000345485357784E-2</v>
      </c>
      <c r="P105" s="21">
        <v>19.20512056613136</v>
      </c>
      <c r="Q105" s="22">
        <v>19.242938285481056</v>
      </c>
      <c r="R105" s="22">
        <f t="shared" si="22"/>
        <v>19.224029425806208</v>
      </c>
      <c r="S105" s="26">
        <f t="shared" si="23"/>
        <v>1.8908859674848344E-2</v>
      </c>
      <c r="T105" s="22">
        <f t="shared" si="24"/>
        <v>19.262429998210489</v>
      </c>
      <c r="U105" s="22">
        <f t="shared" si="25"/>
        <v>4.9448734562297682E-2</v>
      </c>
      <c r="V105" s="11">
        <f t="shared" si="26"/>
        <v>0.12250305821049068</v>
      </c>
      <c r="W105" s="23">
        <v>305.18598117765964</v>
      </c>
      <c r="X105" s="24">
        <v>305.19193435932453</v>
      </c>
      <c r="Y105" s="25">
        <f t="shared" si="43"/>
        <v>305.18895776849206</v>
      </c>
      <c r="Z105" s="25">
        <f t="shared" si="44"/>
        <v>5.1889577684920596</v>
      </c>
      <c r="AA105" s="22">
        <v>19.305378516943318</v>
      </c>
      <c r="AB105" s="22">
        <v>19.343404809911263</v>
      </c>
      <c r="AC105" s="22">
        <f t="shared" si="47"/>
        <v>19.324391663427292</v>
      </c>
      <c r="AD105" s="26">
        <f t="shared" si="45"/>
        <v>1.9013146483972676E-2</v>
      </c>
      <c r="AE105" s="21">
        <v>19.227859743695802</v>
      </c>
      <c r="AF105" s="22">
        <v>19.265701166671906</v>
      </c>
      <c r="AG105" s="22">
        <f t="shared" si="33"/>
        <v>19.246780455183853</v>
      </c>
      <c r="AH105" s="26">
        <f t="shared" si="46"/>
        <v>1.8920711488052078E-2</v>
      </c>
      <c r="AI105" s="22">
        <f t="shared" si="48"/>
        <v>19.285586059305572</v>
      </c>
      <c r="AJ105" s="26">
        <f t="shared" si="49"/>
        <v>4.9874795805350397E-2</v>
      </c>
    </row>
    <row r="106" spans="1:36">
      <c r="A106" s="49"/>
      <c r="B106" s="50"/>
      <c r="C106" s="51"/>
      <c r="D106" s="51"/>
      <c r="E106" s="21"/>
      <c r="F106" s="26"/>
      <c r="G106" s="23"/>
      <c r="H106" s="51"/>
      <c r="I106" s="51"/>
      <c r="J106" s="51"/>
      <c r="K106" s="58"/>
      <c r="L106" s="22"/>
      <c r="M106" s="22"/>
      <c r="N106" s="22"/>
      <c r="O106" s="26"/>
      <c r="P106" s="21"/>
      <c r="Q106" s="22"/>
      <c r="R106" s="22"/>
      <c r="S106" s="26"/>
      <c r="T106" s="22"/>
      <c r="U106" s="22"/>
      <c r="V106" s="11"/>
      <c r="W106" s="23"/>
      <c r="X106" s="24"/>
      <c r="Y106" s="25"/>
      <c r="Z106" s="25"/>
      <c r="AA106" s="22"/>
      <c r="AB106" s="22"/>
      <c r="AC106" s="22"/>
      <c r="AD106" s="26"/>
      <c r="AE106" s="21"/>
      <c r="AF106" s="22"/>
      <c r="AG106" s="22"/>
      <c r="AH106" s="26"/>
      <c r="AI106" s="22"/>
      <c r="AJ106" s="26"/>
    </row>
    <row r="107" spans="1:36">
      <c r="A107" s="49" t="s">
        <v>269</v>
      </c>
      <c r="B107" s="50">
        <v>1700</v>
      </c>
      <c r="C107" s="51">
        <v>0.93379920500000002</v>
      </c>
      <c r="D107" s="51">
        <v>1.56844E-4</v>
      </c>
      <c r="E107" s="21">
        <v>21.393441450000001</v>
      </c>
      <c r="F107" s="26">
        <v>1.7000000000000001E-2</v>
      </c>
      <c r="G107" s="23" t="s">
        <v>270</v>
      </c>
      <c r="H107" s="51">
        <v>0.93309769217354144</v>
      </c>
      <c r="I107" s="51">
        <v>7.4604201667908358E-5</v>
      </c>
      <c r="J107" s="51">
        <f t="shared" si="30"/>
        <v>0.93317229637520938</v>
      </c>
      <c r="K107" s="58">
        <f t="shared" si="31"/>
        <v>0.9330230879718735</v>
      </c>
      <c r="L107" s="22">
        <v>21.516852456856348</v>
      </c>
      <c r="M107" s="22">
        <v>21.551536361800533</v>
      </c>
      <c r="N107" s="22">
        <f t="shared" si="20"/>
        <v>21.534194409328443</v>
      </c>
      <c r="O107" s="26">
        <f t="shared" si="21"/>
        <v>1.7341952472092359E-2</v>
      </c>
      <c r="P107" s="21">
        <v>21.235809545200357</v>
      </c>
      <c r="Q107" s="22">
        <v>21.269892529175092</v>
      </c>
      <c r="R107" s="22">
        <f t="shared" si="22"/>
        <v>21.252851037187725</v>
      </c>
      <c r="S107" s="26">
        <f t="shared" si="23"/>
        <v>1.7041491987367152E-2</v>
      </c>
      <c r="T107" s="22">
        <f t="shared" si="24"/>
        <v>21.393522723258084</v>
      </c>
      <c r="U107" s="22">
        <f t="shared" si="25"/>
        <v>0.16364229748337186</v>
      </c>
      <c r="V107" s="11">
        <f t="shared" si="26"/>
        <v>8.1273258082603661E-5</v>
      </c>
      <c r="W107" s="23">
        <v>1766.6887541441877</v>
      </c>
      <c r="X107" s="24">
        <v>1766.7494335896072</v>
      </c>
      <c r="Y107" s="25">
        <f>(W107+X107)/2</f>
        <v>1766.7190938668973</v>
      </c>
      <c r="Z107" s="25">
        <f>Y107-300</f>
        <v>1466.7190938668973</v>
      </c>
      <c r="AA107" s="22">
        <v>21.949250400243805</v>
      </c>
      <c r="AB107" s="22">
        <v>21.984357813783642</v>
      </c>
      <c r="AC107" s="22">
        <f t="shared" si="47"/>
        <v>21.966804107013722</v>
      </c>
      <c r="AD107" s="26">
        <f>ABS(AA107-AB107)/2</f>
        <v>1.755370676991852E-2</v>
      </c>
      <c r="AE107" s="21">
        <v>21.656253549066506</v>
      </c>
      <c r="AF107" s="22">
        <v>21.690727283406098</v>
      </c>
      <c r="AG107" s="22">
        <f>(AE107+AF107)/2</f>
        <v>21.673490416236302</v>
      </c>
      <c r="AH107" s="26">
        <f>ABS(AE107-AF107)/2</f>
        <v>1.7236867169796E-2</v>
      </c>
      <c r="AI107" s="22">
        <f t="shared" si="48"/>
        <v>21.82014726162501</v>
      </c>
      <c r="AJ107" s="26">
        <f t="shared" si="49"/>
        <v>0.17053191843939389</v>
      </c>
    </row>
    <row r="108" spans="1:36">
      <c r="A108" s="49" t="s">
        <v>271</v>
      </c>
      <c r="B108" s="50">
        <v>1700</v>
      </c>
      <c r="C108" s="51">
        <v>0.93688137699999996</v>
      </c>
      <c r="D108" s="51">
        <v>1.5335899999999999E-4</v>
      </c>
      <c r="E108" s="21">
        <v>20.692074590000001</v>
      </c>
      <c r="F108" s="26">
        <v>2.9000000000000001E-2</v>
      </c>
      <c r="G108" s="23" t="s">
        <v>272</v>
      </c>
      <c r="H108" s="51">
        <v>0.93625059430446256</v>
      </c>
      <c r="I108" s="51">
        <v>1.1952035684259158E-4</v>
      </c>
      <c r="J108" s="51">
        <f t="shared" si="30"/>
        <v>0.93637011466130515</v>
      </c>
      <c r="K108" s="58">
        <f t="shared" si="31"/>
        <v>0.93613107394761996</v>
      </c>
      <c r="L108" s="22">
        <v>20.780177046568241</v>
      </c>
      <c r="M108" s="22">
        <v>20.834806281165569</v>
      </c>
      <c r="N108" s="22">
        <f t="shared" si="20"/>
        <v>20.807491663866905</v>
      </c>
      <c r="O108" s="26">
        <f t="shared" si="21"/>
        <v>2.7314617298664245E-2</v>
      </c>
      <c r="P108" s="22">
        <v>20.511923087577671</v>
      </c>
      <c r="Q108" s="22">
        <v>20.565602422885661</v>
      </c>
      <c r="R108" s="22">
        <f t="shared" si="22"/>
        <v>20.538762755231666</v>
      </c>
      <c r="S108" s="26">
        <f t="shared" si="23"/>
        <v>2.6839667653995036E-2</v>
      </c>
      <c r="T108" s="22">
        <f t="shared" si="24"/>
        <v>20.673127209549286</v>
      </c>
      <c r="U108" s="22">
        <f t="shared" si="25"/>
        <v>0.15826995765904281</v>
      </c>
      <c r="V108" s="11">
        <f t="shared" si="26"/>
        <v>-1.8947380450715201E-2</v>
      </c>
      <c r="W108" s="24">
        <v>1765.3831052832859</v>
      </c>
      <c r="X108" s="24">
        <v>1765.4810495985273</v>
      </c>
      <c r="Y108" s="25">
        <f>(W108+X108)/2</f>
        <v>1765.4320774409066</v>
      </c>
      <c r="Z108" s="25">
        <f>Y108-300</f>
        <v>1465.4320774409066</v>
      </c>
      <c r="AA108" s="22">
        <v>21.203486287636693</v>
      </c>
      <c r="AB108" s="22">
        <v>21.258795745058194</v>
      </c>
      <c r="AC108" s="22">
        <f t="shared" si="47"/>
        <v>21.231141016347443</v>
      </c>
      <c r="AD108" s="26">
        <f>ABS(AA108-AB108)/2</f>
        <v>2.7654728710750476E-2</v>
      </c>
      <c r="AE108" s="22">
        <v>20.923969456311298</v>
      </c>
      <c r="AF108" s="22">
        <v>20.978278082650952</v>
      </c>
      <c r="AG108" s="22">
        <f t="shared" ref="AG108:AG133" si="50">(AE108+AF108)/2</f>
        <v>20.951123769481125</v>
      </c>
      <c r="AH108" s="26">
        <f>ABS(AE108-AF108)/2</f>
        <v>2.7154313169827304E-2</v>
      </c>
      <c r="AI108" s="22">
        <f t="shared" si="48"/>
        <v>21.091132392914282</v>
      </c>
      <c r="AJ108" s="26">
        <f t="shared" si="49"/>
        <v>0.16473609200796815</v>
      </c>
    </row>
    <row r="109" spans="1:36">
      <c r="A109" s="49" t="s">
        <v>273</v>
      </c>
      <c r="B109" s="50">
        <v>1700</v>
      </c>
      <c r="C109" s="51">
        <v>0.93919430500000001</v>
      </c>
      <c r="D109" s="51">
        <v>1.84465E-4</v>
      </c>
      <c r="E109" s="21">
        <v>19.93627876</v>
      </c>
      <c r="F109" s="26">
        <v>2.7E-2</v>
      </c>
      <c r="G109" s="23" t="s">
        <v>274</v>
      </c>
      <c r="H109" s="51">
        <v>0.93970781123677283</v>
      </c>
      <c r="I109" s="51">
        <v>1.3770096772868149E-4</v>
      </c>
      <c r="J109" s="51">
        <f t="shared" si="30"/>
        <v>0.93984551220450152</v>
      </c>
      <c r="K109" s="58">
        <f t="shared" si="31"/>
        <v>0.93957011026904413</v>
      </c>
      <c r="L109" s="22">
        <v>19.993830492877553</v>
      </c>
      <c r="M109" s="22">
        <v>20.055606782400311</v>
      </c>
      <c r="N109" s="22">
        <f t="shared" si="20"/>
        <v>20.024718637638934</v>
      </c>
      <c r="O109" s="26">
        <f t="shared" si="21"/>
        <v>3.0888144761378911E-2</v>
      </c>
      <c r="P109" s="22">
        <v>19.739270241459586</v>
      </c>
      <c r="Q109" s="22">
        <v>19.799969565789581</v>
      </c>
      <c r="R109" s="22">
        <f t="shared" si="22"/>
        <v>19.769619903624584</v>
      </c>
      <c r="S109" s="26">
        <f t="shared" si="23"/>
        <v>3.0349662164997682E-2</v>
      </c>
      <c r="T109" s="22">
        <f t="shared" si="24"/>
        <v>19.897169270631757</v>
      </c>
      <c r="U109" s="22">
        <f t="shared" si="25"/>
        <v>0.15146586310274887</v>
      </c>
      <c r="V109" s="11">
        <f t="shared" si="26"/>
        <v>-3.9109489368243544E-2</v>
      </c>
      <c r="W109" s="24">
        <v>1763.9526469587368</v>
      </c>
      <c r="X109" s="24">
        <v>1764.0664469054689</v>
      </c>
      <c r="Y109" s="25">
        <f>(W109+X109)/2</f>
        <v>1764.0095469321027</v>
      </c>
      <c r="Z109" s="25">
        <f>Y109-300</f>
        <v>1464.0095469321027</v>
      </c>
      <c r="AA109" s="22">
        <v>20.40723359905752</v>
      </c>
      <c r="AB109" s="22">
        <v>20.469796048581259</v>
      </c>
      <c r="AC109" s="22">
        <f t="shared" si="47"/>
        <v>20.438514823819389</v>
      </c>
      <c r="AD109" s="26">
        <f>ABS(AA109-AB109)/2</f>
        <v>3.1281224761869453E-2</v>
      </c>
      <c r="AE109" s="22">
        <v>20.142137745163026</v>
      </c>
      <c r="AF109" s="22">
        <v>20.203566499890805</v>
      </c>
      <c r="AG109" s="22">
        <f t="shared" si="50"/>
        <v>20.172852122526916</v>
      </c>
      <c r="AH109" s="26">
        <f>ABS(AE109-AF109)/2</f>
        <v>3.0714377363889156E-2</v>
      </c>
      <c r="AI109" s="22">
        <f t="shared" si="48"/>
        <v>20.305683473173154</v>
      </c>
      <c r="AJ109" s="26">
        <f t="shared" si="49"/>
        <v>0.157501795605555</v>
      </c>
    </row>
    <row r="110" spans="1:36">
      <c r="A110" s="49" t="s">
        <v>275</v>
      </c>
      <c r="B110" s="50">
        <v>1500</v>
      </c>
      <c r="C110" s="51">
        <v>0.93649757300000003</v>
      </c>
      <c r="D110" s="51">
        <v>1.19862E-4</v>
      </c>
      <c r="E110" s="21">
        <v>19.538744869999999</v>
      </c>
      <c r="F110" s="26">
        <v>0.02</v>
      </c>
      <c r="G110" s="23" t="s">
        <v>276</v>
      </c>
      <c r="H110" s="51">
        <v>0.93557496490941783</v>
      </c>
      <c r="I110" s="51">
        <v>1.012210867706501E-4</v>
      </c>
      <c r="J110" s="51">
        <f t="shared" si="30"/>
        <v>0.93567618599618851</v>
      </c>
      <c r="K110" s="58">
        <f t="shared" si="31"/>
        <v>0.93547374382264714</v>
      </c>
      <c r="L110" s="22">
        <v>19.646343086624078</v>
      </c>
      <c r="M110" s="22">
        <v>19.692659737596518</v>
      </c>
      <c r="N110" s="22">
        <f t="shared" si="20"/>
        <v>19.6695014121103</v>
      </c>
      <c r="O110" s="26">
        <f t="shared" si="21"/>
        <v>2.3158325486219766E-2</v>
      </c>
      <c r="P110" s="22">
        <v>19.410003652010531</v>
      </c>
      <c r="Q110" s="22">
        <v>19.455601440591415</v>
      </c>
      <c r="R110" s="22">
        <f t="shared" si="22"/>
        <v>19.432802546300973</v>
      </c>
      <c r="S110" s="26">
        <f t="shared" si="23"/>
        <v>2.2798894290442462E-2</v>
      </c>
      <c r="T110" s="22">
        <f t="shared" si="24"/>
        <v>19.551151979205635</v>
      </c>
      <c r="U110" s="22">
        <f t="shared" si="25"/>
        <v>0.13921033045456296</v>
      </c>
      <c r="V110" s="11">
        <f t="shared" si="26"/>
        <v>1.2407109205636146E-2</v>
      </c>
      <c r="W110" s="24">
        <v>1551.0321266756705</v>
      </c>
      <c r="X110" s="24">
        <v>1551.1018116731527</v>
      </c>
      <c r="Y110" s="25">
        <f>(W110+X110)/2</f>
        <v>1551.0669691744115</v>
      </c>
      <c r="Z110" s="25">
        <f>Y110-300</f>
        <v>1251.0669691744115</v>
      </c>
      <c r="AA110" s="22">
        <v>19.975736465637937</v>
      </c>
      <c r="AB110" s="22">
        <v>20.02253282159775</v>
      </c>
      <c r="AC110" s="22">
        <f t="shared" si="47"/>
        <v>19.999134643617843</v>
      </c>
      <c r="AD110" s="26">
        <f>ABS(AA110-AB110)/2</f>
        <v>2.339817797990662E-2</v>
      </c>
      <c r="AE110" s="22">
        <v>19.730562277614752</v>
      </c>
      <c r="AF110" s="22">
        <v>19.776605260900695</v>
      </c>
      <c r="AG110" s="22">
        <f t="shared" si="50"/>
        <v>19.753583769257723</v>
      </c>
      <c r="AH110" s="26">
        <f>ABS(AE110-AF110)/2</f>
        <v>2.3021491642971625E-2</v>
      </c>
      <c r="AI110" s="22">
        <f t="shared" si="48"/>
        <v>19.876359206437783</v>
      </c>
      <c r="AJ110" s="26">
        <f t="shared" si="49"/>
        <v>0.14428000498973406</v>
      </c>
    </row>
    <row r="111" spans="1:36">
      <c r="A111" s="49"/>
      <c r="B111" s="50"/>
      <c r="C111" s="51"/>
      <c r="D111" s="51"/>
      <c r="E111" s="21"/>
      <c r="F111" s="26"/>
      <c r="G111" s="23"/>
      <c r="H111" s="51"/>
      <c r="I111" s="51"/>
      <c r="J111" s="51"/>
      <c r="K111" s="58"/>
      <c r="L111" s="22"/>
      <c r="M111" s="22"/>
      <c r="N111" s="22"/>
      <c r="O111" s="26"/>
      <c r="P111" s="22"/>
      <c r="Q111" s="22"/>
      <c r="R111" s="22"/>
      <c r="S111" s="26"/>
      <c r="T111" s="22"/>
      <c r="U111" s="22"/>
      <c r="V111" s="11"/>
      <c r="W111" s="24"/>
      <c r="X111" s="24"/>
      <c r="Y111" s="25"/>
      <c r="Z111" s="25"/>
      <c r="AA111" s="22"/>
      <c r="AB111" s="22"/>
      <c r="AC111" s="22"/>
      <c r="AD111" s="26"/>
      <c r="AE111" s="22"/>
      <c r="AF111" s="22"/>
      <c r="AG111" s="22"/>
      <c r="AH111" s="26"/>
      <c r="AI111" s="22"/>
      <c r="AJ111" s="26"/>
    </row>
    <row r="112" spans="1:36">
      <c r="A112" s="49" t="s">
        <v>277</v>
      </c>
      <c r="B112" s="50">
        <v>1800</v>
      </c>
      <c r="C112" s="51">
        <v>0.93478513600000002</v>
      </c>
      <c r="D112" s="51">
        <v>2.5632999999999998E-4</v>
      </c>
      <c r="E112" s="21">
        <v>21.535638420000002</v>
      </c>
      <c r="F112" s="26">
        <v>7.3999999999999996E-2</v>
      </c>
      <c r="G112" s="23" t="s">
        <v>278</v>
      </c>
      <c r="H112" s="51">
        <v>0.93538543605490521</v>
      </c>
      <c r="I112" s="51">
        <v>3.1085009305428167E-4</v>
      </c>
      <c r="J112" s="51">
        <f t="shared" ref="J112:J167" si="51">H112+I112</f>
        <v>0.93569628614795952</v>
      </c>
      <c r="K112" s="58">
        <f t="shared" ref="K112:K167" si="52">H112-I112</f>
        <v>0.93507458596185089</v>
      </c>
      <c r="L112" s="22">
        <v>21.582122317430503</v>
      </c>
      <c r="M112" s="22">
        <v>21.725050705920715</v>
      </c>
      <c r="N112" s="22">
        <f t="shared" ref="N112:N133" si="53">(L112+M112)/2</f>
        <v>21.653586511675609</v>
      </c>
      <c r="O112" s="26">
        <f t="shared" ref="O112:O133" si="54">ABS(L112-M112)/2</f>
        <v>7.1464194245105972E-2</v>
      </c>
      <c r="P112" s="22">
        <v>21.293811159016624</v>
      </c>
      <c r="Q112" s="22">
        <v>21.434123995993446</v>
      </c>
      <c r="R112" s="22">
        <f t="shared" ref="R112:R133" si="55">(P112+Q112)/2</f>
        <v>21.363967577505036</v>
      </c>
      <c r="S112" s="26">
        <f t="shared" ref="S112:S133" si="56">ABS(P112-Q112)/2</f>
        <v>7.0156418488410921E-2</v>
      </c>
      <c r="T112" s="22">
        <f t="shared" ref="T112:T133" si="57">AVERAGE(L112,M112,P112,Q112)</f>
        <v>21.508777044590321</v>
      </c>
      <c r="U112" s="22">
        <f t="shared" ref="U112:U133" si="58">STDEV(L112,M112,P112,Q112)</f>
        <v>0.18613367531476421</v>
      </c>
      <c r="V112" s="11">
        <f t="shared" ref="V112:V133" si="59">T112-E112</f>
        <v>-2.6861375409680477E-2</v>
      </c>
      <c r="W112" s="24">
        <v>1873.8045438176987</v>
      </c>
      <c r="X112" s="24">
        <v>1874.0796256818703</v>
      </c>
      <c r="Y112" s="25">
        <f>(W112+X112)/2</f>
        <v>1873.9420847497845</v>
      </c>
      <c r="Z112" s="25">
        <f>Y112-300</f>
        <v>1573.9420847497845</v>
      </c>
      <c r="AA112" s="22">
        <v>22.060710705531779</v>
      </c>
      <c r="AB112" s="22">
        <v>22.205560683379574</v>
      </c>
      <c r="AC112" s="22">
        <f t="shared" si="47"/>
        <v>22.133135694455675</v>
      </c>
      <c r="AD112" s="26">
        <f>ABS(AA112-AB112)/2</f>
        <v>7.242498892389726E-2</v>
      </c>
      <c r="AE112" s="22">
        <v>21.75955948053489</v>
      </c>
      <c r="AF112" s="22">
        <v>21.901645378011544</v>
      </c>
      <c r="AG112" s="22">
        <f t="shared" si="50"/>
        <v>21.830602429273217</v>
      </c>
      <c r="AH112" s="26">
        <f>ABS(AE112-AF112)/2</f>
        <v>7.1042948738327283E-2</v>
      </c>
      <c r="AI112" s="22">
        <f t="shared" si="48"/>
        <v>21.981869061864444</v>
      </c>
      <c r="AJ112" s="26">
        <f t="shared" si="49"/>
        <v>0.19331436893834081</v>
      </c>
    </row>
    <row r="113" spans="1:36">
      <c r="A113" s="49" t="s">
        <v>279</v>
      </c>
      <c r="B113" s="50">
        <v>1900</v>
      </c>
      <c r="C113" s="51">
        <v>0.93646377800000002</v>
      </c>
      <c r="D113" s="51">
        <v>2.0441200000000001E-4</v>
      </c>
      <c r="E113" s="21">
        <v>21.709527250000001</v>
      </c>
      <c r="F113" s="26">
        <v>3.7999999999999999E-2</v>
      </c>
      <c r="G113" s="23" t="s">
        <v>280</v>
      </c>
      <c r="H113" s="51">
        <v>0.93754957268010497</v>
      </c>
      <c r="I113" s="51">
        <v>1.6187069543626125E-4</v>
      </c>
      <c r="J113" s="51">
        <f t="shared" si="51"/>
        <v>0.93771144337554124</v>
      </c>
      <c r="K113" s="58">
        <f t="shared" si="52"/>
        <v>0.9373877019846687</v>
      </c>
      <c r="L113" s="22">
        <v>21.770072865328693</v>
      </c>
      <c r="M113" s="22">
        <v>21.843731502080026</v>
      </c>
      <c r="N113" s="22">
        <f t="shared" si="53"/>
        <v>21.806902183704359</v>
      </c>
      <c r="O113" s="26">
        <f t="shared" si="54"/>
        <v>3.6829318375666276E-2</v>
      </c>
      <c r="P113" s="22">
        <v>21.473229688458673</v>
      </c>
      <c r="Q113" s="22">
        <v>21.545468900552613</v>
      </c>
      <c r="R113" s="22">
        <f t="shared" si="55"/>
        <v>21.509349294505643</v>
      </c>
      <c r="S113" s="26">
        <f t="shared" si="56"/>
        <v>3.6119606046970176E-2</v>
      </c>
      <c r="T113" s="22">
        <f t="shared" si="57"/>
        <v>21.658125739105003</v>
      </c>
      <c r="U113" s="22">
        <f t="shared" si="58"/>
        <v>0.17688015823951952</v>
      </c>
      <c r="V113" s="11">
        <f t="shared" si="59"/>
        <v>-5.1401510894997671E-2</v>
      </c>
      <c r="W113" s="24">
        <v>1981.5543479734358</v>
      </c>
      <c r="X113" s="24">
        <v>1981.7093926376301</v>
      </c>
      <c r="Y113" s="25">
        <f>(W113+X113)/2</f>
        <v>1981.6318703055331</v>
      </c>
      <c r="Z113" s="25">
        <f>Y113-300</f>
        <v>1681.6318703055331</v>
      </c>
      <c r="AA113" s="22">
        <v>22.298995268844621</v>
      </c>
      <c r="AB113" s="22">
        <v>22.373737838975778</v>
      </c>
      <c r="AC113" s="22">
        <f t="shared" si="47"/>
        <v>22.336366553910199</v>
      </c>
      <c r="AD113" s="26">
        <f>ABS(AA113-AB113)/2</f>
        <v>3.7371285065578519E-2</v>
      </c>
      <c r="AE113" s="22">
        <v>21.988305041188454</v>
      </c>
      <c r="AF113" s="22">
        <v>22.061544335020663</v>
      </c>
      <c r="AG113" s="22">
        <f t="shared" si="50"/>
        <v>22.024924688104559</v>
      </c>
      <c r="AH113" s="26">
        <f>ABS(AE113-AF113)/2</f>
        <v>3.6619646916104642E-2</v>
      </c>
      <c r="AI113" s="22">
        <f t="shared" si="48"/>
        <v>22.180645621007379</v>
      </c>
      <c r="AJ113" s="26">
        <f t="shared" si="49"/>
        <v>0.18481635817925191</v>
      </c>
    </row>
    <row r="114" spans="1:36">
      <c r="A114" s="49"/>
      <c r="B114" s="50"/>
      <c r="C114" s="51"/>
      <c r="D114" s="51"/>
      <c r="E114" s="21"/>
      <c r="F114" s="26"/>
      <c r="G114" s="23"/>
      <c r="H114" s="51"/>
      <c r="I114" s="51"/>
      <c r="J114" s="51"/>
      <c r="K114" s="58"/>
      <c r="L114" s="22"/>
      <c r="M114" s="22"/>
      <c r="N114" s="22"/>
      <c r="O114" s="26"/>
      <c r="P114" s="22"/>
      <c r="Q114" s="22"/>
      <c r="R114" s="22"/>
      <c r="S114" s="26"/>
      <c r="T114" s="22"/>
      <c r="U114" s="22"/>
      <c r="V114" s="11"/>
      <c r="W114" s="24"/>
      <c r="X114" s="24"/>
      <c r="Y114" s="25"/>
      <c r="Z114" s="25"/>
      <c r="AA114" s="22"/>
      <c r="AB114" s="22"/>
      <c r="AC114" s="22"/>
      <c r="AD114" s="26"/>
      <c r="AE114" s="22"/>
      <c r="AF114" s="22"/>
      <c r="AG114" s="22"/>
      <c r="AH114" s="26"/>
      <c r="AI114" s="22"/>
      <c r="AJ114" s="26"/>
    </row>
    <row r="115" spans="1:36">
      <c r="A115" s="49" t="s">
        <v>281</v>
      </c>
      <c r="B115" s="50">
        <v>1500</v>
      </c>
      <c r="C115" s="51">
        <v>0.93440453999999995</v>
      </c>
      <c r="D115" s="51">
        <v>1.77405E-4</v>
      </c>
      <c r="E115" s="21">
        <v>20.169277730000001</v>
      </c>
      <c r="F115" s="26">
        <v>2.5000000000000001E-2</v>
      </c>
      <c r="G115" s="23" t="s">
        <v>282</v>
      </c>
      <c r="H115" s="51">
        <v>0.93274461079561743</v>
      </c>
      <c r="I115" s="51">
        <v>1.0320057211240061E-4</v>
      </c>
      <c r="J115" s="51">
        <f t="shared" si="51"/>
        <v>0.93284781136772987</v>
      </c>
      <c r="K115" s="58">
        <f t="shared" si="52"/>
        <v>0.932641410223505</v>
      </c>
      <c r="L115" s="22">
        <v>20.298042617842842</v>
      </c>
      <c r="M115" s="22">
        <v>20.345990133566968</v>
      </c>
      <c r="N115" s="22">
        <f t="shared" si="53"/>
        <v>20.322016375704905</v>
      </c>
      <c r="O115" s="26">
        <f t="shared" si="54"/>
        <v>2.3973757862062683E-2</v>
      </c>
      <c r="P115" s="22">
        <v>20.051601539611489</v>
      </c>
      <c r="Q115" s="22">
        <v>20.098807095140348</v>
      </c>
      <c r="R115" s="22">
        <f t="shared" si="55"/>
        <v>20.07520431737592</v>
      </c>
      <c r="S115" s="26">
        <f t="shared" si="56"/>
        <v>2.3602777764429206E-2</v>
      </c>
      <c r="T115" s="22">
        <f t="shared" si="57"/>
        <v>20.198610346540413</v>
      </c>
      <c r="U115" s="22">
        <f t="shared" si="58"/>
        <v>0.14512047466966041</v>
      </c>
      <c r="V115" s="11">
        <f t="shared" si="59"/>
        <v>2.9332616540411749E-2</v>
      </c>
      <c r="W115" s="24">
        <v>1552.0022348557056</v>
      </c>
      <c r="X115" s="24">
        <v>1552.0727382072007</v>
      </c>
      <c r="Y115" s="25">
        <f t="shared" ref="Y115:Y123" si="60">(W115+X115)/2</f>
        <v>1552.0374865314532</v>
      </c>
      <c r="Z115" s="25">
        <f t="shared" ref="Z115:Z123" si="61">Y115-300</f>
        <v>1252.0374865314532</v>
      </c>
      <c r="AA115" s="22">
        <v>20.634127467964035</v>
      </c>
      <c r="AB115" s="22">
        <v>20.682562423731696</v>
      </c>
      <c r="AC115" s="22">
        <f t="shared" si="47"/>
        <v>20.658344945847865</v>
      </c>
      <c r="AD115" s="26">
        <f t="shared" ref="AD115:AD123" si="62">ABS(AA115-AB115)/2</f>
        <v>2.4217477883830441E-2</v>
      </c>
      <c r="AE115" s="22">
        <v>20.378363291168711</v>
      </c>
      <c r="AF115" s="22">
        <v>20.426020126982095</v>
      </c>
      <c r="AG115" s="22">
        <f t="shared" si="50"/>
        <v>20.402191709075403</v>
      </c>
      <c r="AH115" s="26">
        <f t="shared" ref="AH115:AH123" si="63">ABS(AE115-AF115)/2</f>
        <v>2.3828417906692323E-2</v>
      </c>
      <c r="AI115" s="22">
        <f t="shared" si="48"/>
        <v>20.530268327461634</v>
      </c>
      <c r="AJ115" s="26">
        <f t="shared" si="49"/>
        <v>0.15046931046893333</v>
      </c>
    </row>
    <row r="116" spans="1:36">
      <c r="A116" s="49" t="s">
        <v>283</v>
      </c>
      <c r="B116" s="50">
        <v>1500</v>
      </c>
      <c r="C116" s="51">
        <v>0.93829237200000004</v>
      </c>
      <c r="D116" s="51">
        <v>1.32306E-4</v>
      </c>
      <c r="E116" s="21">
        <v>19.289550009999999</v>
      </c>
      <c r="F116" s="26">
        <v>6.3E-2</v>
      </c>
      <c r="G116" s="23" t="s">
        <v>284</v>
      </c>
      <c r="H116" s="51">
        <v>0.93670525951850003</v>
      </c>
      <c r="I116" s="51">
        <v>3.242739226759925E-4</v>
      </c>
      <c r="J116" s="51">
        <f t="shared" si="51"/>
        <v>0.93702953344117601</v>
      </c>
      <c r="K116" s="58">
        <f t="shared" si="52"/>
        <v>0.93638098559582406</v>
      </c>
      <c r="L116" s="22">
        <v>19.338005061484907</v>
      </c>
      <c r="M116" s="22">
        <v>19.48548564312205</v>
      </c>
      <c r="N116" s="22">
        <f t="shared" si="53"/>
        <v>19.411745352303477</v>
      </c>
      <c r="O116" s="26">
        <f t="shared" si="54"/>
        <v>7.3740290818571808E-2</v>
      </c>
      <c r="P116" s="22">
        <v>19.106454210683683</v>
      </c>
      <c r="Q116" s="22">
        <v>19.251643755611504</v>
      </c>
      <c r="R116" s="22">
        <f t="shared" si="55"/>
        <v>19.179048983147595</v>
      </c>
      <c r="S116" s="26">
        <f t="shared" si="56"/>
        <v>7.2594772463910218E-2</v>
      </c>
      <c r="T116" s="22">
        <f t="shared" si="57"/>
        <v>19.295397167725532</v>
      </c>
      <c r="U116" s="22">
        <f t="shared" si="58"/>
        <v>0.15870608387469051</v>
      </c>
      <c r="V116" s="11">
        <f t="shared" si="59"/>
        <v>5.8471577255332363E-3</v>
      </c>
      <c r="W116" s="24">
        <v>1550.5652733561221</v>
      </c>
      <c r="X116" s="24">
        <v>1550.7892158484299</v>
      </c>
      <c r="Y116" s="25">
        <f t="shared" si="60"/>
        <v>1550.677244602276</v>
      </c>
      <c r="Z116" s="25">
        <f t="shared" si="61"/>
        <v>1250.677244602276</v>
      </c>
      <c r="AA116" s="22">
        <v>19.664188430037747</v>
      </c>
      <c r="AB116" s="22">
        <v>19.813207990665987</v>
      </c>
      <c r="AC116" s="22">
        <f t="shared" si="47"/>
        <v>19.738698210351867</v>
      </c>
      <c r="AD116" s="26">
        <f t="shared" si="62"/>
        <v>7.4509780314119922E-2</v>
      </c>
      <c r="AE116" s="22">
        <v>19.424031777244025</v>
      </c>
      <c r="AF116" s="22">
        <v>19.570650964200205</v>
      </c>
      <c r="AG116" s="22">
        <f t="shared" si="50"/>
        <v>19.497341370722115</v>
      </c>
      <c r="AH116" s="26">
        <f t="shared" si="63"/>
        <v>7.3309593478089852E-2</v>
      </c>
      <c r="AI116" s="22">
        <f t="shared" si="48"/>
        <v>19.618019790536991</v>
      </c>
      <c r="AJ116" s="26">
        <f t="shared" si="49"/>
        <v>0.16340658060272467</v>
      </c>
    </row>
    <row r="117" spans="1:36">
      <c r="A117" s="49" t="s">
        <v>285</v>
      </c>
      <c r="B117" s="50">
        <v>1500</v>
      </c>
      <c r="C117" s="51">
        <v>0.94087011899999995</v>
      </c>
      <c r="D117" s="51">
        <v>1.46742E-4</v>
      </c>
      <c r="E117" s="21">
        <v>18.619818639999998</v>
      </c>
      <c r="F117" s="26">
        <v>0.02</v>
      </c>
      <c r="G117" s="23" t="s">
        <v>286</v>
      </c>
      <c r="H117" s="51">
        <v>0.93977667191103575</v>
      </c>
      <c r="I117" s="51">
        <v>9.7155083765803038E-5</v>
      </c>
      <c r="J117" s="51">
        <f t="shared" si="51"/>
        <v>0.9398738269948016</v>
      </c>
      <c r="K117" s="58">
        <f t="shared" si="52"/>
        <v>0.93967951682726991</v>
      </c>
      <c r="L117" s="22">
        <v>18.697259246698184</v>
      </c>
      <c r="M117" s="22">
        <v>18.740720528138326</v>
      </c>
      <c r="N117" s="22">
        <f t="shared" si="53"/>
        <v>18.718989887418253</v>
      </c>
      <c r="O117" s="26">
        <f t="shared" si="54"/>
        <v>2.1730640720070582E-2</v>
      </c>
      <c r="P117" s="22">
        <v>18.475672154504991</v>
      </c>
      <c r="Q117" s="22">
        <v>18.518457209274906</v>
      </c>
      <c r="R117" s="22">
        <f t="shared" si="55"/>
        <v>18.497064681889949</v>
      </c>
      <c r="S117" s="26">
        <f t="shared" si="56"/>
        <v>2.139252738495756E-2</v>
      </c>
      <c r="T117" s="22">
        <f t="shared" si="57"/>
        <v>18.608027284654099</v>
      </c>
      <c r="U117" s="22">
        <f t="shared" si="58"/>
        <v>0.13052524506370763</v>
      </c>
      <c r="V117" s="11">
        <f t="shared" si="59"/>
        <v>-1.1791355345899035E-2</v>
      </c>
      <c r="W117" s="24">
        <v>1549.5783272972801</v>
      </c>
      <c r="X117" s="24">
        <v>1549.6460039861684</v>
      </c>
      <c r="Y117" s="25">
        <f t="shared" si="60"/>
        <v>1549.6121656417242</v>
      </c>
      <c r="Z117" s="25">
        <f t="shared" si="61"/>
        <v>1249.6121656417242</v>
      </c>
      <c r="AA117" s="22">
        <v>19.016677725072121</v>
      </c>
      <c r="AB117" s="22">
        <v>19.060601982558978</v>
      </c>
      <c r="AC117" s="22">
        <f t="shared" si="47"/>
        <v>19.03863985381555</v>
      </c>
      <c r="AD117" s="26">
        <f t="shared" si="62"/>
        <v>2.1962128743428622E-2</v>
      </c>
      <c r="AE117" s="22">
        <v>18.786956081044202</v>
      </c>
      <c r="AF117" s="22">
        <v>18.830172345847114</v>
      </c>
      <c r="AG117" s="22">
        <f t="shared" si="50"/>
        <v>18.808564213445656</v>
      </c>
      <c r="AH117" s="26">
        <f t="shared" si="63"/>
        <v>2.1608132401455649E-2</v>
      </c>
      <c r="AI117" s="22">
        <f t="shared" si="48"/>
        <v>18.923602033630605</v>
      </c>
      <c r="AJ117" s="26">
        <f t="shared" si="49"/>
        <v>0.13519528253759355</v>
      </c>
    </row>
    <row r="118" spans="1:36">
      <c r="A118" s="49" t="s">
        <v>287</v>
      </c>
      <c r="B118" s="50">
        <v>1300</v>
      </c>
      <c r="C118" s="51">
        <v>0.93796789800000002</v>
      </c>
      <c r="D118" s="51">
        <v>2.35357E-4</v>
      </c>
      <c r="E118" s="21">
        <v>18.10729259</v>
      </c>
      <c r="F118" s="26">
        <v>0.03</v>
      </c>
      <c r="G118" s="23" t="s">
        <v>288</v>
      </c>
      <c r="H118" s="51">
        <v>0.93619803339449126</v>
      </c>
      <c r="I118" s="51">
        <v>1.5028079815487762E-4</v>
      </c>
      <c r="J118" s="51">
        <f t="shared" si="51"/>
        <v>0.93634831419264608</v>
      </c>
      <c r="K118" s="58">
        <f t="shared" si="52"/>
        <v>0.93604775259633644</v>
      </c>
      <c r="L118" s="22">
        <v>18.20609021505167</v>
      </c>
      <c r="M118" s="22">
        <v>18.274457312343277</v>
      </c>
      <c r="N118" s="22">
        <f t="shared" si="53"/>
        <v>18.240273763697473</v>
      </c>
      <c r="O118" s="26">
        <f t="shared" si="54"/>
        <v>3.4183548645803086E-2</v>
      </c>
      <c r="P118" s="22">
        <v>18.00635613708334</v>
      </c>
      <c r="Q118" s="22">
        <v>18.073788569837543</v>
      </c>
      <c r="R118" s="22">
        <f t="shared" si="55"/>
        <v>18.040072353460442</v>
      </c>
      <c r="S118" s="26">
        <f t="shared" si="56"/>
        <v>3.3716216377101205E-2</v>
      </c>
      <c r="T118" s="22">
        <f t="shared" si="57"/>
        <v>18.140173058578959</v>
      </c>
      <c r="U118" s="22">
        <f t="shared" si="58"/>
        <v>0.12205354173546307</v>
      </c>
      <c r="V118" s="11">
        <f t="shared" si="59"/>
        <v>3.288046857895921E-2</v>
      </c>
      <c r="W118" s="24">
        <v>1338.3352007295828</v>
      </c>
      <c r="X118" s="24">
        <v>1338.4203595059905</v>
      </c>
      <c r="Y118" s="25">
        <f t="shared" si="60"/>
        <v>1338.3777801177866</v>
      </c>
      <c r="Z118" s="25">
        <f t="shared" si="61"/>
        <v>1038.3777801177866</v>
      </c>
      <c r="AA118" s="22">
        <v>18.452217824791262</v>
      </c>
      <c r="AB118" s="22">
        <v>18.521163709165787</v>
      </c>
      <c r="AC118" s="22">
        <f t="shared" si="47"/>
        <v>18.486690766978526</v>
      </c>
      <c r="AD118" s="26">
        <f t="shared" si="62"/>
        <v>3.447294218726249E-2</v>
      </c>
      <c r="AE118" s="22">
        <v>18.245939591800568</v>
      </c>
      <c r="AF118" s="22">
        <v>18.31391145025869</v>
      </c>
      <c r="AG118" s="22">
        <f t="shared" si="50"/>
        <v>18.279925521029629</v>
      </c>
      <c r="AH118" s="26">
        <f t="shared" si="63"/>
        <v>3.3985929229061185E-2</v>
      </c>
      <c r="AI118" s="22">
        <f t="shared" si="48"/>
        <v>18.383308144004076</v>
      </c>
      <c r="AJ118" s="26">
        <f t="shared" si="49"/>
        <v>0.12574938195941635</v>
      </c>
    </row>
    <row r="119" spans="1:36">
      <c r="A119" s="49" t="s">
        <v>289</v>
      </c>
      <c r="B119" s="50">
        <v>1100</v>
      </c>
      <c r="C119" s="51">
        <v>0.936071918</v>
      </c>
      <c r="D119" s="51">
        <v>1.60848E-4</v>
      </c>
      <c r="E119" s="21">
        <v>17.649244370000002</v>
      </c>
      <c r="F119" s="26">
        <v>2.3E-2</v>
      </c>
      <c r="G119" s="23" t="s">
        <v>290</v>
      </c>
      <c r="H119" s="51">
        <v>0.93251168055245115</v>
      </c>
      <c r="I119" s="51">
        <v>1.0624395470955437E-4</v>
      </c>
      <c r="J119" s="51">
        <f t="shared" si="51"/>
        <v>0.93261792450716074</v>
      </c>
      <c r="K119" s="58">
        <f t="shared" si="52"/>
        <v>0.93240543659774155</v>
      </c>
      <c r="L119" s="22">
        <v>17.78191676446712</v>
      </c>
      <c r="M119" s="22">
        <v>17.831101606859285</v>
      </c>
      <c r="N119" s="22">
        <f t="shared" si="53"/>
        <v>17.806509185663202</v>
      </c>
      <c r="O119" s="26">
        <f t="shared" si="54"/>
        <v>2.4592421196082626E-2</v>
      </c>
      <c r="P119" s="22">
        <v>17.606069059799601</v>
      </c>
      <c r="Q119" s="22">
        <v>17.654673674985194</v>
      </c>
      <c r="R119" s="22">
        <f t="shared" si="55"/>
        <v>17.630371367392399</v>
      </c>
      <c r="S119" s="26">
        <f t="shared" si="56"/>
        <v>2.4302307592796168E-2</v>
      </c>
      <c r="T119" s="22">
        <f t="shared" si="57"/>
        <v>17.718440276527801</v>
      </c>
      <c r="U119" s="22">
        <f t="shared" si="58"/>
        <v>0.10553879175361672</v>
      </c>
      <c r="V119" s="11">
        <f t="shared" si="59"/>
        <v>6.9195906527799167E-2</v>
      </c>
      <c r="W119" s="24">
        <v>1128.7286643492616</v>
      </c>
      <c r="X119" s="24">
        <v>1128.7760084985425</v>
      </c>
      <c r="Y119" s="25">
        <f t="shared" si="60"/>
        <v>1128.7523364239021</v>
      </c>
      <c r="Z119" s="25">
        <f t="shared" si="61"/>
        <v>828.75233642390208</v>
      </c>
      <c r="AA119" s="22">
        <v>17.965183335531577</v>
      </c>
      <c r="AB119" s="22">
        <v>18.01468665925325</v>
      </c>
      <c r="AC119" s="22">
        <f t="shared" si="47"/>
        <v>17.989934997392414</v>
      </c>
      <c r="AD119" s="26">
        <f t="shared" si="62"/>
        <v>2.4751661860836549E-2</v>
      </c>
      <c r="AE119" s="22">
        <v>17.784245979206371</v>
      </c>
      <c r="AF119" s="22">
        <v>17.83314755790105</v>
      </c>
      <c r="AG119" s="22">
        <f t="shared" si="50"/>
        <v>17.808696768553709</v>
      </c>
      <c r="AH119" s="26">
        <f t="shared" si="63"/>
        <v>2.4450789347339352E-2</v>
      </c>
      <c r="AI119" s="22">
        <f t="shared" si="48"/>
        <v>17.899315882973063</v>
      </c>
      <c r="AJ119" s="26">
        <f t="shared" si="49"/>
        <v>0.10842550026285702</v>
      </c>
    </row>
    <row r="120" spans="1:36">
      <c r="A120" s="49" t="s">
        <v>291</v>
      </c>
      <c r="B120" s="50">
        <v>900</v>
      </c>
      <c r="C120" s="51">
        <v>0.93391913699999995</v>
      </c>
      <c r="D120" s="51">
        <v>2.4595299999999998E-4</v>
      </c>
      <c r="E120" s="21">
        <v>17.308485489999999</v>
      </c>
      <c r="F120" s="26">
        <v>3.2000000000000001E-2</v>
      </c>
      <c r="G120" s="23" t="s">
        <v>292</v>
      </c>
      <c r="H120" s="51">
        <v>0.92849379335686222</v>
      </c>
      <c r="I120" s="51">
        <v>1.503005706926866E-4</v>
      </c>
      <c r="J120" s="51">
        <f t="shared" si="51"/>
        <v>0.92864409392755487</v>
      </c>
      <c r="K120" s="58">
        <f t="shared" si="52"/>
        <v>0.92834349278616957</v>
      </c>
      <c r="L120" s="22">
        <v>17.442270952210261</v>
      </c>
      <c r="M120" s="22">
        <v>17.513213042004089</v>
      </c>
      <c r="N120" s="22">
        <f t="shared" si="53"/>
        <v>17.477741997107174</v>
      </c>
      <c r="O120" s="26">
        <f t="shared" si="54"/>
        <v>3.5471044896913995E-2</v>
      </c>
      <c r="P120" s="22">
        <v>17.292332685387976</v>
      </c>
      <c r="Q120" s="22">
        <v>17.362569195323076</v>
      </c>
      <c r="R120" s="22">
        <f t="shared" si="55"/>
        <v>17.327450940355526</v>
      </c>
      <c r="S120" s="26">
        <f t="shared" si="56"/>
        <v>3.5118254967549944E-2</v>
      </c>
      <c r="T120" s="22">
        <f t="shared" si="57"/>
        <v>17.40259646873135</v>
      </c>
      <c r="U120" s="22">
        <f t="shared" si="58"/>
        <v>9.586514044152003E-2</v>
      </c>
      <c r="V120" s="11">
        <f t="shared" si="59"/>
        <v>9.411097873135077E-2</v>
      </c>
      <c r="W120" s="24">
        <v>920.66667989987741</v>
      </c>
      <c r="X120" s="24">
        <v>920.71701137204127</v>
      </c>
      <c r="Y120" s="25">
        <f t="shared" si="60"/>
        <v>920.69184563595934</v>
      </c>
      <c r="Z120" s="25">
        <f t="shared" si="61"/>
        <v>620.69184563595934</v>
      </c>
      <c r="AA120" s="22">
        <v>17.572479125656443</v>
      </c>
      <c r="AB120" s="22">
        <v>17.643753859645393</v>
      </c>
      <c r="AC120" s="22">
        <f t="shared" si="47"/>
        <v>17.608116492650918</v>
      </c>
      <c r="AD120" s="26">
        <f t="shared" si="62"/>
        <v>3.5637366994475173E-2</v>
      </c>
      <c r="AE120" s="22">
        <v>17.418762690993141</v>
      </c>
      <c r="AF120" s="22">
        <v>17.489309404359652</v>
      </c>
      <c r="AG120" s="22">
        <f t="shared" si="50"/>
        <v>17.454036047676396</v>
      </c>
      <c r="AH120" s="26">
        <f t="shared" si="63"/>
        <v>3.5273356683255486E-2</v>
      </c>
      <c r="AI120" s="22">
        <f t="shared" si="48"/>
        <v>17.531076270163659</v>
      </c>
      <c r="AJ120" s="26">
        <f t="shared" si="49"/>
        <v>9.7927263414490012E-2</v>
      </c>
    </row>
    <row r="121" spans="1:36">
      <c r="A121" s="49" t="s">
        <v>293</v>
      </c>
      <c r="B121" s="50">
        <v>700</v>
      </c>
      <c r="C121" s="51">
        <v>0.93200042000000005</v>
      </c>
      <c r="D121" s="51">
        <v>2.0225000000000001E-4</v>
      </c>
      <c r="E121" s="21">
        <v>16.782588489999998</v>
      </c>
      <c r="F121" s="26">
        <v>0.02</v>
      </c>
      <c r="G121" s="23" t="s">
        <v>294</v>
      </c>
      <c r="H121" s="51">
        <v>0.92551166582396105</v>
      </c>
      <c r="I121" s="51">
        <v>8.903467533566524E-5</v>
      </c>
      <c r="J121" s="51">
        <f t="shared" si="51"/>
        <v>0.92560070049929677</v>
      </c>
      <c r="K121" s="58">
        <f t="shared" si="52"/>
        <v>0.92542263114862533</v>
      </c>
      <c r="L121" s="22">
        <v>16.920989544958402</v>
      </c>
      <c r="M121" s="22">
        <v>16.963611933502754</v>
      </c>
      <c r="N121" s="22">
        <f t="shared" si="53"/>
        <v>16.942300739230578</v>
      </c>
      <c r="O121" s="26">
        <f t="shared" si="54"/>
        <v>2.1311194272175982E-2</v>
      </c>
      <c r="P121" s="22">
        <v>16.801164649877332</v>
      </c>
      <c r="Q121" s="22">
        <v>16.843439095155052</v>
      </c>
      <c r="R121" s="22">
        <f t="shared" si="55"/>
        <v>16.822301872516192</v>
      </c>
      <c r="S121" s="26">
        <f t="shared" si="56"/>
        <v>2.1137222638859754E-2</v>
      </c>
      <c r="T121" s="22">
        <f t="shared" si="57"/>
        <v>16.882301305873384</v>
      </c>
      <c r="U121" s="22">
        <f t="shared" si="58"/>
        <v>7.3488380889134106E-2</v>
      </c>
      <c r="V121" s="11">
        <f t="shared" si="59"/>
        <v>9.9712815873385097E-2</v>
      </c>
      <c r="W121" s="24">
        <v>713.9138082463021</v>
      </c>
      <c r="X121" s="24">
        <v>713.93497952206428</v>
      </c>
      <c r="Y121" s="25">
        <f t="shared" si="60"/>
        <v>713.92439388418325</v>
      </c>
      <c r="Z121" s="25">
        <f t="shared" si="61"/>
        <v>413.92439388418325</v>
      </c>
      <c r="AA121" s="22">
        <v>17.006341007958582</v>
      </c>
      <c r="AB121" s="22">
        <v>17.049098264125526</v>
      </c>
      <c r="AC121" s="22">
        <f t="shared" si="47"/>
        <v>17.027719636042054</v>
      </c>
      <c r="AD121" s="26">
        <f t="shared" si="62"/>
        <v>2.1378628083471796E-2</v>
      </c>
      <c r="AE121" s="22">
        <v>16.88396375654164</v>
      </c>
      <c r="AF121" s="22">
        <v>16.926364090924146</v>
      </c>
      <c r="AG121" s="22">
        <f t="shared" si="50"/>
        <v>16.905163923732893</v>
      </c>
      <c r="AH121" s="26">
        <f t="shared" si="63"/>
        <v>2.1200167191253172E-2</v>
      </c>
      <c r="AI121" s="22">
        <f t="shared" si="48"/>
        <v>16.966441779887475</v>
      </c>
      <c r="AJ121" s="26">
        <f t="shared" si="49"/>
        <v>7.4906359932346803E-2</v>
      </c>
    </row>
    <row r="122" spans="1:36">
      <c r="A122" s="49" t="s">
        <v>295</v>
      </c>
      <c r="B122" s="50">
        <v>500</v>
      </c>
      <c r="C122" s="51">
        <v>0.93010915000000005</v>
      </c>
      <c r="D122" s="51">
        <v>1.26611E-4</v>
      </c>
      <c r="E122" s="21">
        <v>16.40411224</v>
      </c>
      <c r="F122" s="26">
        <v>2.3E-2</v>
      </c>
      <c r="G122" s="23" t="s">
        <v>296</v>
      </c>
      <c r="H122" s="51">
        <v>0.9222007985375188</v>
      </c>
      <c r="I122" s="51">
        <v>1.0432862872550793E-4</v>
      </c>
      <c r="J122" s="51">
        <f t="shared" si="51"/>
        <v>0.92230512716624435</v>
      </c>
      <c r="K122" s="58">
        <f t="shared" si="52"/>
        <v>0.92209646990879324</v>
      </c>
      <c r="L122" s="22">
        <v>16.524233484874841</v>
      </c>
      <c r="M122" s="22">
        <v>16.575010847147723</v>
      </c>
      <c r="N122" s="22">
        <f t="shared" si="53"/>
        <v>16.549622166011282</v>
      </c>
      <c r="O122" s="26">
        <f t="shared" si="54"/>
        <v>2.5388681136440994E-2</v>
      </c>
      <c r="P122" s="22">
        <v>16.434724264710873</v>
      </c>
      <c r="Q122" s="22">
        <v>16.485171860867087</v>
      </c>
      <c r="R122" s="22">
        <f t="shared" si="55"/>
        <v>16.459948062788982</v>
      </c>
      <c r="S122" s="26">
        <f t="shared" si="56"/>
        <v>2.5223798078107151E-2</v>
      </c>
      <c r="T122" s="22">
        <f t="shared" si="57"/>
        <v>16.504785114400132</v>
      </c>
      <c r="U122" s="22">
        <f t="shared" si="58"/>
        <v>5.9450525726271249E-2</v>
      </c>
      <c r="V122" s="11">
        <f t="shared" si="59"/>
        <v>0.10067287440013217</v>
      </c>
      <c r="W122" s="24">
        <v>508.62410787863553</v>
      </c>
      <c r="X122" s="24">
        <v>508.64021415935696</v>
      </c>
      <c r="Y122" s="25">
        <f t="shared" si="60"/>
        <v>508.63216101899627</v>
      </c>
      <c r="Z122" s="25">
        <f t="shared" si="61"/>
        <v>208.63216101899627</v>
      </c>
      <c r="AA122" s="22">
        <v>16.573756515513271</v>
      </c>
      <c r="AB122" s="22">
        <v>16.624627979169365</v>
      </c>
      <c r="AC122" s="22">
        <f t="shared" si="47"/>
        <v>16.599192247341318</v>
      </c>
      <c r="AD122" s="26">
        <f t="shared" si="62"/>
        <v>2.5435731828046926E-2</v>
      </c>
      <c r="AE122" s="22">
        <v>16.482726517733099</v>
      </c>
      <c r="AF122" s="22">
        <v>16.533262012012536</v>
      </c>
      <c r="AG122" s="22">
        <f t="shared" si="50"/>
        <v>16.507994264872817</v>
      </c>
      <c r="AH122" s="26">
        <f t="shared" si="63"/>
        <v>2.5267747139718466E-2</v>
      </c>
      <c r="AI122" s="22">
        <f t="shared" si="48"/>
        <v>16.553593256107067</v>
      </c>
      <c r="AJ122" s="26">
        <f t="shared" si="49"/>
        <v>6.0243790840813535E-2</v>
      </c>
    </row>
    <row r="123" spans="1:36">
      <c r="A123" s="49" t="s">
        <v>297</v>
      </c>
      <c r="B123" s="50">
        <v>300</v>
      </c>
      <c r="C123" s="51">
        <v>0.92866535100000003</v>
      </c>
      <c r="D123" s="51">
        <v>1.2303300000000001E-4</v>
      </c>
      <c r="E123" s="21">
        <v>16.014174390000001</v>
      </c>
      <c r="F123" s="26">
        <v>7.0000000000000001E-3</v>
      </c>
      <c r="G123" s="23" t="s">
        <v>298</v>
      </c>
      <c r="H123" s="51">
        <v>0.91967171650072266</v>
      </c>
      <c r="I123" s="51">
        <v>3.3360666427541704E-5</v>
      </c>
      <c r="J123" s="51">
        <f t="shared" si="51"/>
        <v>0.91970507716715022</v>
      </c>
      <c r="K123" s="58">
        <f t="shared" si="52"/>
        <v>0.9196383558342951</v>
      </c>
      <c r="L123" s="22">
        <v>16.110359794149833</v>
      </c>
      <c r="M123" s="22">
        <v>16.12682464019499</v>
      </c>
      <c r="N123" s="22">
        <f t="shared" si="53"/>
        <v>16.118592217172413</v>
      </c>
      <c r="O123" s="26">
        <f t="shared" si="54"/>
        <v>8.2324230225783168E-3</v>
      </c>
      <c r="P123" s="22">
        <v>16.049495612111041</v>
      </c>
      <c r="Q123" s="22">
        <v>16.065876004264304</v>
      </c>
      <c r="R123" s="22">
        <f t="shared" si="55"/>
        <v>16.057685808187671</v>
      </c>
      <c r="S123" s="26">
        <f t="shared" si="56"/>
        <v>8.1901960766312953E-3</v>
      </c>
      <c r="T123" s="22">
        <f t="shared" si="57"/>
        <v>16.088139012680045</v>
      </c>
      <c r="U123" s="22">
        <f t="shared" si="58"/>
        <v>3.6420208935008143E-2</v>
      </c>
      <c r="V123" s="11">
        <f t="shared" si="59"/>
        <v>7.3964622680044556E-2</v>
      </c>
      <c r="W123" s="24">
        <v>304.65794062016721</v>
      </c>
      <c r="X123" s="24">
        <v>304.66085480197722</v>
      </c>
      <c r="Y123" s="25">
        <f t="shared" si="60"/>
        <v>304.65939771107219</v>
      </c>
      <c r="Z123" s="25">
        <f t="shared" si="61"/>
        <v>4.659397711072188</v>
      </c>
      <c r="AA123" s="22">
        <v>16.131621767348779</v>
      </c>
      <c r="AB123" s="22">
        <v>16.148099313379355</v>
      </c>
      <c r="AC123" s="22">
        <f t="shared" si="47"/>
        <v>16.139860540364069</v>
      </c>
      <c r="AD123" s="26">
        <f t="shared" si="62"/>
        <v>8.2387730152877481E-3</v>
      </c>
      <c r="AE123" s="22">
        <v>16.0701063725115</v>
      </c>
      <c r="AF123" s="22">
        <v>16.086498649682103</v>
      </c>
      <c r="AG123" s="22">
        <f t="shared" si="50"/>
        <v>16.078302511096801</v>
      </c>
      <c r="AH123" s="26">
        <f t="shared" si="63"/>
        <v>8.1961385853013269E-3</v>
      </c>
      <c r="AI123" s="22">
        <f t="shared" si="48"/>
        <v>16.109081525730435</v>
      </c>
      <c r="AJ123" s="26">
        <f t="shared" si="49"/>
        <v>3.678540971763733E-2</v>
      </c>
    </row>
    <row r="124" spans="1:36">
      <c r="A124" s="49"/>
      <c r="B124" s="50"/>
      <c r="C124" s="51"/>
      <c r="D124" s="51"/>
      <c r="E124" s="21"/>
      <c r="F124" s="26"/>
      <c r="G124" s="23"/>
      <c r="H124" s="51"/>
      <c r="I124" s="51"/>
      <c r="J124" s="51"/>
      <c r="K124" s="58"/>
      <c r="L124" s="22"/>
      <c r="M124" s="22"/>
      <c r="N124" s="22"/>
      <c r="O124" s="26"/>
      <c r="P124" s="22"/>
      <c r="Q124" s="22"/>
      <c r="R124" s="22"/>
      <c r="S124" s="26"/>
      <c r="T124" s="22"/>
      <c r="U124" s="22"/>
      <c r="V124" s="11"/>
      <c r="W124" s="24"/>
      <c r="X124" s="24"/>
      <c r="Y124" s="25"/>
      <c r="Z124" s="25"/>
      <c r="AA124" s="22"/>
      <c r="AB124" s="22"/>
      <c r="AC124" s="22"/>
      <c r="AD124" s="26"/>
      <c r="AE124" s="22"/>
      <c r="AF124" s="22"/>
      <c r="AG124" s="22"/>
      <c r="AH124" s="26"/>
      <c r="AI124" s="22"/>
      <c r="AJ124" s="26"/>
    </row>
    <row r="125" spans="1:36">
      <c r="A125" s="49" t="s">
        <v>299</v>
      </c>
      <c r="B125" s="50">
        <v>1100</v>
      </c>
      <c r="C125" s="51">
        <v>0.94344710899999995</v>
      </c>
      <c r="D125" s="51">
        <v>1.9027900000000001E-4</v>
      </c>
      <c r="E125" s="21">
        <v>16.010474290000001</v>
      </c>
      <c r="F125" s="26">
        <v>4.2000000000000003E-2</v>
      </c>
      <c r="G125" s="23" t="s">
        <v>300</v>
      </c>
      <c r="H125" s="51">
        <v>0.93995081634451527</v>
      </c>
      <c r="I125" s="51">
        <v>1.9849319846158581E-4</v>
      </c>
      <c r="J125" s="51">
        <f t="shared" si="51"/>
        <v>0.94014930954297682</v>
      </c>
      <c r="K125" s="58">
        <f t="shared" si="52"/>
        <v>0.93975232314605373</v>
      </c>
      <c r="L125" s="22">
        <v>16.074381249202435</v>
      </c>
      <c r="M125" s="22">
        <v>16.162672617337847</v>
      </c>
      <c r="N125" s="22">
        <f t="shared" si="53"/>
        <v>16.11852693327014</v>
      </c>
      <c r="O125" s="26">
        <f t="shared" si="54"/>
        <v>4.4145684067705915E-2</v>
      </c>
      <c r="P125" s="22">
        <v>15.918711892323042</v>
      </c>
      <c r="Q125" s="22">
        <v>16.005959766336886</v>
      </c>
      <c r="R125" s="22">
        <f t="shared" si="55"/>
        <v>15.962335829329964</v>
      </c>
      <c r="S125" s="26">
        <f t="shared" si="56"/>
        <v>4.362393700692202E-2</v>
      </c>
      <c r="T125" s="22">
        <f t="shared" si="57"/>
        <v>16.040431381300053</v>
      </c>
      <c r="U125" s="22">
        <f t="shared" si="58"/>
        <v>0.10343990131735177</v>
      </c>
      <c r="V125" s="11">
        <f t="shared" si="59"/>
        <v>2.995709130005153E-2</v>
      </c>
      <c r="W125" s="24">
        <v>1127.0274062016717</v>
      </c>
      <c r="X125" s="24">
        <v>1127.1182432682681</v>
      </c>
      <c r="Y125" s="25">
        <f t="shared" ref="Y125:Y133" si="64">(W125+X125)/2</f>
        <v>1127.0728247349698</v>
      </c>
      <c r="Z125" s="25">
        <f t="shared" ref="Z125:Z144" si="65">Y125-300</f>
        <v>827.0728247349698</v>
      </c>
      <c r="AA125" s="22">
        <v>16.246264323830726</v>
      </c>
      <c r="AB125" s="22">
        <v>16.3351606101537</v>
      </c>
      <c r="AC125" s="22">
        <f t="shared" si="47"/>
        <v>16.290712466992211</v>
      </c>
      <c r="AD125" s="26">
        <f t="shared" ref="AD125:AD133" si="66">ABS(AA125-AB125)/2</f>
        <v>4.4448143161487152E-2</v>
      </c>
      <c r="AE125" s="22">
        <v>16.086238932929493</v>
      </c>
      <c r="AF125" s="22">
        <v>16.174054465922328</v>
      </c>
      <c r="AG125" s="22">
        <f t="shared" si="50"/>
        <v>16.130146699425911</v>
      </c>
      <c r="AH125" s="26">
        <f t="shared" ref="AH125:AH132" si="67">ABS(AE125-AF125)/2</f>
        <v>4.3907766496417366E-2</v>
      </c>
      <c r="AI125" s="22">
        <f t="shared" si="48"/>
        <v>16.210429583209059</v>
      </c>
      <c r="AJ125" s="26">
        <f t="shared" si="49"/>
        <v>0.10581182116155027</v>
      </c>
    </row>
    <row r="126" spans="1:36">
      <c r="A126" s="49" t="s">
        <v>301</v>
      </c>
      <c r="B126" s="50">
        <v>900</v>
      </c>
      <c r="C126" s="51">
        <v>0.94140078599999999</v>
      </c>
      <c r="D126" s="51">
        <v>1.9275299999999999E-4</v>
      </c>
      <c r="E126" s="21">
        <v>15.548408119999999</v>
      </c>
      <c r="F126" s="26">
        <v>5.1999999999999998E-2</v>
      </c>
      <c r="G126" s="23" t="s">
        <v>302</v>
      </c>
      <c r="H126" s="51">
        <v>0.93631747363082285</v>
      </c>
      <c r="I126" s="51">
        <v>2.3698310145530549E-4</v>
      </c>
      <c r="J126" s="51">
        <f t="shared" si="51"/>
        <v>0.93655445673227811</v>
      </c>
      <c r="K126" s="58">
        <f t="shared" si="52"/>
        <v>0.93608049052936759</v>
      </c>
      <c r="L126" s="22">
        <v>15.615937816334938</v>
      </c>
      <c r="M126" s="22">
        <v>15.723197673741074</v>
      </c>
      <c r="N126" s="22">
        <f t="shared" si="53"/>
        <v>15.669567745038005</v>
      </c>
      <c r="O126" s="26">
        <f t="shared" si="54"/>
        <v>5.3629928703068153E-2</v>
      </c>
      <c r="P126" s="22">
        <v>15.484224542263878</v>
      </c>
      <c r="Q126" s="22">
        <v>15.590412815042869</v>
      </c>
      <c r="R126" s="22">
        <f t="shared" si="55"/>
        <v>15.537318678653374</v>
      </c>
      <c r="S126" s="26">
        <f t="shared" si="56"/>
        <v>5.3094136389495894E-2</v>
      </c>
      <c r="T126" s="22">
        <f t="shared" si="57"/>
        <v>15.60344321184569</v>
      </c>
      <c r="U126" s="22">
        <f t="shared" si="58"/>
        <v>9.811579672830828E-2</v>
      </c>
      <c r="V126" s="11">
        <f t="shared" si="59"/>
        <v>5.5035091845690332E-2</v>
      </c>
      <c r="W126" s="24">
        <v>919.32103543764254</v>
      </c>
      <c r="X126" s="24">
        <v>919.40285125960827</v>
      </c>
      <c r="Y126" s="25">
        <f t="shared" si="64"/>
        <v>919.36194334862535</v>
      </c>
      <c r="Z126" s="25">
        <f t="shared" si="65"/>
        <v>619.36194334862535</v>
      </c>
      <c r="AA126" s="22">
        <v>15.737299484798932</v>
      </c>
      <c r="AB126" s="22">
        <v>15.845094719828662</v>
      </c>
      <c r="AC126" s="22">
        <f t="shared" si="47"/>
        <v>15.791197102313797</v>
      </c>
      <c r="AD126" s="26">
        <f t="shared" si="66"/>
        <v>5.3897617514865104E-2</v>
      </c>
      <c r="AE126" s="22">
        <v>15.602375384637126</v>
      </c>
      <c r="AF126" s="22">
        <v>15.709066300938069</v>
      </c>
      <c r="AG126" s="22">
        <f t="shared" si="50"/>
        <v>15.655720842787598</v>
      </c>
      <c r="AH126" s="26">
        <f t="shared" si="67"/>
        <v>5.3345458150471536E-2</v>
      </c>
      <c r="AI126" s="22">
        <f t="shared" si="48"/>
        <v>15.723458972550697</v>
      </c>
      <c r="AJ126" s="26">
        <f t="shared" si="49"/>
        <v>9.9758373171269732E-2</v>
      </c>
    </row>
    <row r="127" spans="1:36">
      <c r="A127" s="49" t="s">
        <v>303</v>
      </c>
      <c r="B127" s="50">
        <v>700</v>
      </c>
      <c r="C127" s="51">
        <v>0.93924110199999999</v>
      </c>
      <c r="D127" s="51">
        <v>2.4091100000000001E-4</v>
      </c>
      <c r="E127" s="21">
        <v>15.00757754</v>
      </c>
      <c r="F127" s="26">
        <v>0.02</v>
      </c>
      <c r="G127" s="23" t="s">
        <v>304</v>
      </c>
      <c r="H127" s="51">
        <v>0.9332625986890708</v>
      </c>
      <c r="I127" s="51">
        <v>9.0309584367992776E-5</v>
      </c>
      <c r="J127" s="51">
        <f t="shared" si="51"/>
        <v>0.93335290827343875</v>
      </c>
      <c r="K127" s="58">
        <f t="shared" si="52"/>
        <v>0.93317228910470285</v>
      </c>
      <c r="L127" s="22">
        <v>15.104295990864676</v>
      </c>
      <c r="M127" s="22">
        <v>15.145770604925611</v>
      </c>
      <c r="N127" s="22">
        <f t="shared" si="53"/>
        <v>15.125033297895143</v>
      </c>
      <c r="O127" s="26">
        <f t="shared" si="54"/>
        <v>2.0737307030467278E-2</v>
      </c>
      <c r="P127" s="22">
        <v>14.999365919250963</v>
      </c>
      <c r="Q127" s="22">
        <v>15.040499853848031</v>
      </c>
      <c r="R127" s="22">
        <f t="shared" si="55"/>
        <v>15.019932886549498</v>
      </c>
      <c r="S127" s="26">
        <f t="shared" si="56"/>
        <v>2.0566967298534244E-2</v>
      </c>
      <c r="T127" s="22">
        <f t="shared" si="57"/>
        <v>15.072483092222321</v>
      </c>
      <c r="U127" s="22">
        <f t="shared" si="58"/>
        <v>6.5197567844447024E-2</v>
      </c>
      <c r="V127" s="11">
        <f t="shared" si="59"/>
        <v>6.490555222232075E-2</v>
      </c>
      <c r="W127" s="24">
        <v>712.97661329141499</v>
      </c>
      <c r="X127" s="24">
        <v>712.9988068098296</v>
      </c>
      <c r="Y127" s="25">
        <f t="shared" si="64"/>
        <v>712.98771005062235</v>
      </c>
      <c r="Z127" s="25">
        <f t="shared" si="65"/>
        <v>412.98771005062235</v>
      </c>
      <c r="AA127" s="22">
        <v>15.183703016385021</v>
      </c>
      <c r="AB127" s="22">
        <v>15.22531783832309</v>
      </c>
      <c r="AC127" s="22">
        <f t="shared" si="47"/>
        <v>15.204510427354055</v>
      </c>
      <c r="AD127" s="26">
        <f t="shared" si="66"/>
        <v>2.0807410969034379E-2</v>
      </c>
      <c r="AE127" s="22">
        <v>15.076597112789782</v>
      </c>
      <c r="AF127" s="22">
        <v>15.11786280274988</v>
      </c>
      <c r="AG127" s="22">
        <f t="shared" si="50"/>
        <v>15.09722995776983</v>
      </c>
      <c r="AH127" s="26">
        <f t="shared" si="67"/>
        <v>2.0632844980048581E-2</v>
      </c>
      <c r="AI127" s="22">
        <f t="shared" si="48"/>
        <v>15.150870192561943</v>
      </c>
      <c r="AJ127" s="26">
        <f t="shared" si="49"/>
        <v>6.6398856517818822E-2</v>
      </c>
    </row>
    <row r="128" spans="1:36">
      <c r="A128" s="49" t="s">
        <v>305</v>
      </c>
      <c r="B128" s="50">
        <v>500</v>
      </c>
      <c r="C128" s="51">
        <v>0.93767560699999997</v>
      </c>
      <c r="D128" s="51">
        <v>1.49815E-4</v>
      </c>
      <c r="E128" s="21">
        <v>14.745785209999999</v>
      </c>
      <c r="F128" s="26">
        <v>3.5000000000000003E-2</v>
      </c>
      <c r="G128" s="23" t="s">
        <v>306</v>
      </c>
      <c r="H128" s="51">
        <v>0.92928233245783309</v>
      </c>
      <c r="I128" s="51">
        <v>1.4795628333413952E-4</v>
      </c>
      <c r="J128" s="51">
        <f t="shared" si="51"/>
        <v>0.92943028874116729</v>
      </c>
      <c r="K128" s="58">
        <f t="shared" si="52"/>
        <v>0.9291343761744989</v>
      </c>
      <c r="L128" s="22">
        <v>14.823883898178403</v>
      </c>
      <c r="M128" s="22">
        <v>14.893218163651833</v>
      </c>
      <c r="N128" s="22">
        <f t="shared" si="53"/>
        <v>14.858551030915118</v>
      </c>
      <c r="O128" s="26">
        <f t="shared" si="54"/>
        <v>3.4667132736714734E-2</v>
      </c>
      <c r="P128" s="22">
        <v>14.745480986260779</v>
      </c>
      <c r="Q128" s="22">
        <v>14.814360995938605</v>
      </c>
      <c r="R128" s="22">
        <f t="shared" si="55"/>
        <v>14.779920991099692</v>
      </c>
      <c r="S128" s="26">
        <f t="shared" si="56"/>
        <v>3.4440004838913296E-2</v>
      </c>
      <c r="T128" s="22">
        <f t="shared" si="57"/>
        <v>14.819236011007405</v>
      </c>
      <c r="U128" s="22">
        <f t="shared" si="58"/>
        <v>6.0438760224308108E-2</v>
      </c>
      <c r="V128" s="11">
        <f t="shared" si="59"/>
        <v>7.3450801007405531E-2</v>
      </c>
      <c r="W128" s="24">
        <v>508.06490466729184</v>
      </c>
      <c r="X128" s="24">
        <v>508.08849748234786</v>
      </c>
      <c r="Y128" s="25">
        <f t="shared" si="64"/>
        <v>508.07670107481988</v>
      </c>
      <c r="Z128" s="25">
        <f t="shared" si="65"/>
        <v>208.07670107481988</v>
      </c>
      <c r="AA128" s="22">
        <v>14.87014704106365</v>
      </c>
      <c r="AB128" s="22">
        <v>14.939618567803802</v>
      </c>
      <c r="AC128" s="22">
        <f t="shared" si="47"/>
        <v>14.904882804433726</v>
      </c>
      <c r="AD128" s="26">
        <f t="shared" si="66"/>
        <v>3.4735763370076E-2</v>
      </c>
      <c r="AE128" s="22">
        <v>14.79042849505189</v>
      </c>
      <c r="AF128" s="22">
        <v>14.859437506310467</v>
      </c>
      <c r="AG128" s="22">
        <f t="shared" si="50"/>
        <v>14.824933000681177</v>
      </c>
      <c r="AH128" s="26">
        <f t="shared" si="67"/>
        <v>3.4504505629288751E-2</v>
      </c>
      <c r="AI128" s="22">
        <f t="shared" si="48"/>
        <v>14.864907902557452</v>
      </c>
      <c r="AJ128" s="26">
        <f t="shared" si="49"/>
        <v>6.1063462756157441E-2</v>
      </c>
    </row>
    <row r="129" spans="1:36">
      <c r="A129" s="49" t="s">
        <v>307</v>
      </c>
      <c r="B129" s="50">
        <v>300</v>
      </c>
      <c r="C129" s="51">
        <v>0.93600294799999995</v>
      </c>
      <c r="D129" s="51">
        <v>1.9575800000000001E-4</v>
      </c>
      <c r="E129" s="21">
        <v>14.58059888</v>
      </c>
      <c r="F129" s="26">
        <v>7.3999999999999996E-2</v>
      </c>
      <c r="G129" s="23" t="s">
        <v>308</v>
      </c>
      <c r="H129" s="51">
        <v>0.92564477530233624</v>
      </c>
      <c r="I129" s="51">
        <v>3.137454399618252E-4</v>
      </c>
      <c r="J129" s="51">
        <f t="shared" si="51"/>
        <v>0.92595852074229812</v>
      </c>
      <c r="K129" s="58">
        <f t="shared" si="52"/>
        <v>0.92533102986237437</v>
      </c>
      <c r="L129" s="22">
        <v>14.592954284159029</v>
      </c>
      <c r="M129" s="22">
        <v>14.742938352632837</v>
      </c>
      <c r="N129" s="22">
        <f t="shared" si="53"/>
        <v>14.667946318395934</v>
      </c>
      <c r="O129" s="26">
        <f t="shared" si="54"/>
        <v>7.4992034236903926E-2</v>
      </c>
      <c r="P129" s="22">
        <v>14.539918659425648</v>
      </c>
      <c r="Q129" s="22">
        <v>14.689126431268011</v>
      </c>
      <c r="R129" s="22">
        <f t="shared" si="55"/>
        <v>14.61452254534683</v>
      </c>
      <c r="S129" s="26">
        <f t="shared" si="56"/>
        <v>7.4603885921181501E-2</v>
      </c>
      <c r="T129" s="22">
        <f t="shared" si="57"/>
        <v>14.641234431871382</v>
      </c>
      <c r="U129" s="22">
        <f t="shared" si="58"/>
        <v>9.1711848587230665E-2</v>
      </c>
      <c r="V129" s="11">
        <f t="shared" si="59"/>
        <v>6.0635551871381921E-2</v>
      </c>
      <c r="W129" s="24">
        <v>304.38059381216505</v>
      </c>
      <c r="X129" s="24">
        <v>304.40881137974492</v>
      </c>
      <c r="Y129" s="25">
        <f t="shared" si="64"/>
        <v>304.39470259595498</v>
      </c>
      <c r="Z129" s="25">
        <f t="shared" si="65"/>
        <v>4.3947025959549819</v>
      </c>
      <c r="AA129" s="22">
        <v>14.613003537118972</v>
      </c>
      <c r="AB129" s="22">
        <v>14.763111351480349</v>
      </c>
      <c r="AC129" s="22">
        <f t="shared" si="47"/>
        <v>14.688057444299661</v>
      </c>
      <c r="AD129" s="26">
        <f t="shared" si="66"/>
        <v>7.5053907180688384E-2</v>
      </c>
      <c r="AE129" s="22">
        <v>14.559391438189069</v>
      </c>
      <c r="AF129" s="22">
        <v>14.708715605651898</v>
      </c>
      <c r="AG129" s="22">
        <f t="shared" si="50"/>
        <v>14.634053521920483</v>
      </c>
      <c r="AH129" s="26">
        <f t="shared" si="67"/>
        <v>7.4662083731414697E-2</v>
      </c>
      <c r="AI129" s="22">
        <f t="shared" si="48"/>
        <v>14.661055483110072</v>
      </c>
      <c r="AJ129" s="26">
        <f t="shared" si="49"/>
        <v>9.1890251736776632E-2</v>
      </c>
    </row>
    <row r="130" spans="1:36">
      <c r="A130" s="49" t="s">
        <v>309</v>
      </c>
      <c r="B130" s="50">
        <v>300</v>
      </c>
      <c r="C130" s="51">
        <v>1.000103427</v>
      </c>
      <c r="D130" s="51">
        <v>2.44052E-4</v>
      </c>
      <c r="E130" s="21">
        <v>-1.2E-2</v>
      </c>
      <c r="F130" s="26">
        <v>2.8000000000000001E-2</v>
      </c>
      <c r="G130" s="23" t="s">
        <v>310</v>
      </c>
      <c r="H130" s="51">
        <v>1.0000722405931728</v>
      </c>
      <c r="I130" s="51">
        <v>1.687553922897577E-4</v>
      </c>
      <c r="J130" s="51">
        <f t="shared" si="51"/>
        <v>1.0002409959854626</v>
      </c>
      <c r="K130" s="58">
        <f t="shared" si="52"/>
        <v>0.99990348520088301</v>
      </c>
      <c r="L130" s="22">
        <v>-3.8686160522961067E-2</v>
      </c>
      <c r="M130" s="22">
        <v>1.5507188132431717E-2</v>
      </c>
      <c r="N130" s="22">
        <f t="shared" si="53"/>
        <v>-1.1589486195264675E-2</v>
      </c>
      <c r="O130" s="26">
        <f t="shared" si="54"/>
        <v>2.7096674327696392E-2</v>
      </c>
      <c r="P130" s="22">
        <v>-3.8689250216156067E-2</v>
      </c>
      <c r="Q130" s="22">
        <v>1.5508044308578712E-2</v>
      </c>
      <c r="R130" s="22">
        <f t="shared" si="55"/>
        <v>-1.1590602953788678E-2</v>
      </c>
      <c r="S130" s="26">
        <f t="shared" si="56"/>
        <v>2.7098647262367388E-2</v>
      </c>
      <c r="T130" s="22">
        <f t="shared" si="57"/>
        <v>-1.1590044574526677E-2</v>
      </c>
      <c r="U130" s="22">
        <f t="shared" si="58"/>
        <v>3.1289683536218207E-2</v>
      </c>
      <c r="V130" s="11">
        <f t="shared" si="59"/>
        <v>4.0995542547332328E-4</v>
      </c>
      <c r="W130" s="24">
        <v>299.97983502433016</v>
      </c>
      <c r="X130" s="24">
        <v>300.0080566777138</v>
      </c>
      <c r="Y130" s="25">
        <f t="shared" si="64"/>
        <v>299.99394585102198</v>
      </c>
      <c r="Z130" s="25">
        <f t="shared" si="65"/>
        <v>-6.054148978023477E-3</v>
      </c>
      <c r="AA130" s="22">
        <v>-3.878160336327624E-2</v>
      </c>
      <c r="AB130" s="22">
        <v>1.5545314994724032E-2</v>
      </c>
      <c r="AC130" s="22">
        <f t="shared" si="47"/>
        <v>-1.1618144184276105E-2</v>
      </c>
      <c r="AD130" s="26">
        <f t="shared" si="66"/>
        <v>2.7163459179000135E-2</v>
      </c>
      <c r="AE130" s="22">
        <v>-3.8783971004472055E-2</v>
      </c>
      <c r="AF130" s="22">
        <v>1.5545879365259084E-2</v>
      </c>
      <c r="AG130" s="22">
        <f t="shared" si="50"/>
        <v>-1.1619045819606485E-2</v>
      </c>
      <c r="AH130" s="26">
        <f t="shared" si="67"/>
        <v>2.716492518486557E-2</v>
      </c>
      <c r="AI130" s="22">
        <f t="shared" si="48"/>
        <v>-1.1618595001941295E-2</v>
      </c>
      <c r="AJ130" s="26">
        <f t="shared" si="49"/>
        <v>3.1366507352854608E-2</v>
      </c>
    </row>
    <row r="131" spans="1:36">
      <c r="A131" s="49" t="s">
        <v>311</v>
      </c>
      <c r="B131" s="50">
        <v>300</v>
      </c>
      <c r="C131" s="51">
        <v>0.98269251099999999</v>
      </c>
      <c r="D131" s="51">
        <v>3.50255E-4</v>
      </c>
      <c r="E131" s="21">
        <v>3.8916297630000001</v>
      </c>
      <c r="F131" s="26">
        <v>0.15</v>
      </c>
      <c r="G131" s="23" t="s">
        <v>312</v>
      </c>
      <c r="H131" s="51">
        <v>0.97713724841444649</v>
      </c>
      <c r="I131" s="51">
        <v>8.4130840046377784E-4</v>
      </c>
      <c r="J131" s="51">
        <f t="shared" si="51"/>
        <v>0.9779785568149103</v>
      </c>
      <c r="K131" s="58">
        <f t="shared" si="52"/>
        <v>0.97629594001398268</v>
      </c>
      <c r="L131" s="22">
        <v>3.7545286701261658</v>
      </c>
      <c r="M131" s="22">
        <v>4.0600210809552761</v>
      </c>
      <c r="N131" s="22">
        <f t="shared" si="53"/>
        <v>3.9072748755407209</v>
      </c>
      <c r="O131" s="26">
        <f t="shared" si="54"/>
        <v>0.15274620541455519</v>
      </c>
      <c r="P131" s="22">
        <v>3.7492673024242915</v>
      </c>
      <c r="Q131" s="22">
        <v>4.0539267093256761</v>
      </c>
      <c r="R131" s="22">
        <f t="shared" si="55"/>
        <v>3.9015970058749838</v>
      </c>
      <c r="S131" s="26">
        <f t="shared" si="56"/>
        <v>0.1523297034506923</v>
      </c>
      <c r="T131" s="22">
        <f t="shared" si="57"/>
        <v>3.9044359407078524</v>
      </c>
      <c r="U131" s="22">
        <f t="shared" si="58"/>
        <v>0.17616632467432947</v>
      </c>
      <c r="V131" s="11">
        <f t="shared" si="59"/>
        <v>1.2806177707852306E-2</v>
      </c>
      <c r="W131" s="24">
        <v>301.61084318111648</v>
      </c>
      <c r="X131" s="24">
        <v>301.71887898376485</v>
      </c>
      <c r="Y131" s="25">
        <f t="shared" si="64"/>
        <v>301.66486108244067</v>
      </c>
      <c r="Z131" s="25">
        <f t="shared" si="65"/>
        <v>1.664861082440666</v>
      </c>
      <c r="AA131" s="22">
        <v>3.7620731327226848</v>
      </c>
      <c r="AB131" s="22">
        <v>4.0680652714835839</v>
      </c>
      <c r="AC131" s="22">
        <f t="shared" si="47"/>
        <v>3.9150692021031341</v>
      </c>
      <c r="AD131" s="26">
        <f t="shared" si="66"/>
        <v>0.15299606938044952</v>
      </c>
      <c r="AE131" s="22">
        <v>3.7567092583312647</v>
      </c>
      <c r="AF131" s="22">
        <v>4.0618578223065605</v>
      </c>
      <c r="AG131" s="22">
        <f t="shared" si="50"/>
        <v>3.9092835403189126</v>
      </c>
      <c r="AH131" s="26">
        <f t="shared" si="67"/>
        <v>0.15257428198764789</v>
      </c>
      <c r="AI131" s="22">
        <f t="shared" si="48"/>
        <v>3.9121763712110234</v>
      </c>
      <c r="AJ131" s="26">
        <f t="shared" si="49"/>
        <v>0.17645291290890103</v>
      </c>
    </row>
    <row r="132" spans="1:36">
      <c r="A132" s="49" t="s">
        <v>313</v>
      </c>
      <c r="B132" s="50">
        <v>300</v>
      </c>
      <c r="C132" s="51">
        <v>0.97518269300000004</v>
      </c>
      <c r="D132" s="51">
        <v>3.7493500000000001E-4</v>
      </c>
      <c r="E132" s="21">
        <v>4.5666956729999999</v>
      </c>
      <c r="F132" s="26">
        <v>7.3000000000000001E-3</v>
      </c>
      <c r="G132" s="23" t="s">
        <v>314</v>
      </c>
      <c r="H132" s="51">
        <v>0.97343174124373821</v>
      </c>
      <c r="I132" s="51">
        <v>4.1097149476838999E-4</v>
      </c>
      <c r="J132" s="51">
        <f t="shared" si="51"/>
        <v>0.97384271273850664</v>
      </c>
      <c r="K132" s="58">
        <f t="shared" si="52"/>
        <v>0.97302076974896978</v>
      </c>
      <c r="L132" s="22">
        <v>4.5103781924304611</v>
      </c>
      <c r="M132" s="22">
        <v>4.6625942606373219</v>
      </c>
      <c r="N132" s="22">
        <f t="shared" si="53"/>
        <v>4.586486226533891</v>
      </c>
      <c r="O132" s="26">
        <f t="shared" si="54"/>
        <v>7.6108034103430366E-2</v>
      </c>
      <c r="P132" s="22">
        <v>4.5029661852280558</v>
      </c>
      <c r="Q132" s="22">
        <v>4.6547138022175094</v>
      </c>
      <c r="R132" s="22">
        <f t="shared" si="55"/>
        <v>4.5788399937227826</v>
      </c>
      <c r="S132" s="26">
        <f t="shared" si="56"/>
        <v>7.5873808494726802E-2</v>
      </c>
      <c r="T132" s="22">
        <f t="shared" si="57"/>
        <v>4.5826631101283368</v>
      </c>
      <c r="U132" s="22">
        <f t="shared" si="58"/>
        <v>8.7857840130839526E-2</v>
      </c>
      <c r="V132" s="11">
        <f t="shared" si="59"/>
        <v>1.5967437128336925E-2</v>
      </c>
      <c r="W132" s="24">
        <v>301.8733740242547</v>
      </c>
      <c r="X132" s="24">
        <v>301.92436684560329</v>
      </c>
      <c r="Y132" s="25">
        <f t="shared" si="64"/>
        <v>301.89887043492899</v>
      </c>
      <c r="Z132" s="25">
        <f t="shared" si="65"/>
        <v>1.8988704349289947</v>
      </c>
      <c r="AA132" s="22">
        <v>4.5191355010047047</v>
      </c>
      <c r="AB132" s="22">
        <v>4.6715865455700083</v>
      </c>
      <c r="AC132" s="22">
        <f t="shared" si="47"/>
        <v>4.5953610232873565</v>
      </c>
      <c r="AD132" s="26">
        <f t="shared" si="66"/>
        <v>7.6225522282651781E-2</v>
      </c>
      <c r="AE132" s="22">
        <v>4.5115943616138479</v>
      </c>
      <c r="AF132" s="22">
        <v>4.6635714077744614</v>
      </c>
      <c r="AG132" s="22">
        <f t="shared" si="50"/>
        <v>4.5875828846941547</v>
      </c>
      <c r="AH132" s="26">
        <f t="shared" si="67"/>
        <v>7.5988523080306791E-2</v>
      </c>
      <c r="AI132" s="22">
        <f t="shared" si="48"/>
        <v>4.591471953990756</v>
      </c>
      <c r="AJ132" s="26">
        <f t="shared" si="49"/>
        <v>8.7995589310589456E-2</v>
      </c>
    </row>
    <row r="133" spans="1:36">
      <c r="A133" s="49" t="s">
        <v>315</v>
      </c>
      <c r="B133" s="50">
        <v>300</v>
      </c>
      <c r="C133" s="51">
        <v>0.950602752</v>
      </c>
      <c r="D133" s="51">
        <v>5.3023999999999996E-4</v>
      </c>
      <c r="E133" s="21">
        <v>9.3378041570000008</v>
      </c>
      <c r="F133" s="26">
        <v>0.23</v>
      </c>
      <c r="G133" s="23" t="s">
        <v>316</v>
      </c>
      <c r="H133" s="51">
        <v>0.94908838523471106</v>
      </c>
      <c r="I133" s="51">
        <v>1.1611243269170693E-3</v>
      </c>
      <c r="J133" s="51">
        <f t="shared" si="51"/>
        <v>0.95024950956162813</v>
      </c>
      <c r="K133" s="58">
        <f t="shared" si="52"/>
        <v>0.947927260907794</v>
      </c>
      <c r="L133" s="22">
        <v>9.1567057348391945</v>
      </c>
      <c r="M133" s="22">
        <v>9.6464808862440972</v>
      </c>
      <c r="N133" s="22">
        <f t="shared" si="53"/>
        <v>9.4015933105416458</v>
      </c>
      <c r="O133" s="26">
        <f t="shared" si="54"/>
        <v>0.24488757570245134</v>
      </c>
      <c r="P133" s="22">
        <v>9.1309234805805257</v>
      </c>
      <c r="Q133" s="22">
        <v>9.61839627591152</v>
      </c>
      <c r="R133" s="22">
        <f t="shared" si="55"/>
        <v>9.3746598782460229</v>
      </c>
      <c r="S133" s="26">
        <f t="shared" si="56"/>
        <v>0.24373639766549715</v>
      </c>
      <c r="T133" s="22">
        <f t="shared" si="57"/>
        <v>9.3881265943938352</v>
      </c>
      <c r="U133" s="22">
        <f t="shared" si="58"/>
        <v>0.28253620554775943</v>
      </c>
      <c r="V133" s="11">
        <f t="shared" si="59"/>
        <v>5.0322437393834463E-2</v>
      </c>
      <c r="W133" s="24">
        <v>303.20952496740756</v>
      </c>
      <c r="X133" s="24">
        <v>303.32901904302662</v>
      </c>
      <c r="Y133" s="25">
        <f t="shared" si="64"/>
        <v>303.26927200521709</v>
      </c>
      <c r="Z133" s="25">
        <f t="shared" si="65"/>
        <v>3.2692720052170898</v>
      </c>
      <c r="AA133" s="22">
        <v>9.1715506074284203</v>
      </c>
      <c r="AB133" s="22">
        <v>9.6618627235807377</v>
      </c>
      <c r="AC133" s="22">
        <f t="shared" si="47"/>
        <v>9.416706665504579</v>
      </c>
      <c r="AD133" s="26">
        <f t="shared" si="66"/>
        <v>0.2451560580761587</v>
      </c>
      <c r="AE133" s="22">
        <v>9.1454486154145638</v>
      </c>
      <c r="AF133" s="22">
        <v>9.6334363141803419</v>
      </c>
      <c r="AG133" s="22">
        <f t="shared" si="50"/>
        <v>9.3894424647974528</v>
      </c>
      <c r="AH133" s="26">
        <f>ABS(AE133-AF133)/2</f>
        <v>0.24399384938288904</v>
      </c>
      <c r="AI133" s="22">
        <f t="shared" si="48"/>
        <v>9.4030745651510159</v>
      </c>
      <c r="AJ133" s="26">
        <f t="shared" si="49"/>
        <v>0.28284997162007997</v>
      </c>
    </row>
    <row r="134" spans="1:36">
      <c r="A134" s="49"/>
      <c r="B134" s="50"/>
      <c r="C134" s="51"/>
      <c r="D134" s="51"/>
      <c r="E134" s="21"/>
      <c r="F134" s="26"/>
      <c r="G134" s="23"/>
      <c r="H134" s="51"/>
      <c r="I134" s="51"/>
      <c r="J134" s="51"/>
      <c r="K134" s="58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4"/>
      <c r="X134" s="24"/>
      <c r="Y134" s="24"/>
      <c r="Z134" s="25"/>
      <c r="AA134" s="22"/>
      <c r="AB134" s="22"/>
      <c r="AC134" s="22"/>
      <c r="AD134" s="22"/>
      <c r="AE134" s="22"/>
      <c r="AF134" s="22"/>
      <c r="AG134" s="22"/>
      <c r="AH134" s="26"/>
      <c r="AI134" s="22"/>
      <c r="AJ134" s="26"/>
    </row>
    <row r="135" spans="1:36">
      <c r="A135" s="49" t="s">
        <v>317</v>
      </c>
      <c r="B135" s="50">
        <v>1700</v>
      </c>
      <c r="C135" s="51">
        <v>0.93275158300000005</v>
      </c>
      <c r="D135" s="51">
        <v>4.1926399999999998E-4</v>
      </c>
      <c r="E135" s="21">
        <v>21.438894080000001</v>
      </c>
      <c r="F135" s="26">
        <v>2.9000000000000001E-2</v>
      </c>
      <c r="G135" s="23" t="s">
        <v>318</v>
      </c>
      <c r="H135" s="51">
        <v>0.93289516120688498</v>
      </c>
      <c r="I135" s="51">
        <v>1.1937345065571291E-4</v>
      </c>
      <c r="J135" s="51">
        <f>H135+I135</f>
        <v>0.9330145346575407</v>
      </c>
      <c r="K135" s="58">
        <f>H135-I135</f>
        <v>0.93277578775622927</v>
      </c>
      <c r="L135" s="22">
        <v>21.553525448678656</v>
      </c>
      <c r="M135" s="22">
        <v>21.609083435568795</v>
      </c>
      <c r="N135" s="22">
        <f t="shared" ref="N135:N144" si="68">(L135+M135)/2</f>
        <v>21.581304442123724</v>
      </c>
      <c r="O135" s="26">
        <f t="shared" ref="O135:O144" si="69">ABS(L135-M135)/2</f>
        <v>2.7778993445069844E-2</v>
      </c>
      <c r="P135" s="22">
        <v>21.271847157462005</v>
      </c>
      <c r="Q135" s="22">
        <v>21.32644282789234</v>
      </c>
      <c r="R135" s="22">
        <f t="shared" ref="R135:R144" si="70">(P135+Q135)/2</f>
        <v>21.299144992677171</v>
      </c>
      <c r="S135" s="26">
        <f t="shared" ref="S135:S144" si="71">ABS(P135-Q135)/2</f>
        <v>2.7297835215167154E-2</v>
      </c>
      <c r="T135" s="22">
        <f t="shared" ref="T135:T144" si="72">AVERAGE(L135,M135,P135,Q135)</f>
        <v>21.440224717400447</v>
      </c>
      <c r="U135" s="22">
        <f t="shared" ref="U135:U144" si="73">STDEV(L135,M135,P135,Q135)</f>
        <v>0.16597956046904605</v>
      </c>
      <c r="V135" s="11">
        <f t="shared" ref="V135:V144" si="74">T135-E135</f>
        <v>1.3306374004464772E-3</v>
      </c>
      <c r="W135" s="24">
        <v>1766.7529113706537</v>
      </c>
      <c r="X135" s="24">
        <v>1766.8499577805007</v>
      </c>
      <c r="Y135" s="25">
        <f t="shared" ref="Y135:Y144" si="75">(W135+X135)/2</f>
        <v>1766.8014345755773</v>
      </c>
      <c r="Z135" s="25">
        <f t="shared" si="65"/>
        <v>1466.8014345755773</v>
      </c>
      <c r="AA135" s="22">
        <v>21.986371176665813</v>
      </c>
      <c r="AB135" s="22">
        <v>22.042606710957315</v>
      </c>
      <c r="AC135" s="22">
        <f t="shared" ref="AC135:AC144" si="76">(AA135+AB135)/2</f>
        <v>22.014488943811564</v>
      </c>
      <c r="AD135" s="26">
        <f t="shared" ref="AD135:AD144" si="77">ABS(AA135-AB135)/2</f>
        <v>2.8117767145751316E-2</v>
      </c>
      <c r="AE135" s="22">
        <v>21.692704308455124</v>
      </c>
      <c r="AF135" s="22">
        <v>21.747925010610942</v>
      </c>
      <c r="AG135" s="22">
        <f t="shared" ref="AG135:AG144" si="78">(AE135+AF135)/2</f>
        <v>21.720314659533031</v>
      </c>
      <c r="AH135" s="26">
        <f t="shared" ref="AH135:AH144" si="79">ABS(AE135-AF135)/2</f>
        <v>2.7610351077909101E-2</v>
      </c>
      <c r="AI135" s="22">
        <f t="shared" ref="AI135:AI144" si="80">AVERAGE(AA135,AB135,AE135,AF135)</f>
        <v>21.867401801672298</v>
      </c>
      <c r="AJ135" s="26">
        <f t="shared" ref="AJ135:AJ144" si="81">STDEV(AA135,AB135,AE135,AF135)</f>
        <v>0.17286255634906628</v>
      </c>
    </row>
    <row r="136" spans="1:36">
      <c r="A136" s="49" t="s">
        <v>319</v>
      </c>
      <c r="B136" s="50">
        <v>1800</v>
      </c>
      <c r="C136" s="51">
        <v>0.93665355400000005</v>
      </c>
      <c r="D136" s="51">
        <v>2.7720799999999998E-4</v>
      </c>
      <c r="E136" s="21">
        <v>21.313169340000002</v>
      </c>
      <c r="F136" s="26">
        <v>0.05</v>
      </c>
      <c r="G136" s="23" t="s">
        <v>320</v>
      </c>
      <c r="H136" s="51">
        <v>0.93639114729897222</v>
      </c>
      <c r="I136" s="51">
        <v>1.9061922169554904E-4</v>
      </c>
      <c r="J136" s="51">
        <f t="shared" ref="J136:J144" si="82">H136+I136</f>
        <v>0.93658176652066771</v>
      </c>
      <c r="K136" s="58">
        <f t="shared" ref="K136:K144" si="83">H136-I136</f>
        <v>0.93620052807727672</v>
      </c>
      <c r="L136" s="22">
        <v>21.379376938590543</v>
      </c>
      <c r="M136" s="22">
        <v>21.466549058961633</v>
      </c>
      <c r="N136" s="22">
        <f t="shared" si="68"/>
        <v>21.422962998776086</v>
      </c>
      <c r="O136" s="26">
        <f t="shared" si="69"/>
        <v>4.3586060185544895E-2</v>
      </c>
      <c r="P136" s="22">
        <v>21.094778991997217</v>
      </c>
      <c r="Q136" s="22">
        <v>21.180354166106376</v>
      </c>
      <c r="R136" s="22">
        <f t="shared" si="70"/>
        <v>21.137566579051796</v>
      </c>
      <c r="S136" s="26">
        <f t="shared" si="71"/>
        <v>4.2787587054579745E-2</v>
      </c>
      <c r="T136" s="22">
        <f t="shared" si="72"/>
        <v>21.280264788913939</v>
      </c>
      <c r="U136" s="22">
        <f t="shared" si="73"/>
        <v>0.17215512470670766</v>
      </c>
      <c r="V136" s="11">
        <f t="shared" si="74"/>
        <v>-3.2904551086062384E-2</v>
      </c>
      <c r="W136" s="24">
        <v>1873.4120874047856</v>
      </c>
      <c r="X136" s="24">
        <v>1873.5811527337912</v>
      </c>
      <c r="Y136" s="25">
        <f t="shared" si="75"/>
        <v>1873.4966200692884</v>
      </c>
      <c r="Z136" s="25">
        <f t="shared" si="65"/>
        <v>1573.4966200692884</v>
      </c>
      <c r="AA136" s="22">
        <v>21.855227074211811</v>
      </c>
      <c r="AB136" s="22">
        <v>21.943578331635802</v>
      </c>
      <c r="AC136" s="22">
        <f t="shared" si="76"/>
        <v>21.899402702923808</v>
      </c>
      <c r="AD136" s="26">
        <f t="shared" si="77"/>
        <v>4.4175628711995429E-2</v>
      </c>
      <c r="AE136" s="22">
        <v>21.557999101989928</v>
      </c>
      <c r="AF136" s="22">
        <v>21.644663198206835</v>
      </c>
      <c r="AG136" s="22">
        <f t="shared" si="78"/>
        <v>21.601331150098382</v>
      </c>
      <c r="AH136" s="26">
        <f t="shared" si="79"/>
        <v>4.3332048108453591E-2</v>
      </c>
      <c r="AI136" s="22">
        <f t="shared" si="80"/>
        <v>21.750366926511099</v>
      </c>
      <c r="AJ136" s="26">
        <f t="shared" si="81"/>
        <v>0.17935528589414065</v>
      </c>
    </row>
    <row r="137" spans="1:36">
      <c r="A137" s="49" t="s">
        <v>321</v>
      </c>
      <c r="B137" s="50">
        <v>1900</v>
      </c>
      <c r="C137" s="51">
        <v>0.939652547</v>
      </c>
      <c r="D137" s="51">
        <v>3.3068699999999997E-4</v>
      </c>
      <c r="E137" s="21">
        <v>21.12481721</v>
      </c>
      <c r="F137" s="26">
        <v>3.3000000000000002E-2</v>
      </c>
      <c r="G137" s="23" t="s">
        <v>322</v>
      </c>
      <c r="H137" s="51">
        <v>0.94023270174230222</v>
      </c>
      <c r="I137" s="51">
        <v>1.5313924616837534E-4</v>
      </c>
      <c r="J137" s="51">
        <f t="shared" si="82"/>
        <v>0.94038584098847056</v>
      </c>
      <c r="K137" s="58">
        <f t="shared" si="83"/>
        <v>0.94007956249613389</v>
      </c>
      <c r="L137" s="22">
        <v>21.166487432458439</v>
      </c>
      <c r="M137" s="22">
        <v>21.235170164552404</v>
      </c>
      <c r="N137" s="22">
        <f t="shared" si="68"/>
        <v>21.20082879850542</v>
      </c>
      <c r="O137" s="26">
        <f t="shared" si="69"/>
        <v>3.4341366046982458E-2</v>
      </c>
      <c r="P137" s="22">
        <v>20.881290397131593</v>
      </c>
      <c r="Q137" s="22">
        <v>20.948646709498998</v>
      </c>
      <c r="R137" s="22">
        <f t="shared" si="70"/>
        <v>20.914968553315298</v>
      </c>
      <c r="S137" s="26">
        <f t="shared" si="71"/>
        <v>3.3678156183702512E-2</v>
      </c>
      <c r="T137" s="22">
        <f t="shared" si="72"/>
        <v>21.057898675910359</v>
      </c>
      <c r="U137" s="22">
        <f t="shared" si="73"/>
        <v>0.16964981091646017</v>
      </c>
      <c r="V137" s="11">
        <f t="shared" si="74"/>
        <v>-6.6918534089641213E-2</v>
      </c>
      <c r="W137" s="24">
        <v>1980.2694624529245</v>
      </c>
      <c r="X137" s="24">
        <v>1980.4169825480403</v>
      </c>
      <c r="Y137" s="25">
        <f t="shared" si="75"/>
        <v>1980.3432225004824</v>
      </c>
      <c r="Z137" s="25">
        <f t="shared" si="65"/>
        <v>1680.3432225004824</v>
      </c>
      <c r="AA137" s="22">
        <v>21.686448184014058</v>
      </c>
      <c r="AB137" s="22">
        <v>21.756157922822272</v>
      </c>
      <c r="AC137" s="22">
        <f t="shared" si="76"/>
        <v>21.721303053418165</v>
      </c>
      <c r="AD137" s="26">
        <f t="shared" si="77"/>
        <v>3.4854869404107092E-2</v>
      </c>
      <c r="AE137" s="22">
        <v>21.388086911986516</v>
      </c>
      <c r="AF137" s="22">
        <v>21.45639292588487</v>
      </c>
      <c r="AG137" s="22">
        <f t="shared" si="78"/>
        <v>21.422239918935695</v>
      </c>
      <c r="AH137" s="26">
        <f t="shared" si="79"/>
        <v>3.4153006949177112E-2</v>
      </c>
      <c r="AI137" s="22">
        <f t="shared" si="80"/>
        <v>21.571771486176928</v>
      </c>
      <c r="AJ137" s="26">
        <f t="shared" si="81"/>
        <v>0.17720170993924481</v>
      </c>
    </row>
    <row r="138" spans="1:36">
      <c r="A138" s="49" t="s">
        <v>323</v>
      </c>
      <c r="B138" s="50">
        <v>2000</v>
      </c>
      <c r="C138" s="51">
        <v>0.94241098700000003</v>
      </c>
      <c r="D138" s="51">
        <v>3.1232500000000002E-4</v>
      </c>
      <c r="E138" s="21">
        <v>21.10618101</v>
      </c>
      <c r="F138" s="26">
        <v>0.06</v>
      </c>
      <c r="G138" s="23" t="s">
        <v>324</v>
      </c>
      <c r="H138" s="51">
        <v>0.94333996295576905</v>
      </c>
      <c r="I138" s="51">
        <v>3.7042771346926435E-4</v>
      </c>
      <c r="J138" s="51">
        <f t="shared" si="82"/>
        <v>0.94371039066923834</v>
      </c>
      <c r="K138" s="58">
        <f t="shared" si="83"/>
        <v>0.94296953524229976</v>
      </c>
      <c r="L138" s="22">
        <v>21.075110420961085</v>
      </c>
      <c r="M138" s="22">
        <v>21.238688334099386</v>
      </c>
      <c r="N138" s="22">
        <f t="shared" si="68"/>
        <v>21.156899377530237</v>
      </c>
      <c r="O138" s="26">
        <f t="shared" si="69"/>
        <v>8.1788956569150528E-2</v>
      </c>
      <c r="P138" s="22">
        <v>20.788495833061521</v>
      </c>
      <c r="Q138" s="22">
        <v>20.94875566754903</v>
      </c>
      <c r="R138" s="22">
        <f t="shared" si="70"/>
        <v>20.868625750305277</v>
      </c>
      <c r="S138" s="26">
        <f t="shared" si="71"/>
        <v>8.0129917243754178E-2</v>
      </c>
      <c r="T138" s="22">
        <f t="shared" si="72"/>
        <v>21.012762563917754</v>
      </c>
      <c r="U138" s="22">
        <f t="shared" si="73"/>
        <v>0.1908945243336905</v>
      </c>
      <c r="V138" s="11">
        <f t="shared" si="74"/>
        <v>-9.3418446082246476E-2</v>
      </c>
      <c r="W138" s="24">
        <v>2087.6737726176825</v>
      </c>
      <c r="X138" s="24">
        <v>2088.0588851335365</v>
      </c>
      <c r="Y138" s="25">
        <f t="shared" si="75"/>
        <v>2087.8663288756097</v>
      </c>
      <c r="Z138" s="25">
        <f t="shared" si="65"/>
        <v>1787.8663288756097</v>
      </c>
      <c r="AA138" s="22">
        <v>21.642711949531289</v>
      </c>
      <c r="AB138" s="22">
        <v>21.808968649486065</v>
      </c>
      <c r="AC138" s="22">
        <f t="shared" si="76"/>
        <v>21.725840299508675</v>
      </c>
      <c r="AD138" s="26">
        <f t="shared" si="77"/>
        <v>8.3128349977387828E-2</v>
      </c>
      <c r="AE138" s="22">
        <v>21.342330047793901</v>
      </c>
      <c r="AF138" s="22">
        <v>21.505068729954822</v>
      </c>
      <c r="AG138" s="22">
        <f t="shared" si="78"/>
        <v>21.423699388874361</v>
      </c>
      <c r="AH138" s="26">
        <f t="shared" si="79"/>
        <v>8.1369341080460345E-2</v>
      </c>
      <c r="AI138" s="22">
        <f t="shared" si="80"/>
        <v>21.574769844191515</v>
      </c>
      <c r="AJ138" s="26">
        <f t="shared" si="81"/>
        <v>0.19862167920831844</v>
      </c>
    </row>
    <row r="139" spans="1:36">
      <c r="A139" s="49" t="s">
        <v>325</v>
      </c>
      <c r="B139" s="50">
        <v>1900</v>
      </c>
      <c r="C139" s="51">
        <v>0.94090858200000005</v>
      </c>
      <c r="D139" s="51">
        <v>4.03614E-4</v>
      </c>
      <c r="E139" s="21">
        <v>20.796469049999999</v>
      </c>
      <c r="F139" s="26">
        <v>4.4999999999999998E-2</v>
      </c>
      <c r="G139" s="23" t="s">
        <v>326</v>
      </c>
      <c r="H139" s="51">
        <v>0.94175625317056655</v>
      </c>
      <c r="I139" s="51">
        <v>1.966989011145103E-4</v>
      </c>
      <c r="J139" s="51">
        <f t="shared" si="82"/>
        <v>0.94195295207168106</v>
      </c>
      <c r="K139" s="58">
        <f t="shared" si="83"/>
        <v>0.94155955426945204</v>
      </c>
      <c r="L139" s="22">
        <v>20.816837214236735</v>
      </c>
      <c r="M139" s="22">
        <v>20.904333036836221</v>
      </c>
      <c r="N139" s="22">
        <f t="shared" si="68"/>
        <v>20.860585125536478</v>
      </c>
      <c r="O139" s="26">
        <f t="shared" si="69"/>
        <v>4.3747911299742981E-2</v>
      </c>
      <c r="P139" s="22">
        <v>20.538396536332552</v>
      </c>
      <c r="Q139" s="22">
        <v>20.624201113341385</v>
      </c>
      <c r="R139" s="22">
        <f t="shared" si="70"/>
        <v>20.581298824836971</v>
      </c>
      <c r="S139" s="26">
        <f t="shared" si="71"/>
        <v>4.2902288504416575E-2</v>
      </c>
      <c r="T139" s="22">
        <f t="shared" si="72"/>
        <v>20.720941975186722</v>
      </c>
      <c r="U139" s="22">
        <f t="shared" si="73"/>
        <v>0.16882911475061518</v>
      </c>
      <c r="V139" s="11">
        <f t="shared" si="74"/>
        <v>-7.5527074813276585E-2</v>
      </c>
      <c r="W139" s="24">
        <v>1979.513132003151</v>
      </c>
      <c r="X139" s="24">
        <v>1979.7032376354096</v>
      </c>
      <c r="Y139" s="25">
        <f t="shared" si="75"/>
        <v>1979.6081848192803</v>
      </c>
      <c r="Z139" s="25">
        <f t="shared" si="65"/>
        <v>1679.6081848192803</v>
      </c>
      <c r="AA139" s="22">
        <v>21.331540153782708</v>
      </c>
      <c r="AB139" s="22">
        <v>21.420356348148484</v>
      </c>
      <c r="AC139" s="22">
        <f t="shared" si="76"/>
        <v>21.375948250965596</v>
      </c>
      <c r="AD139" s="26">
        <f t="shared" si="77"/>
        <v>4.4408097182888184E-2</v>
      </c>
      <c r="AE139" s="22">
        <v>21.040327175416671</v>
      </c>
      <c r="AF139" s="22">
        <v>21.127354301588905</v>
      </c>
      <c r="AG139" s="22">
        <f t="shared" si="78"/>
        <v>21.083840738502786</v>
      </c>
      <c r="AH139" s="26">
        <f t="shared" si="79"/>
        <v>4.3513563086117202E-2</v>
      </c>
      <c r="AI139" s="22">
        <f t="shared" si="80"/>
        <v>21.229894494734193</v>
      </c>
      <c r="AJ139" s="26">
        <f t="shared" si="81"/>
        <v>0.17612289021487063</v>
      </c>
    </row>
    <row r="140" spans="1:36">
      <c r="A140" s="49" t="s">
        <v>327</v>
      </c>
      <c r="B140" s="50">
        <v>1900</v>
      </c>
      <c r="C140" s="51">
        <v>0.94016036800000002</v>
      </c>
      <c r="D140" s="51">
        <v>3.96621E-4</v>
      </c>
      <c r="E140" s="21">
        <v>20.651548349999999</v>
      </c>
      <c r="F140" s="26">
        <v>4.9000000000000002E-2</v>
      </c>
      <c r="G140" s="23" t="s">
        <v>328</v>
      </c>
      <c r="H140" s="51">
        <v>0.9424326066318528</v>
      </c>
      <c r="I140" s="51">
        <v>2.1807249298407181E-4</v>
      </c>
      <c r="J140" s="51">
        <f t="shared" si="82"/>
        <v>0.94265067912483691</v>
      </c>
      <c r="K140" s="58">
        <f t="shared" si="83"/>
        <v>0.94221453413886869</v>
      </c>
      <c r="L140" s="22">
        <v>20.662112239801147</v>
      </c>
      <c r="M140" s="22">
        <v>20.75876150080741</v>
      </c>
      <c r="N140" s="22">
        <f t="shared" si="68"/>
        <v>20.710436870304278</v>
      </c>
      <c r="O140" s="26">
        <f t="shared" si="69"/>
        <v>4.8324630503131516E-2</v>
      </c>
      <c r="P140" s="22">
        <v>20.386663074369494</v>
      </c>
      <c r="Q140" s="22">
        <v>20.481443572302531</v>
      </c>
      <c r="R140" s="22">
        <f t="shared" si="70"/>
        <v>20.434053323336013</v>
      </c>
      <c r="S140" s="26">
        <f t="shared" si="71"/>
        <v>4.7390248966518556E-2</v>
      </c>
      <c r="T140" s="22">
        <f t="shared" si="72"/>
        <v>20.572245096820147</v>
      </c>
      <c r="U140" s="22">
        <f t="shared" si="73"/>
        <v>0.16886886061428943</v>
      </c>
      <c r="V140" s="11">
        <f t="shared" si="74"/>
        <v>-7.9303253179851652E-2</v>
      </c>
      <c r="W140" s="24">
        <v>1979.1755617226718</v>
      </c>
      <c r="X140" s="24">
        <v>1979.3866350235371</v>
      </c>
      <c r="Y140" s="25">
        <f t="shared" si="75"/>
        <v>1979.2810983731044</v>
      </c>
      <c r="Z140" s="25">
        <f t="shared" si="65"/>
        <v>1679.2810983731044</v>
      </c>
      <c r="AA140" s="22">
        <v>21.174472555641206</v>
      </c>
      <c r="AB140" s="22">
        <v>21.272586301177821</v>
      </c>
      <c r="AC140" s="22">
        <f t="shared" si="76"/>
        <v>21.223529428409513</v>
      </c>
      <c r="AD140" s="26">
        <f t="shared" si="77"/>
        <v>4.9056872768307613E-2</v>
      </c>
      <c r="AE140" s="22">
        <v>20.886423653791365</v>
      </c>
      <c r="AF140" s="22">
        <v>20.982560907330686</v>
      </c>
      <c r="AG140" s="22">
        <f t="shared" si="78"/>
        <v>20.934492280561024</v>
      </c>
      <c r="AH140" s="26">
        <f t="shared" si="79"/>
        <v>4.8068626769660838E-2</v>
      </c>
      <c r="AI140" s="22">
        <f t="shared" si="80"/>
        <v>21.079010854485269</v>
      </c>
      <c r="AJ140" s="26">
        <f t="shared" si="81"/>
        <v>0.17604621753679936</v>
      </c>
    </row>
    <row r="141" spans="1:36">
      <c r="A141" s="49" t="s">
        <v>329</v>
      </c>
      <c r="B141" s="50">
        <v>1900</v>
      </c>
      <c r="C141" s="51">
        <v>0.94123025699999996</v>
      </c>
      <c r="D141" s="51">
        <v>5.5705299999999995E-4</v>
      </c>
      <c r="E141" s="21">
        <v>20.484732220000001</v>
      </c>
      <c r="F141" s="26">
        <v>4.9000000000000002E-2</v>
      </c>
      <c r="G141" s="23" t="s">
        <v>330</v>
      </c>
      <c r="H141" s="51">
        <v>0.94321414631899358</v>
      </c>
      <c r="I141" s="51">
        <v>2.276455069340744E-4</v>
      </c>
      <c r="J141" s="51">
        <f t="shared" si="82"/>
        <v>0.94344179182592769</v>
      </c>
      <c r="K141" s="58">
        <f t="shared" si="83"/>
        <v>0.94298650081205948</v>
      </c>
      <c r="L141" s="22">
        <v>20.487383028642416</v>
      </c>
      <c r="M141" s="22">
        <v>20.587849641226288</v>
      </c>
      <c r="N141" s="22">
        <f t="shared" si="68"/>
        <v>20.537616334934352</v>
      </c>
      <c r="O141" s="26">
        <f t="shared" si="69"/>
        <v>5.0233306291936231E-2</v>
      </c>
      <c r="P141" s="22">
        <v>20.215313153280231</v>
      </c>
      <c r="Q141" s="22">
        <v>20.31383660729195</v>
      </c>
      <c r="R141" s="22">
        <f t="shared" si="70"/>
        <v>20.264574880286091</v>
      </c>
      <c r="S141" s="26">
        <f t="shared" si="71"/>
        <v>4.9261727005859512E-2</v>
      </c>
      <c r="T141" s="22">
        <f t="shared" si="72"/>
        <v>20.40109560761022</v>
      </c>
      <c r="U141" s="22">
        <f t="shared" si="73"/>
        <v>0.16778144670341949</v>
      </c>
      <c r="V141" s="11">
        <f t="shared" si="74"/>
        <v>-8.3636612389781817E-2</v>
      </c>
      <c r="W141" s="24">
        <v>1978.7921866958181</v>
      </c>
      <c r="X141" s="24">
        <v>1979.0129029642289</v>
      </c>
      <c r="Y141" s="25">
        <f t="shared" si="75"/>
        <v>1978.9025448300235</v>
      </c>
      <c r="Z141" s="25">
        <f t="shared" si="65"/>
        <v>1678.9025448300235</v>
      </c>
      <c r="AA141" s="22">
        <v>20.997085869794148</v>
      </c>
      <c r="AB141" s="22">
        <v>21.099082050284622</v>
      </c>
      <c r="AC141" s="22">
        <f t="shared" si="76"/>
        <v>21.048083960039385</v>
      </c>
      <c r="AD141" s="26">
        <f t="shared" si="77"/>
        <v>5.0998090245236938E-2</v>
      </c>
      <c r="AE141" s="22">
        <v>20.712610475761942</v>
      </c>
      <c r="AF141" s="22">
        <v>20.812551911172925</v>
      </c>
      <c r="AG141" s="22">
        <f t="shared" si="78"/>
        <v>20.762581193467433</v>
      </c>
      <c r="AH141" s="26">
        <f t="shared" si="79"/>
        <v>4.9970717705491552E-2</v>
      </c>
      <c r="AI141" s="22">
        <f t="shared" si="80"/>
        <v>20.905332576753409</v>
      </c>
      <c r="AJ141" s="26">
        <f t="shared" si="81"/>
        <v>0.17484048481741382</v>
      </c>
    </row>
    <row r="142" spans="1:36">
      <c r="A142" s="49" t="s">
        <v>331</v>
      </c>
      <c r="B142" s="50">
        <v>1900</v>
      </c>
      <c r="C142" s="51">
        <v>0.94197890699999998</v>
      </c>
      <c r="D142" s="51">
        <v>4.5520000000000001E-4</v>
      </c>
      <c r="E142" s="21">
        <v>20.19966041</v>
      </c>
      <c r="F142" s="26">
        <v>0.04</v>
      </c>
      <c r="G142" s="23" t="s">
        <v>332</v>
      </c>
      <c r="H142" s="51">
        <v>0.94455722012663901</v>
      </c>
      <c r="I142" s="51">
        <v>1.4978896847032914E-4</v>
      </c>
      <c r="J142" s="51">
        <f t="shared" si="82"/>
        <v>0.9447070090951093</v>
      </c>
      <c r="K142" s="58">
        <f t="shared" si="83"/>
        <v>0.94440743115816872</v>
      </c>
      <c r="L142" s="22">
        <v>20.2094895714798</v>
      </c>
      <c r="M142" s="22">
        <v>20.27511743487036</v>
      </c>
      <c r="N142" s="22">
        <f t="shared" si="68"/>
        <v>20.24230350317508</v>
      </c>
      <c r="O142" s="26">
        <f t="shared" si="69"/>
        <v>3.2813931695280019E-2</v>
      </c>
      <c r="P142" s="22">
        <v>19.94279586224285</v>
      </c>
      <c r="Q142" s="22">
        <v>20.007153933953639</v>
      </c>
      <c r="R142" s="22">
        <f t="shared" si="70"/>
        <v>19.974974898098246</v>
      </c>
      <c r="S142" s="26">
        <f t="shared" si="71"/>
        <v>3.2179035855394389E-2</v>
      </c>
      <c r="T142" s="22">
        <f t="shared" si="72"/>
        <v>20.108639200636659</v>
      </c>
      <c r="U142" s="22">
        <f t="shared" si="73"/>
        <v>0.1588385679614131</v>
      </c>
      <c r="V142" s="11">
        <f t="shared" si="74"/>
        <v>-9.1021209363340461E-2</v>
      </c>
      <c r="W142" s="24">
        <v>1978.1776700597134</v>
      </c>
      <c r="X142" s="24">
        <v>1978.3233305831834</v>
      </c>
      <c r="Y142" s="25">
        <f t="shared" si="75"/>
        <v>1978.2505003214483</v>
      </c>
      <c r="Z142" s="25">
        <f t="shared" si="65"/>
        <v>1678.2505003214483</v>
      </c>
      <c r="AA142" s="22">
        <v>20.714939344344319</v>
      </c>
      <c r="AB142" s="22">
        <v>20.781574590048791</v>
      </c>
      <c r="AC142" s="22">
        <f t="shared" si="76"/>
        <v>20.748256967196554</v>
      </c>
      <c r="AD142" s="26">
        <f t="shared" si="77"/>
        <v>3.3317622852235829E-2</v>
      </c>
      <c r="AE142" s="22">
        <v>20.436147543745175</v>
      </c>
      <c r="AF142" s="22">
        <v>20.501440558805253</v>
      </c>
      <c r="AG142" s="22">
        <f t="shared" si="78"/>
        <v>20.468794051275214</v>
      </c>
      <c r="AH142" s="26">
        <f t="shared" si="79"/>
        <v>3.2646507530039059E-2</v>
      </c>
      <c r="AI142" s="22">
        <f t="shared" si="80"/>
        <v>20.608525509235886</v>
      </c>
      <c r="AJ142" s="26">
        <f t="shared" si="81"/>
        <v>0.16578222488968672</v>
      </c>
    </row>
    <row r="143" spans="1:36">
      <c r="A143" s="49" t="s">
        <v>333</v>
      </c>
      <c r="B143" s="50">
        <v>1900</v>
      </c>
      <c r="C143" s="51">
        <v>0.942933731</v>
      </c>
      <c r="D143" s="51">
        <v>4.8796700000000001E-4</v>
      </c>
      <c r="E143" s="21">
        <v>19.96964028</v>
      </c>
      <c r="F143" s="26">
        <v>5.3999999999999999E-2</v>
      </c>
      <c r="G143" s="23" t="s">
        <v>334</v>
      </c>
      <c r="H143" s="51">
        <v>0.94564790376686469</v>
      </c>
      <c r="I143" s="51">
        <v>2.6813452158076789E-4</v>
      </c>
      <c r="J143" s="51">
        <f t="shared" si="82"/>
        <v>0.9459160382884455</v>
      </c>
      <c r="K143" s="58">
        <f t="shared" si="83"/>
        <v>0.94537976924528389</v>
      </c>
      <c r="L143" s="22">
        <v>19.945708263286352</v>
      </c>
      <c r="M143" s="22">
        <v>20.062496495211256</v>
      </c>
      <c r="N143" s="22">
        <f t="shared" si="68"/>
        <v>20.004102379248806</v>
      </c>
      <c r="O143" s="26">
        <f t="shared" si="69"/>
        <v>5.839411596245192E-2</v>
      </c>
      <c r="P143" s="22">
        <v>19.68411885809909</v>
      </c>
      <c r="Q143" s="22">
        <v>19.798647092204238</v>
      </c>
      <c r="R143" s="22">
        <f t="shared" si="70"/>
        <v>19.741382975151666</v>
      </c>
      <c r="S143" s="26">
        <f t="shared" si="71"/>
        <v>5.7264117052573837E-2</v>
      </c>
      <c r="T143" s="22">
        <f t="shared" si="72"/>
        <v>19.872742677200236</v>
      </c>
      <c r="U143" s="22">
        <f t="shared" si="73"/>
        <v>0.16573029199158779</v>
      </c>
      <c r="V143" s="11">
        <f t="shared" si="74"/>
        <v>-9.6897602799764115E-2</v>
      </c>
      <c r="W143" s="24">
        <v>1977.588829379052</v>
      </c>
      <c r="X143" s="24">
        <v>1977.8502076409911</v>
      </c>
      <c r="Y143" s="25">
        <f t="shared" si="75"/>
        <v>1977.7195185100215</v>
      </c>
      <c r="Z143" s="25">
        <f t="shared" si="65"/>
        <v>1677.7195185100215</v>
      </c>
      <c r="AA143" s="22">
        <v>20.44709024365584</v>
      </c>
      <c r="AB143" s="22">
        <v>20.565683204320216</v>
      </c>
      <c r="AC143" s="22">
        <f t="shared" si="76"/>
        <v>20.50638672398803</v>
      </c>
      <c r="AD143" s="26">
        <f t="shared" si="77"/>
        <v>5.929648033218804E-2</v>
      </c>
      <c r="AE143" s="22">
        <v>20.173692867367286</v>
      </c>
      <c r="AF143" s="22">
        <v>20.289897586708129</v>
      </c>
      <c r="AG143" s="22">
        <f t="shared" si="78"/>
        <v>20.231795227037708</v>
      </c>
      <c r="AH143" s="26">
        <f t="shared" si="79"/>
        <v>5.8102359670421322E-2</v>
      </c>
      <c r="AI143" s="22">
        <f t="shared" si="80"/>
        <v>20.369090975512869</v>
      </c>
      <c r="AJ143" s="26">
        <f t="shared" si="81"/>
        <v>0.17241848678484831</v>
      </c>
    </row>
    <row r="144" spans="1:36">
      <c r="A144" s="52" t="s">
        <v>335</v>
      </c>
      <c r="B144" s="53">
        <v>1900</v>
      </c>
      <c r="C144" s="54">
        <v>0.94429026400000005</v>
      </c>
      <c r="D144" s="54">
        <v>4.49801E-4</v>
      </c>
      <c r="E144" s="28">
        <v>19.738784070000001</v>
      </c>
      <c r="F144" s="30">
        <v>1.7999999999999999E-2</v>
      </c>
      <c r="G144" s="31" t="s">
        <v>336</v>
      </c>
      <c r="H144" s="54">
        <v>0.9467488956540131</v>
      </c>
      <c r="I144" s="54">
        <v>9.1944583056512521E-5</v>
      </c>
      <c r="J144" s="54">
        <f t="shared" si="82"/>
        <v>0.9468408402370696</v>
      </c>
      <c r="K144" s="60">
        <f t="shared" si="83"/>
        <v>0.9466569510709566</v>
      </c>
      <c r="L144" s="29">
        <v>19.745099979962255</v>
      </c>
      <c r="M144" s="29">
        <v>19.784909348169549</v>
      </c>
      <c r="N144" s="29">
        <f t="shared" si="68"/>
        <v>19.765004664065902</v>
      </c>
      <c r="O144" s="30">
        <f t="shared" si="69"/>
        <v>1.9904684103646986E-2</v>
      </c>
      <c r="P144" s="29">
        <v>19.487392692803645</v>
      </c>
      <c r="Q144" s="29">
        <v>19.526431684192996</v>
      </c>
      <c r="R144" s="29">
        <f t="shared" si="70"/>
        <v>19.506912188498319</v>
      </c>
      <c r="S144" s="30">
        <f t="shared" si="71"/>
        <v>1.9519495694675371E-2</v>
      </c>
      <c r="T144" s="29">
        <f t="shared" si="72"/>
        <v>19.635958426282112</v>
      </c>
      <c r="U144" s="29">
        <f t="shared" si="73"/>
        <v>0.15073833870594369</v>
      </c>
      <c r="V144" s="17">
        <f t="shared" si="74"/>
        <v>-0.10282564371788894</v>
      </c>
      <c r="W144" s="32">
        <v>1977.1373406174371</v>
      </c>
      <c r="X144" s="32">
        <v>1977.2271902277332</v>
      </c>
      <c r="Y144" s="33">
        <f t="shared" si="75"/>
        <v>1977.1822654225853</v>
      </c>
      <c r="Z144" s="33">
        <f t="shared" si="65"/>
        <v>1677.1822654225853</v>
      </c>
      <c r="AA144" s="29">
        <v>20.243367971571491</v>
      </c>
      <c r="AB144" s="29">
        <v>20.283796706098713</v>
      </c>
      <c r="AC144" s="29">
        <f t="shared" si="76"/>
        <v>20.2635823388351</v>
      </c>
      <c r="AD144" s="30">
        <f t="shared" si="77"/>
        <v>2.0214367263610811E-2</v>
      </c>
      <c r="AE144" s="29">
        <v>19.974072223122487</v>
      </c>
      <c r="AF144" s="29">
        <v>20.013687099164077</v>
      </c>
      <c r="AG144" s="29">
        <f t="shared" si="78"/>
        <v>19.993879661143282</v>
      </c>
      <c r="AH144" s="30">
        <f t="shared" si="79"/>
        <v>1.9807438020794876E-2</v>
      </c>
      <c r="AI144" s="29">
        <f t="shared" si="80"/>
        <v>20.128730999989191</v>
      </c>
      <c r="AJ144" s="30">
        <f t="shared" si="81"/>
        <v>0.1574181743465147</v>
      </c>
    </row>
  </sheetData>
  <mergeCells count="12">
    <mergeCell ref="AE4:AH4"/>
    <mergeCell ref="AI4:AJ4"/>
    <mergeCell ref="G3:V3"/>
    <mergeCell ref="W3:Y3"/>
    <mergeCell ref="AA3:AJ3"/>
    <mergeCell ref="C4:D4"/>
    <mergeCell ref="E4:F4"/>
    <mergeCell ref="G4:K4"/>
    <mergeCell ref="L4:O4"/>
    <mergeCell ref="P4:S4"/>
    <mergeCell ref="T4:V4"/>
    <mergeCell ref="AA4:AD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workbookViewId="0">
      <selection activeCell="A6" sqref="A6"/>
    </sheetView>
  </sheetViews>
  <sheetFormatPr defaultColWidth="8.75" defaultRowHeight="18.75"/>
  <cols>
    <col min="1" max="1" width="10" style="2" bestFit="1" customWidth="1"/>
    <col min="2" max="2" width="5.875" style="2" bestFit="1" customWidth="1"/>
    <col min="3" max="3" width="8.625" style="2" bestFit="1" customWidth="1"/>
    <col min="4" max="4" width="5.5" style="2" bestFit="1" customWidth="1"/>
    <col min="5" max="5" width="8.5" style="20" bestFit="1" customWidth="1"/>
    <col min="6" max="6" width="8" style="20" bestFit="1" customWidth="1"/>
    <col min="7" max="7" width="8.625" style="19" bestFit="1" customWidth="1"/>
    <col min="8" max="8" width="6" style="19" bestFit="1" customWidth="1"/>
    <col min="9" max="9" width="7" style="66" bestFit="1" customWidth="1"/>
    <col min="10" max="10" width="9" style="20" customWidth="1"/>
    <col min="11" max="11" width="7" style="66" bestFit="1" customWidth="1"/>
    <col min="12" max="12" width="7.25" style="66" bestFit="1" customWidth="1"/>
    <col min="13" max="13" width="9.75" style="19" bestFit="1" customWidth="1"/>
    <col min="14" max="14" width="9.25" style="19" bestFit="1" customWidth="1"/>
    <col min="15" max="15" width="8.375" style="19" bestFit="1" customWidth="1"/>
    <col min="16" max="16" width="10.25" style="19" bestFit="1" customWidth="1"/>
    <col min="17" max="17" width="9.75" style="19" bestFit="1" customWidth="1"/>
    <col min="18" max="18" width="9.25" style="19" bestFit="1" customWidth="1"/>
    <col min="19" max="19" width="8.375" style="19" bestFit="1" customWidth="1"/>
    <col min="20" max="20" width="10.25" style="19" bestFit="1" customWidth="1"/>
    <col min="21" max="23" width="5.875" style="34" bestFit="1" customWidth="1"/>
    <col min="24" max="24" width="9.75" style="19" bestFit="1" customWidth="1"/>
    <col min="25" max="25" width="9.25" style="19" bestFit="1" customWidth="1"/>
    <col min="26" max="26" width="8.375" style="19" bestFit="1" customWidth="1"/>
    <col min="27" max="27" width="10.25" style="19" bestFit="1" customWidth="1"/>
    <col min="28" max="28" width="9.75" style="19" bestFit="1" customWidth="1"/>
    <col min="29" max="29" width="9.25" style="19" bestFit="1" customWidth="1"/>
    <col min="30" max="30" width="8.375" style="19" bestFit="1" customWidth="1"/>
    <col min="31" max="31" width="10.25" style="19" bestFit="1" customWidth="1"/>
    <col min="32" max="32" width="8.375" style="19" bestFit="1" customWidth="1"/>
    <col min="33" max="33" width="10.25" style="19" bestFit="1" customWidth="1"/>
    <col min="34" max="16384" width="8.75" style="2"/>
  </cols>
  <sheetData>
    <row r="1" spans="1:33">
      <c r="A1" s="50"/>
      <c r="B1" s="50"/>
      <c r="C1" s="50"/>
      <c r="D1" s="50"/>
      <c r="E1" s="51"/>
      <c r="F1" s="51"/>
      <c r="G1" s="22"/>
      <c r="H1" s="22"/>
      <c r="I1" s="106"/>
      <c r="J1" s="51"/>
      <c r="K1" s="106"/>
      <c r="L1" s="106"/>
      <c r="M1" s="22"/>
      <c r="N1" s="22"/>
      <c r="O1" s="22"/>
      <c r="P1" s="22"/>
      <c r="Q1" s="22"/>
      <c r="R1" s="22"/>
      <c r="S1" s="22"/>
      <c r="T1" s="22"/>
      <c r="U1" s="24"/>
      <c r="V1" s="24"/>
      <c r="W1" s="24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>
      <c r="A2" s="50"/>
      <c r="B2" s="50"/>
      <c r="C2" s="50"/>
      <c r="D2" s="50"/>
      <c r="E2" s="51"/>
      <c r="F2" s="51"/>
      <c r="G2" s="22"/>
      <c r="H2" s="22"/>
      <c r="I2" s="106"/>
      <c r="J2" s="51"/>
      <c r="K2" s="106"/>
      <c r="L2" s="106"/>
      <c r="M2" s="22"/>
      <c r="N2" s="22"/>
      <c r="O2" s="22"/>
      <c r="P2" s="22"/>
      <c r="Q2" s="22"/>
      <c r="R2" s="22"/>
      <c r="S2" s="22"/>
      <c r="T2" s="22"/>
      <c r="U2" s="24"/>
      <c r="V2" s="24"/>
      <c r="W2" s="24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1" customFormat="1">
      <c r="A3" s="44"/>
      <c r="B3" s="44"/>
      <c r="C3" s="44"/>
      <c r="D3" s="44"/>
      <c r="E3" s="44">
        <v>162.37299999999999</v>
      </c>
      <c r="F3" s="45"/>
      <c r="G3" s="11"/>
      <c r="H3" s="11"/>
      <c r="I3" s="109"/>
      <c r="J3" s="45">
        <v>74.697999999999993</v>
      </c>
      <c r="K3" s="109"/>
      <c r="L3" s="109"/>
      <c r="M3" s="79" t="s">
        <v>0</v>
      </c>
      <c r="N3" s="39"/>
      <c r="O3" s="39"/>
      <c r="P3" s="39"/>
      <c r="Q3" s="39"/>
      <c r="R3" s="39"/>
      <c r="S3" s="39"/>
      <c r="T3" s="78"/>
      <c r="U3" s="120" t="s">
        <v>1</v>
      </c>
      <c r="V3" s="41"/>
      <c r="W3" s="121"/>
      <c r="X3" s="79" t="s">
        <v>2</v>
      </c>
      <c r="Y3" s="39"/>
      <c r="Z3" s="39"/>
      <c r="AA3" s="39"/>
      <c r="AB3" s="39"/>
      <c r="AC3" s="39"/>
      <c r="AD3" s="39"/>
      <c r="AE3" s="78"/>
      <c r="AF3" s="124"/>
      <c r="AG3" s="42"/>
    </row>
    <row r="4" spans="1:33" s="1" customFormat="1">
      <c r="A4" s="62"/>
      <c r="B4" s="62"/>
      <c r="C4" s="62"/>
      <c r="D4" s="62"/>
      <c r="E4" s="72" t="s">
        <v>337</v>
      </c>
      <c r="F4" s="73"/>
      <c r="G4" s="3" t="s">
        <v>338</v>
      </c>
      <c r="H4" s="5"/>
      <c r="I4" s="72" t="s">
        <v>111</v>
      </c>
      <c r="J4" s="74"/>
      <c r="K4" s="74"/>
      <c r="L4" s="74"/>
      <c r="M4" s="3" t="s">
        <v>4</v>
      </c>
      <c r="N4" s="4"/>
      <c r="O4" s="4"/>
      <c r="P4" s="5"/>
      <c r="Q4" s="3" t="s">
        <v>5</v>
      </c>
      <c r="R4" s="4"/>
      <c r="S4" s="4"/>
      <c r="T4" s="5"/>
      <c r="U4" s="99" t="s">
        <v>6</v>
      </c>
      <c r="V4" s="100" t="s">
        <v>7</v>
      </c>
      <c r="W4" s="101"/>
      <c r="X4" s="3" t="s">
        <v>4</v>
      </c>
      <c r="Y4" s="4"/>
      <c r="Z4" s="4"/>
      <c r="AA4" s="5"/>
      <c r="AB4" s="3" t="s">
        <v>5</v>
      </c>
      <c r="AC4" s="4"/>
      <c r="AD4" s="4"/>
      <c r="AE4" s="5"/>
      <c r="AF4" s="102"/>
      <c r="AG4" s="103"/>
    </row>
    <row r="5" spans="1:33" s="97" customFormat="1">
      <c r="A5" s="135" t="s">
        <v>434</v>
      </c>
      <c r="B5" s="136" t="s">
        <v>8</v>
      </c>
      <c r="C5" s="135" t="s">
        <v>339</v>
      </c>
      <c r="D5" s="85" t="s">
        <v>340</v>
      </c>
      <c r="E5" s="115" t="s">
        <v>12</v>
      </c>
      <c r="F5" s="116" t="s">
        <v>19</v>
      </c>
      <c r="G5" s="118" t="s">
        <v>339</v>
      </c>
      <c r="H5" s="47" t="s">
        <v>340</v>
      </c>
      <c r="I5" s="119" t="s">
        <v>12</v>
      </c>
      <c r="J5" s="111" t="s">
        <v>19</v>
      </c>
      <c r="K5" s="112" t="s">
        <v>13</v>
      </c>
      <c r="L5" s="112" t="s">
        <v>14</v>
      </c>
      <c r="M5" s="118" t="s">
        <v>15</v>
      </c>
      <c r="N5" s="46" t="s">
        <v>16</v>
      </c>
      <c r="O5" s="46" t="s">
        <v>10</v>
      </c>
      <c r="P5" s="47" t="s">
        <v>11</v>
      </c>
      <c r="Q5" s="118" t="s">
        <v>15</v>
      </c>
      <c r="R5" s="46" t="s">
        <v>16</v>
      </c>
      <c r="S5" s="46" t="s">
        <v>10</v>
      </c>
      <c r="T5" s="47" t="s">
        <v>11</v>
      </c>
      <c r="U5" s="122" t="s">
        <v>8</v>
      </c>
      <c r="V5" s="110" t="s">
        <v>8</v>
      </c>
      <c r="W5" s="123" t="s">
        <v>8</v>
      </c>
      <c r="X5" s="118" t="s">
        <v>15</v>
      </c>
      <c r="Y5" s="46" t="s">
        <v>16</v>
      </c>
      <c r="Z5" s="46" t="s">
        <v>10</v>
      </c>
      <c r="AA5" s="47" t="s">
        <v>11</v>
      </c>
      <c r="AB5" s="118" t="s">
        <v>15</v>
      </c>
      <c r="AC5" s="46" t="s">
        <v>16</v>
      </c>
      <c r="AD5" s="46" t="s">
        <v>10</v>
      </c>
      <c r="AE5" s="47" t="s">
        <v>11</v>
      </c>
      <c r="AF5" s="102" t="s">
        <v>10</v>
      </c>
      <c r="AG5" s="103" t="s">
        <v>11</v>
      </c>
    </row>
    <row r="6" spans="1:33">
      <c r="A6" s="89" t="s">
        <v>341</v>
      </c>
      <c r="B6" s="125">
        <v>1300</v>
      </c>
      <c r="C6" s="126">
        <v>150.26</v>
      </c>
      <c r="D6" s="92">
        <v>0.11</v>
      </c>
      <c r="E6" s="127">
        <f>C6/$E$3</f>
        <v>0.92540015889341209</v>
      </c>
      <c r="F6" s="128">
        <f>D6/$E$3</f>
        <v>6.7745253213280542E-4</v>
      </c>
      <c r="G6" s="129">
        <v>66.415000000000006</v>
      </c>
      <c r="H6" s="130">
        <v>1.0999999999999999E-2</v>
      </c>
      <c r="I6" s="131">
        <f>G6/$J$3</f>
        <v>0.88911349701464581</v>
      </c>
      <c r="J6" s="91">
        <f>H6/$J$3</f>
        <v>1.4725963211866449E-4</v>
      </c>
      <c r="K6" s="132">
        <f>I6-J6</f>
        <v>0.88896623738252711</v>
      </c>
      <c r="L6" s="132">
        <f>I6+J6</f>
        <v>0.88926075664676452</v>
      </c>
      <c r="M6" s="126">
        <v>30.470065538486715</v>
      </c>
      <c r="N6" s="92">
        <v>30.383790528424839</v>
      </c>
      <c r="O6" s="37">
        <f>(M6+N6)/2</f>
        <v>30.426928033455777</v>
      </c>
      <c r="P6" s="86">
        <f>(M6-N6)/2</f>
        <v>4.3137505030937717E-2</v>
      </c>
      <c r="Q6" s="126">
        <v>30.114460988050176</v>
      </c>
      <c r="R6" s="92">
        <v>30.029147810802552</v>
      </c>
      <c r="S6" s="37">
        <f>(Q6+R6)/2</f>
        <v>30.071804399426362</v>
      </c>
      <c r="T6" s="86">
        <f>(Q6-R6)/2</f>
        <v>4.2656588623811942E-2</v>
      </c>
      <c r="U6" s="133">
        <v>1350.9208141334111</v>
      </c>
      <c r="V6" s="93">
        <v>1350.8469830541999</v>
      </c>
      <c r="W6" s="134">
        <f>(U6+V6)/2</f>
        <v>1350.8838985938055</v>
      </c>
      <c r="X6" s="126">
        <v>30.80498317332534</v>
      </c>
      <c r="Y6" s="92">
        <v>30.718164936935342</v>
      </c>
      <c r="Z6" s="92">
        <f>(X6+Y6)/2</f>
        <v>30.761574055130339</v>
      </c>
      <c r="AA6" s="94">
        <f>(X6-Y6)/2</f>
        <v>4.3409118194999152E-2</v>
      </c>
      <c r="AB6" s="126">
        <v>30.435151216276985</v>
      </c>
      <c r="AC6" s="92">
        <v>30.3493518443806</v>
      </c>
      <c r="AD6" s="92">
        <f>(AB6+AC6)/2</f>
        <v>30.392251530328792</v>
      </c>
      <c r="AE6" s="94">
        <f>(AB6-AC6)/2</f>
        <v>4.2899685948192712E-2</v>
      </c>
      <c r="AF6" s="126">
        <f t="shared" ref="AF6:AF21" si="0">AVERAGE(X6,Y6,AB6,AC6)</f>
        <v>30.576912792729566</v>
      </c>
      <c r="AG6" s="94">
        <f t="shared" ref="AG6:AG21" si="1">STDEV(X6,Y6,AB6,AC6)</f>
        <v>0.21897381618177719</v>
      </c>
    </row>
    <row r="7" spans="1:33">
      <c r="A7" s="49" t="s">
        <v>341</v>
      </c>
      <c r="B7" s="113">
        <v>1100</v>
      </c>
      <c r="C7" s="21">
        <v>149.63</v>
      </c>
      <c r="D7" s="22">
        <v>0.14000000000000001</v>
      </c>
      <c r="E7" s="57">
        <f>C7/$E$3</f>
        <v>0.92152020348210606</v>
      </c>
      <c r="F7" s="58">
        <f>D7/$E$3</f>
        <v>8.6221231362357059E-4</v>
      </c>
      <c r="G7" s="104">
        <v>66.135999999999996</v>
      </c>
      <c r="H7" s="105">
        <v>0.01</v>
      </c>
      <c r="I7" s="98">
        <f t="shared" ref="I7:J32" si="2">G7/$J$3</f>
        <v>0.885378457254545</v>
      </c>
      <c r="J7" s="51">
        <f t="shared" si="2"/>
        <v>1.3387239283514955E-4</v>
      </c>
      <c r="K7" s="106">
        <f t="shared" ref="K7:K32" si="3">I7-J7</f>
        <v>0.88524458486170987</v>
      </c>
      <c r="L7" s="106">
        <f t="shared" ref="L7:L32" si="4">I7+J7</f>
        <v>0.88551232964738014</v>
      </c>
      <c r="M7" s="21">
        <v>30.260656359981983</v>
      </c>
      <c r="N7" s="22">
        <v>30.180836516829519</v>
      </c>
      <c r="O7" s="22">
        <f t="shared" ref="O7:O32" si="5">(M7+N7)/2</f>
        <v>30.220746438405751</v>
      </c>
      <c r="P7" s="26">
        <f t="shared" ref="P7:P32" si="6">(M7-N7)/2</f>
        <v>3.9909921576231966E-2</v>
      </c>
      <c r="Q7" s="21">
        <v>29.950331557484201</v>
      </c>
      <c r="R7" s="22">
        <v>29.871243349855106</v>
      </c>
      <c r="S7" s="22">
        <f t="shared" ref="S7:S32" si="7">(Q7+R7)/2</f>
        <v>29.910787453669656</v>
      </c>
      <c r="T7" s="26">
        <f t="shared" ref="T7:T32" si="8">(Q7-R7)/2</f>
        <v>3.9544103814547427E-2</v>
      </c>
      <c r="U7" s="23">
        <v>1138.5646798653229</v>
      </c>
      <c r="V7" s="24">
        <v>1138.5124837213584</v>
      </c>
      <c r="W7" s="25">
        <f t="shared" ref="W7:W32" si="9">(U7+V7)/2</f>
        <v>1138.5385817933407</v>
      </c>
      <c r="X7" s="21">
        <v>30.512530924476025</v>
      </c>
      <c r="Y7" s="22">
        <v>30.432331765797866</v>
      </c>
      <c r="Z7" s="22">
        <f t="shared" ref="Z7:Z32" si="10">(X7+Y7)/2</f>
        <v>30.472431345136947</v>
      </c>
      <c r="AA7" s="26">
        <f t="shared" ref="AA7:AA32" si="11">(X7-Y7)/2</f>
        <v>4.0099579339079483E-2</v>
      </c>
      <c r="AB7" s="21">
        <v>30.191201319674526</v>
      </c>
      <c r="AC7" s="22">
        <v>30.111773565087852</v>
      </c>
      <c r="AD7" s="22">
        <f>(AB7+AC7)/2</f>
        <v>30.151487442381189</v>
      </c>
      <c r="AE7" s="26">
        <f>(AB7-AC7)/2</f>
        <v>3.9713877293337418E-2</v>
      </c>
      <c r="AF7" s="21">
        <f t="shared" si="0"/>
        <v>30.311959393759068</v>
      </c>
      <c r="AG7" s="26">
        <f t="shared" si="1"/>
        <v>0.19094093793786865</v>
      </c>
    </row>
    <row r="8" spans="1:33">
      <c r="A8" s="49" t="s">
        <v>341</v>
      </c>
      <c r="B8" s="113">
        <v>900</v>
      </c>
      <c r="C8" s="21">
        <v>149.13</v>
      </c>
      <c r="D8" s="22">
        <v>0.14000000000000001</v>
      </c>
      <c r="E8" s="57">
        <f>C8/$E$3</f>
        <v>0.91844087379059325</v>
      </c>
      <c r="F8" s="58">
        <f>D8/$E$3</f>
        <v>8.6221231362357059E-4</v>
      </c>
      <c r="G8" s="104">
        <v>65.95</v>
      </c>
      <c r="H8" s="105">
        <v>7.0000000000000001E-3</v>
      </c>
      <c r="I8" s="98">
        <f t="shared" si="2"/>
        <v>0.88288843074781131</v>
      </c>
      <c r="J8" s="51">
        <f t="shared" si="2"/>
        <v>9.371067498460469E-5</v>
      </c>
      <c r="K8" s="106">
        <f t="shared" si="3"/>
        <v>0.88279472007282667</v>
      </c>
      <c r="L8" s="106">
        <f t="shared" si="4"/>
        <v>0.88298214142279596</v>
      </c>
      <c r="M8" s="21">
        <v>29.699397381080431</v>
      </c>
      <c r="N8" s="22">
        <v>29.642903523121557</v>
      </c>
      <c r="O8" s="22">
        <f t="shared" si="5"/>
        <v>29.671150452100996</v>
      </c>
      <c r="P8" s="26">
        <f t="shared" si="6"/>
        <v>2.8246928979436703E-2</v>
      </c>
      <c r="Q8" s="21">
        <v>29.440101998333642</v>
      </c>
      <c r="R8" s="22">
        <v>29.384023214925708</v>
      </c>
      <c r="S8" s="22">
        <f t="shared" si="7"/>
        <v>29.412062606629675</v>
      </c>
      <c r="T8" s="26">
        <f t="shared" si="8"/>
        <v>2.8039391703966743E-2</v>
      </c>
      <c r="U8" s="23">
        <v>927.79604982512558</v>
      </c>
      <c r="V8" s="24">
        <v>927.76877931124238</v>
      </c>
      <c r="W8" s="25">
        <f t="shared" si="9"/>
        <v>927.78241456818398</v>
      </c>
      <c r="X8" s="21">
        <v>29.878294802924252</v>
      </c>
      <c r="Y8" s="22">
        <v>29.821607614778539</v>
      </c>
      <c r="Z8" s="22">
        <f t="shared" si="10"/>
        <v>29.849951208851394</v>
      </c>
      <c r="AA8" s="26">
        <f t="shared" si="11"/>
        <v>2.8343594072856249E-2</v>
      </c>
      <c r="AB8" s="21">
        <v>29.611055804639193</v>
      </c>
      <c r="AC8" s="22">
        <v>29.554803753182011</v>
      </c>
      <c r="AD8" s="22">
        <f t="shared" ref="AD8:AD20" si="12">(AB8+AC8)/2</f>
        <v>29.582929778910604</v>
      </c>
      <c r="AE8" s="26">
        <f t="shared" ref="AE8:AE21" si="13">(AB8-AC8)/2</f>
        <v>2.8126025728591131E-2</v>
      </c>
      <c r="AF8" s="21">
        <f t="shared" si="0"/>
        <v>29.716440493880999</v>
      </c>
      <c r="AG8" s="26">
        <f t="shared" si="1"/>
        <v>0.157574648282574</v>
      </c>
    </row>
    <row r="9" spans="1:33">
      <c r="A9" s="49" t="s">
        <v>341</v>
      </c>
      <c r="B9" s="113">
        <v>700</v>
      </c>
      <c r="C9" s="21">
        <v>148.77000000000001</v>
      </c>
      <c r="D9" s="22">
        <v>0.15</v>
      </c>
      <c r="E9" s="57">
        <f>C9/$E$3</f>
        <v>0.91622375641270415</v>
      </c>
      <c r="F9" s="58">
        <f>D9/$E$3</f>
        <v>9.237989074538255E-4</v>
      </c>
      <c r="G9" s="104">
        <v>65.81</v>
      </c>
      <c r="H9" s="105">
        <v>0.02</v>
      </c>
      <c r="I9" s="98">
        <f t="shared" si="2"/>
        <v>0.88101421724811924</v>
      </c>
      <c r="J9" s="51">
        <f t="shared" si="2"/>
        <v>2.677447856702991E-4</v>
      </c>
      <c r="K9" s="106">
        <f t="shared" si="3"/>
        <v>0.88074647246244897</v>
      </c>
      <c r="L9" s="106">
        <f t="shared" si="4"/>
        <v>0.8812819620337895</v>
      </c>
      <c r="M9" s="21">
        <v>29.051878402898403</v>
      </c>
      <c r="N9" s="22">
        <v>28.889161217113077</v>
      </c>
      <c r="O9" s="22">
        <f t="shared" si="5"/>
        <v>28.97051981000574</v>
      </c>
      <c r="P9" s="26">
        <f t="shared" si="6"/>
        <v>8.1358592892662784E-2</v>
      </c>
      <c r="Q9" s="21">
        <v>28.845145437277342</v>
      </c>
      <c r="R9" s="22">
        <v>28.683348919230561</v>
      </c>
      <c r="S9" s="22">
        <f t="shared" si="7"/>
        <v>28.764247178253953</v>
      </c>
      <c r="T9" s="26">
        <f t="shared" si="8"/>
        <v>8.0898259023390651E-2</v>
      </c>
      <c r="U9" s="23">
        <v>718.84230311816907</v>
      </c>
      <c r="V9" s="24">
        <v>718.78744893003625</v>
      </c>
      <c r="W9" s="25">
        <f t="shared" si="9"/>
        <v>718.81487602410266</v>
      </c>
      <c r="X9" s="21">
        <v>29.169497288100537</v>
      </c>
      <c r="Y9" s="22">
        <v>29.006409605843377</v>
      </c>
      <c r="Z9" s="22">
        <f t="shared" si="10"/>
        <v>29.087953446971959</v>
      </c>
      <c r="AA9" s="26">
        <f t="shared" si="11"/>
        <v>8.1543841128580041E-2</v>
      </c>
      <c r="AB9" s="21">
        <v>28.957490498800198</v>
      </c>
      <c r="AC9" s="22">
        <v>28.795361341393352</v>
      </c>
      <c r="AD9" s="22">
        <f t="shared" si="12"/>
        <v>28.876425920096775</v>
      </c>
      <c r="AE9" s="26">
        <f t="shared" si="13"/>
        <v>8.1064578703422541E-2</v>
      </c>
      <c r="AF9" s="21">
        <f t="shared" si="0"/>
        <v>28.982189683534365</v>
      </c>
      <c r="AG9" s="26">
        <f t="shared" si="1"/>
        <v>0.15404071163025246</v>
      </c>
    </row>
    <row r="10" spans="1:33">
      <c r="A10" s="49" t="s">
        <v>341</v>
      </c>
      <c r="B10" s="113">
        <v>500</v>
      </c>
      <c r="C10" s="21">
        <v>148.41999999999999</v>
      </c>
      <c r="D10" s="22">
        <v>0.1</v>
      </c>
      <c r="E10" s="57">
        <f>C10/$E$3</f>
        <v>0.91406822562864509</v>
      </c>
      <c r="F10" s="58">
        <f>D10/$E$3</f>
        <v>6.158659383025504E-4</v>
      </c>
      <c r="G10" s="104">
        <v>65.585999999999999</v>
      </c>
      <c r="H10" s="105">
        <v>1.0999999999999999E-2</v>
      </c>
      <c r="I10" s="98">
        <f t="shared" si="2"/>
        <v>0.87801547564861182</v>
      </c>
      <c r="J10" s="51">
        <f t="shared" si="2"/>
        <v>1.4725963211866449E-4</v>
      </c>
      <c r="K10" s="106">
        <f t="shared" si="3"/>
        <v>0.87786821601649312</v>
      </c>
      <c r="L10" s="106">
        <f t="shared" si="4"/>
        <v>0.87816273528073052</v>
      </c>
      <c r="M10" s="21">
        <v>28.726662602189194</v>
      </c>
      <c r="N10" s="22">
        <v>28.63583599108394</v>
      </c>
      <c r="O10" s="22">
        <f t="shared" si="5"/>
        <v>28.681249296636565</v>
      </c>
      <c r="P10" s="26">
        <f t="shared" si="6"/>
        <v>4.5413305552626682E-2</v>
      </c>
      <c r="Q10" s="21">
        <v>28.570067206969199</v>
      </c>
      <c r="R10" s="22">
        <v>28.479603410247162</v>
      </c>
      <c r="S10" s="22">
        <f t="shared" si="7"/>
        <v>28.524835308608182</v>
      </c>
      <c r="T10" s="26">
        <f t="shared" si="8"/>
        <v>4.5231898361018708E-2</v>
      </c>
      <c r="U10" s="23">
        <v>511.77837730502466</v>
      </c>
      <c r="V10" s="24">
        <v>511.7589796573746</v>
      </c>
      <c r="W10" s="25">
        <f t="shared" si="9"/>
        <v>511.76867848119963</v>
      </c>
      <c r="X10" s="21">
        <v>28.794905588284042</v>
      </c>
      <c r="Y10" s="22">
        <v>28.703961709158694</v>
      </c>
      <c r="Z10" s="22">
        <f t="shared" si="10"/>
        <v>28.749433648721368</v>
      </c>
      <c r="AA10" s="26">
        <f t="shared" si="11"/>
        <v>4.5471939562673924E-2</v>
      </c>
      <c r="AB10" s="21">
        <v>28.635228327810857</v>
      </c>
      <c r="AC10" s="22">
        <v>28.544659131014615</v>
      </c>
      <c r="AD10" s="22">
        <f t="shared" si="12"/>
        <v>28.589943729412738</v>
      </c>
      <c r="AE10" s="26">
        <f t="shared" si="13"/>
        <v>4.5284598398120934E-2</v>
      </c>
      <c r="AF10" s="21">
        <f t="shared" si="0"/>
        <v>28.669688689067051</v>
      </c>
      <c r="AG10" s="26">
        <f t="shared" si="1"/>
        <v>0.10594624209225949</v>
      </c>
    </row>
    <row r="11" spans="1:33">
      <c r="A11" s="49" t="s">
        <v>341</v>
      </c>
      <c r="B11" s="113">
        <v>300</v>
      </c>
      <c r="C11" s="21">
        <v>148.26</v>
      </c>
      <c r="D11" s="22">
        <v>0.06</v>
      </c>
      <c r="E11" s="57">
        <f>C11/$E$3</f>
        <v>0.91308284012736107</v>
      </c>
      <c r="F11" s="58">
        <f>D11/$E$3</f>
        <v>3.6951956298153017E-4</v>
      </c>
      <c r="G11" s="104">
        <v>65.506</v>
      </c>
      <c r="H11" s="105">
        <v>2E-3</v>
      </c>
      <c r="I11" s="98">
        <f t="shared" si="2"/>
        <v>0.87694449650593065</v>
      </c>
      <c r="J11" s="51">
        <f t="shared" si="2"/>
        <v>2.6774478567029909E-5</v>
      </c>
      <c r="K11" s="106">
        <f t="shared" si="3"/>
        <v>0.87691772202736362</v>
      </c>
      <c r="L11" s="106">
        <f t="shared" si="4"/>
        <v>0.87697127098449768</v>
      </c>
      <c r="M11" s="21">
        <v>27.973249939507902</v>
      </c>
      <c r="N11" s="22">
        <v>27.956637992410368</v>
      </c>
      <c r="O11" s="22">
        <f t="shared" si="5"/>
        <v>27.964943965959137</v>
      </c>
      <c r="P11" s="26">
        <f t="shared" si="6"/>
        <v>8.3059735487669428E-3</v>
      </c>
      <c r="Q11" s="21">
        <v>27.86226968709682</v>
      </c>
      <c r="R11" s="22">
        <v>27.845704851889145</v>
      </c>
      <c r="S11" s="22">
        <f t="shared" si="7"/>
        <v>27.853987269492983</v>
      </c>
      <c r="T11" s="26">
        <f t="shared" si="8"/>
        <v>8.2824176038371888E-3</v>
      </c>
      <c r="U11" s="23">
        <v>306.37119286639586</v>
      </c>
      <c r="V11" s="24">
        <v>306.36920937316796</v>
      </c>
      <c r="W11" s="25">
        <f t="shared" si="9"/>
        <v>306.37020111978188</v>
      </c>
      <c r="X11" s="21">
        <v>28.001812728145264</v>
      </c>
      <c r="Y11" s="22">
        <v>27.985192535961861</v>
      </c>
      <c r="Z11" s="22">
        <f t="shared" si="10"/>
        <v>27.993502632053563</v>
      </c>
      <c r="AA11" s="26">
        <f t="shared" si="11"/>
        <v>8.3100960917015243E-3</v>
      </c>
      <c r="AB11" s="21">
        <v>27.889593466024621</v>
      </c>
      <c r="AC11" s="22">
        <v>27.873021190757008</v>
      </c>
      <c r="AD11" s="22">
        <f t="shared" si="12"/>
        <v>27.881307328390815</v>
      </c>
      <c r="AE11" s="26">
        <f t="shared" si="13"/>
        <v>8.2861376338065895E-3</v>
      </c>
      <c r="AF11" s="21">
        <f t="shared" si="0"/>
        <v>27.93740498022219</v>
      </c>
      <c r="AG11" s="26">
        <f t="shared" si="1"/>
        <v>6.5480841248555688E-2</v>
      </c>
    </row>
    <row r="12" spans="1:33">
      <c r="A12" s="49" t="s">
        <v>342</v>
      </c>
      <c r="B12" s="113">
        <v>1500</v>
      </c>
      <c r="C12" s="21">
        <v>145.91999999999999</v>
      </c>
      <c r="D12" s="22">
        <v>7.0000000000000007E-2</v>
      </c>
      <c r="E12" s="57">
        <f>C12/$E$3</f>
        <v>0.89867157717108137</v>
      </c>
      <c r="F12" s="58">
        <f>D12/$E$3</f>
        <v>4.3110615681178529E-4</v>
      </c>
      <c r="G12" s="104">
        <v>63.85</v>
      </c>
      <c r="H12" s="105">
        <v>0.03</v>
      </c>
      <c r="I12" s="98">
        <f t="shared" si="2"/>
        <v>0.85477522825242991</v>
      </c>
      <c r="J12" s="51">
        <f t="shared" si="2"/>
        <v>4.0161717850544865E-4</v>
      </c>
      <c r="K12" s="106">
        <f t="shared" si="3"/>
        <v>0.85437361107392451</v>
      </c>
      <c r="L12" s="106">
        <f t="shared" si="4"/>
        <v>0.85517684543093531</v>
      </c>
      <c r="M12" s="21">
        <v>42.964856100871486</v>
      </c>
      <c r="N12" s="22">
        <v>42.681013629090515</v>
      </c>
      <c r="O12" s="22">
        <f t="shared" si="5"/>
        <v>42.822934864981001</v>
      </c>
      <c r="P12" s="26">
        <f t="shared" si="6"/>
        <v>0.14192123589048578</v>
      </c>
      <c r="Q12" s="21">
        <v>42.435611665410569</v>
      </c>
      <c r="R12" s="22">
        <v>42.154074566734849</v>
      </c>
      <c r="S12" s="22">
        <f t="shared" si="7"/>
        <v>42.294843116072713</v>
      </c>
      <c r="T12" s="26">
        <f t="shared" si="8"/>
        <v>0.14076854933786009</v>
      </c>
      <c r="U12" s="23">
        <v>1576.6224257807414</v>
      </c>
      <c r="V12" s="24">
        <v>1576.3875650142584</v>
      </c>
      <c r="W12" s="25">
        <f t="shared" si="9"/>
        <v>1576.5049953974999</v>
      </c>
      <c r="X12" s="21">
        <v>43.48336186963499</v>
      </c>
      <c r="Y12" s="22">
        <v>43.197635553990501</v>
      </c>
      <c r="Z12" s="22">
        <f t="shared" si="10"/>
        <v>43.340498711812742</v>
      </c>
      <c r="AA12" s="26">
        <f t="shared" si="11"/>
        <v>0.14286315782224435</v>
      </c>
      <c r="AB12" s="21">
        <v>42.92580239840543</v>
      </c>
      <c r="AC12" s="22">
        <v>42.642630271907933</v>
      </c>
      <c r="AD12" s="22">
        <f t="shared" si="12"/>
        <v>42.784216335156685</v>
      </c>
      <c r="AE12" s="26">
        <f t="shared" si="13"/>
        <v>0.14158606324874867</v>
      </c>
      <c r="AF12" s="21">
        <f t="shared" si="0"/>
        <v>43.062357523484714</v>
      </c>
      <c r="AG12" s="26">
        <f t="shared" si="1"/>
        <v>0.3607229190189073</v>
      </c>
    </row>
    <row r="13" spans="1:33">
      <c r="A13" s="49" t="s">
        <v>342</v>
      </c>
      <c r="B13" s="113">
        <v>1300</v>
      </c>
      <c r="C13" s="21">
        <v>145.6</v>
      </c>
      <c r="D13" s="22">
        <v>7.0000000000000007E-2</v>
      </c>
      <c r="E13" s="57">
        <f>C13/$E$3</f>
        <v>0.89670080616851322</v>
      </c>
      <c r="F13" s="58">
        <f>D13/$E$3</f>
        <v>4.3110615681178529E-4</v>
      </c>
      <c r="G13" s="104">
        <v>63.71</v>
      </c>
      <c r="H13" s="105">
        <v>0.02</v>
      </c>
      <c r="I13" s="98">
        <f t="shared" si="2"/>
        <v>0.85290101475273783</v>
      </c>
      <c r="J13" s="51">
        <f t="shared" si="2"/>
        <v>2.677447856702991E-4</v>
      </c>
      <c r="K13" s="106">
        <f t="shared" si="3"/>
        <v>0.85263326996706756</v>
      </c>
      <c r="L13" s="106">
        <f t="shared" si="4"/>
        <v>0.85316875953840809</v>
      </c>
      <c r="M13" s="21">
        <v>42.234426994379263</v>
      </c>
      <c r="N13" s="22">
        <v>42.043779239926863</v>
      </c>
      <c r="O13" s="22">
        <f t="shared" si="5"/>
        <v>42.139103117153063</v>
      </c>
      <c r="P13" s="26">
        <f t="shared" si="6"/>
        <v>9.5323877226199727E-2</v>
      </c>
      <c r="Q13" s="21">
        <v>41.774748178158653</v>
      </c>
      <c r="R13" s="22">
        <v>41.58531077993463</v>
      </c>
      <c r="S13" s="22">
        <f t="shared" si="7"/>
        <v>41.680029479046638</v>
      </c>
      <c r="T13" s="26">
        <f t="shared" si="8"/>
        <v>9.4718699112011251E-2</v>
      </c>
      <c r="U13" s="23">
        <v>1359.714361226911</v>
      </c>
      <c r="V13" s="24">
        <v>1359.5887721270969</v>
      </c>
      <c r="W13" s="25">
        <f t="shared" si="9"/>
        <v>1359.651566677004</v>
      </c>
      <c r="X13" s="21">
        <v>42.636449454102745</v>
      </c>
      <c r="Y13" s="22">
        <v>42.444806567045994</v>
      </c>
      <c r="Z13" s="22">
        <f t="shared" si="10"/>
        <v>42.540628010574366</v>
      </c>
      <c r="AA13" s="26">
        <f t="shared" si="11"/>
        <v>9.5821443528375738E-2</v>
      </c>
      <c r="AB13" s="21">
        <v>42.154602694517564</v>
      </c>
      <c r="AC13" s="22">
        <v>41.964300322728633</v>
      </c>
      <c r="AD13" s="22">
        <f t="shared" si="12"/>
        <v>42.059451508623098</v>
      </c>
      <c r="AE13" s="26">
        <f t="shared" si="13"/>
        <v>9.5151185894465584E-2</v>
      </c>
      <c r="AF13" s="21">
        <f t="shared" si="0"/>
        <v>42.300039759598732</v>
      </c>
      <c r="AG13" s="26">
        <f t="shared" si="1"/>
        <v>0.29888783875339786</v>
      </c>
    </row>
    <row r="14" spans="1:33">
      <c r="A14" s="49" t="s">
        <v>342</v>
      </c>
      <c r="B14" s="113">
        <v>1100</v>
      </c>
      <c r="C14" s="21">
        <v>145.16999999999999</v>
      </c>
      <c r="D14" s="22">
        <v>0.08</v>
      </c>
      <c r="E14" s="57">
        <f>C14/$E$3</f>
        <v>0.89405258263381227</v>
      </c>
      <c r="F14" s="58">
        <f>D14/$E$3</f>
        <v>4.9269275064204026E-4</v>
      </c>
      <c r="G14" s="104">
        <v>63.591000000000001</v>
      </c>
      <c r="H14" s="105">
        <v>1.2E-2</v>
      </c>
      <c r="I14" s="98">
        <f t="shared" si="2"/>
        <v>0.85130793327799947</v>
      </c>
      <c r="J14" s="51">
        <f t="shared" si="2"/>
        <v>1.6064687140217947E-4</v>
      </c>
      <c r="K14" s="106">
        <f t="shared" si="3"/>
        <v>0.85114728640659731</v>
      </c>
      <c r="L14" s="106">
        <f t="shared" si="4"/>
        <v>0.85146858014940163</v>
      </c>
      <c r="M14" s="21">
        <v>41.426496553184329</v>
      </c>
      <c r="N14" s="22">
        <v>41.311411173510692</v>
      </c>
      <c r="O14" s="22">
        <f t="shared" si="5"/>
        <v>41.368953863347514</v>
      </c>
      <c r="P14" s="26">
        <f t="shared" si="6"/>
        <v>5.7542689836818539E-2</v>
      </c>
      <c r="Q14" s="21">
        <v>41.038009286744717</v>
      </c>
      <c r="R14" s="22">
        <v>40.923458881174398</v>
      </c>
      <c r="S14" s="22">
        <f t="shared" si="7"/>
        <v>40.980734083959561</v>
      </c>
      <c r="T14" s="26">
        <f t="shared" si="8"/>
        <v>5.7275202785159962E-2</v>
      </c>
      <c r="U14" s="23">
        <v>1144.9777864791436</v>
      </c>
      <c r="V14" s="24">
        <v>1144.9192836096472</v>
      </c>
      <c r="W14" s="25">
        <f t="shared" si="9"/>
        <v>1144.9485350443954</v>
      </c>
      <c r="X14" s="21">
        <v>41.726550609829836</v>
      </c>
      <c r="Y14" s="22">
        <v>41.611010320850255</v>
      </c>
      <c r="Z14" s="22">
        <f t="shared" si="10"/>
        <v>41.668780465340049</v>
      </c>
      <c r="AA14" s="26">
        <f t="shared" si="11"/>
        <v>5.7770144489790454E-2</v>
      </c>
      <c r="AB14" s="21">
        <v>41.321400666083164</v>
      </c>
      <c r="AC14" s="22">
        <v>41.206454176643177</v>
      </c>
      <c r="AD14" s="22">
        <f t="shared" si="12"/>
        <v>41.263927421363171</v>
      </c>
      <c r="AE14" s="26">
        <f t="shared" si="13"/>
        <v>5.7473244719993488E-2</v>
      </c>
      <c r="AF14" s="21">
        <f t="shared" si="0"/>
        <v>41.466353943351606</v>
      </c>
      <c r="AG14" s="26">
        <f t="shared" si="1"/>
        <v>0.24302751155878924</v>
      </c>
    </row>
    <row r="15" spans="1:33">
      <c r="A15" s="49" t="s">
        <v>342</v>
      </c>
      <c r="B15" s="113">
        <v>900</v>
      </c>
      <c r="C15" s="21">
        <v>144.83000000000001</v>
      </c>
      <c r="D15" s="22">
        <v>0.06</v>
      </c>
      <c r="E15" s="57">
        <f>C15/$E$3</f>
        <v>0.8919586384435837</v>
      </c>
      <c r="F15" s="58">
        <f>D15/$E$3</f>
        <v>3.6951956298153017E-4</v>
      </c>
      <c r="G15" s="104">
        <v>63.39</v>
      </c>
      <c r="H15" s="105">
        <v>0.02</v>
      </c>
      <c r="I15" s="98">
        <f t="shared" si="2"/>
        <v>0.84861709818201303</v>
      </c>
      <c r="J15" s="51">
        <f t="shared" si="2"/>
        <v>2.677447856702991E-4</v>
      </c>
      <c r="K15" s="106">
        <f t="shared" si="3"/>
        <v>0.84834935339634276</v>
      </c>
      <c r="L15" s="106">
        <f t="shared" si="4"/>
        <v>0.8488848429676833</v>
      </c>
      <c r="M15" s="21">
        <v>41.113304075986569</v>
      </c>
      <c r="N15" s="22">
        <v>40.919140363052477</v>
      </c>
      <c r="O15" s="22">
        <f t="shared" si="5"/>
        <v>41.01622221951952</v>
      </c>
      <c r="P15" s="26">
        <f t="shared" si="6"/>
        <v>9.7081856467045924E-2</v>
      </c>
      <c r="Q15" s="21">
        <v>40.795024117539917</v>
      </c>
      <c r="R15" s="22">
        <v>40.601406073183071</v>
      </c>
      <c r="S15" s="22">
        <f t="shared" si="7"/>
        <v>40.698215095361491</v>
      </c>
      <c r="T15" s="26">
        <f t="shared" si="8"/>
        <v>9.6809022178423021E-2</v>
      </c>
      <c r="U15" s="23">
        <v>932.61553215232334</v>
      </c>
      <c r="V15" s="24">
        <v>932.54320197242112</v>
      </c>
      <c r="W15" s="25">
        <f t="shared" si="9"/>
        <v>932.57936706237228</v>
      </c>
      <c r="X15" s="21">
        <v>41.327458489632775</v>
      </c>
      <c r="Y15" s="22">
        <v>41.132748155606961</v>
      </c>
      <c r="Z15" s="22">
        <f t="shared" si="10"/>
        <v>41.230103322619868</v>
      </c>
      <c r="AA15" s="26">
        <f t="shared" si="11"/>
        <v>9.7355167012906918E-2</v>
      </c>
      <c r="AB15" s="21">
        <v>40.997127014383587</v>
      </c>
      <c r="AC15" s="22">
        <v>40.803032596403504</v>
      </c>
      <c r="AD15" s="22">
        <f t="shared" si="12"/>
        <v>40.900079805393545</v>
      </c>
      <c r="AE15" s="26">
        <f t="shared" si="13"/>
        <v>9.7047208990041156E-2</v>
      </c>
      <c r="AF15" s="21">
        <f t="shared" si="0"/>
        <v>41.065091564006707</v>
      </c>
      <c r="AG15" s="26">
        <f t="shared" si="1"/>
        <v>0.22113939838645399</v>
      </c>
    </row>
    <row r="16" spans="1:33">
      <c r="A16" s="49" t="s">
        <v>342</v>
      </c>
      <c r="B16" s="113">
        <v>700</v>
      </c>
      <c r="C16" s="21">
        <v>144.5</v>
      </c>
      <c r="D16" s="22">
        <v>0.08</v>
      </c>
      <c r="E16" s="57">
        <f>C16/$E$3</f>
        <v>0.88992628084718528</v>
      </c>
      <c r="F16" s="58">
        <f>D16/$E$3</f>
        <v>4.9269275064204026E-4</v>
      </c>
      <c r="G16" s="104">
        <v>63.265999999999998</v>
      </c>
      <c r="H16" s="105">
        <v>1.0999999999999999E-2</v>
      </c>
      <c r="I16" s="98">
        <f t="shared" si="2"/>
        <v>0.84695708051085705</v>
      </c>
      <c r="J16" s="51">
        <f t="shared" si="2"/>
        <v>1.4725963211866449E-4</v>
      </c>
      <c r="K16" s="106">
        <f t="shared" si="3"/>
        <v>0.84680982087873835</v>
      </c>
      <c r="L16" s="106">
        <f t="shared" si="4"/>
        <v>0.84710434014297575</v>
      </c>
      <c r="M16" s="21">
        <v>40.383089516132316</v>
      </c>
      <c r="N16" s="22">
        <v>40.275552881457294</v>
      </c>
      <c r="O16" s="22">
        <f t="shared" si="5"/>
        <v>40.329321198794801</v>
      </c>
      <c r="P16" s="26">
        <f t="shared" si="6"/>
        <v>5.3768317337510751E-2</v>
      </c>
      <c r="Q16" s="21">
        <v>40.136399130748075</v>
      </c>
      <c r="R16" s="22">
        <v>40.028993378634524</v>
      </c>
      <c r="S16" s="22">
        <f t="shared" si="7"/>
        <v>40.082696254691299</v>
      </c>
      <c r="T16" s="26">
        <f t="shared" si="8"/>
        <v>5.370287605677504E-2</v>
      </c>
      <c r="U16" s="23">
        <v>722.17474159002506</v>
      </c>
      <c r="V16" s="24">
        <v>722.14689598045072</v>
      </c>
      <c r="W16" s="25">
        <f t="shared" si="9"/>
        <v>722.16081878523789</v>
      </c>
      <c r="X16" s="21">
        <v>40.523828442693357</v>
      </c>
      <c r="Y16" s="22">
        <v>40.416093173563112</v>
      </c>
      <c r="Z16" s="22">
        <f t="shared" si="10"/>
        <v>40.469960808128235</v>
      </c>
      <c r="AA16" s="26">
        <f t="shared" si="11"/>
        <v>5.3867634565122557E-2</v>
      </c>
      <c r="AB16" s="21">
        <v>40.269208052330789</v>
      </c>
      <c r="AC16" s="22">
        <v>40.161628861975565</v>
      </c>
      <c r="AD16" s="22">
        <f t="shared" si="12"/>
        <v>40.215418457153177</v>
      </c>
      <c r="AE16" s="26">
        <f t="shared" si="13"/>
        <v>5.3789595177612171E-2</v>
      </c>
      <c r="AF16" s="21">
        <f t="shared" si="0"/>
        <v>40.342689632640706</v>
      </c>
      <c r="AG16" s="26">
        <f t="shared" si="1"/>
        <v>0.15956387816580486</v>
      </c>
    </row>
    <row r="17" spans="1:33">
      <c r="A17" s="49" t="s">
        <v>342</v>
      </c>
      <c r="B17" s="113">
        <v>500</v>
      </c>
      <c r="C17" s="21">
        <v>144.28</v>
      </c>
      <c r="D17" s="50">
        <v>7.0000000000000007E-2</v>
      </c>
      <c r="E17" s="57">
        <f>C17/$E$3</f>
        <v>0.88857137578291967</v>
      </c>
      <c r="F17" s="58">
        <f>D17/$E$3</f>
        <v>4.3110615681178529E-4</v>
      </c>
      <c r="G17" s="104">
        <v>63.151000000000003</v>
      </c>
      <c r="H17" s="105">
        <v>1.0999999999999999E-2</v>
      </c>
      <c r="I17" s="98">
        <f t="shared" si="2"/>
        <v>0.84541754799325297</v>
      </c>
      <c r="J17" s="51">
        <f t="shared" si="2"/>
        <v>1.4725963211866449E-4</v>
      </c>
      <c r="K17" s="106">
        <f t="shared" si="3"/>
        <v>0.84527028836113427</v>
      </c>
      <c r="L17" s="106">
        <f t="shared" si="4"/>
        <v>0.84556480762537167</v>
      </c>
      <c r="M17" s="21">
        <v>39.725165302216048</v>
      </c>
      <c r="N17" s="22">
        <v>39.616875715931556</v>
      </c>
      <c r="O17" s="22">
        <f t="shared" si="5"/>
        <v>39.671020509073799</v>
      </c>
      <c r="P17" s="26">
        <f t="shared" si="6"/>
        <v>5.4144793142246073E-2</v>
      </c>
      <c r="Q17" s="21">
        <v>39.546800063960482</v>
      </c>
      <c r="R17" s="22">
        <v>39.438487667966406</v>
      </c>
      <c r="S17" s="22">
        <f t="shared" si="7"/>
        <v>39.492643865963444</v>
      </c>
      <c r="T17" s="26">
        <f t="shared" si="8"/>
        <v>5.4156197997038191E-2</v>
      </c>
      <c r="U17" s="23">
        <v>513.83456755521343</v>
      </c>
      <c r="V17" s="24">
        <v>513.81670190168199</v>
      </c>
      <c r="W17" s="25">
        <f t="shared" si="9"/>
        <v>513.82563472844777</v>
      </c>
      <c r="X17" s="21">
        <v>39.806031222703453</v>
      </c>
      <c r="Y17" s="22">
        <v>39.697630188635948</v>
      </c>
      <c r="Z17" s="22">
        <f t="shared" si="10"/>
        <v>39.751830705669704</v>
      </c>
      <c r="AA17" s="26">
        <f t="shared" si="11"/>
        <v>5.4200517033752504E-2</v>
      </c>
      <c r="AB17" s="21">
        <v>39.623155636049979</v>
      </c>
      <c r="AC17" s="22">
        <v>39.514745673473634</v>
      </c>
      <c r="AD17" s="22">
        <f t="shared" si="12"/>
        <v>39.568950654761807</v>
      </c>
      <c r="AE17" s="26">
        <f t="shared" si="13"/>
        <v>5.420498128817286E-2</v>
      </c>
      <c r="AF17" s="21">
        <f t="shared" si="0"/>
        <v>39.660390680215755</v>
      </c>
      <c r="AG17" s="26">
        <f t="shared" si="1"/>
        <v>0.12274209425516085</v>
      </c>
    </row>
    <row r="18" spans="1:33">
      <c r="A18" s="49" t="s">
        <v>342</v>
      </c>
      <c r="B18" s="113">
        <v>300</v>
      </c>
      <c r="C18" s="21">
        <v>144.13999999999999</v>
      </c>
      <c r="D18" s="50">
        <v>0.08</v>
      </c>
      <c r="E18" s="57">
        <f>C18/$E$3</f>
        <v>0.88770916346929596</v>
      </c>
      <c r="F18" s="58">
        <f>D18/$E$3</f>
        <v>4.9269275064204026E-4</v>
      </c>
      <c r="G18" s="104">
        <v>63.07</v>
      </c>
      <c r="H18" s="105">
        <v>0.03</v>
      </c>
      <c r="I18" s="98">
        <f t="shared" si="2"/>
        <v>0.84433318161128823</v>
      </c>
      <c r="J18" s="51">
        <f t="shared" si="2"/>
        <v>4.0161717850544865E-4</v>
      </c>
      <c r="K18" s="106">
        <f t="shared" si="3"/>
        <v>0.84393156443278283</v>
      </c>
      <c r="L18" s="106">
        <f t="shared" si="4"/>
        <v>0.84473479878979363</v>
      </c>
      <c r="M18" s="21">
        <v>39.173281670368915</v>
      </c>
      <c r="N18" s="22">
        <v>38.876183957414064</v>
      </c>
      <c r="O18" s="22">
        <f t="shared" si="5"/>
        <v>39.02473281389149</v>
      </c>
      <c r="P18" s="26">
        <f t="shared" si="6"/>
        <v>0.14854885647742577</v>
      </c>
      <c r="Q18" s="21">
        <v>39.052458849221686</v>
      </c>
      <c r="R18" s="22">
        <v>38.754993721626988</v>
      </c>
      <c r="S18" s="22">
        <f t="shared" si="7"/>
        <v>38.903726285424341</v>
      </c>
      <c r="T18" s="26">
        <f t="shared" si="8"/>
        <v>0.14873256379734912</v>
      </c>
      <c r="U18" s="23">
        <v>307.53748125534634</v>
      </c>
      <c r="V18" s="24">
        <v>307.51024297801001</v>
      </c>
      <c r="W18" s="25">
        <f t="shared" si="9"/>
        <v>307.52386211667817</v>
      </c>
      <c r="X18" s="21">
        <v>39.206594925670501</v>
      </c>
      <c r="Y18" s="22">
        <v>38.909388665726262</v>
      </c>
      <c r="Z18" s="22">
        <f t="shared" si="10"/>
        <v>39.057991795698385</v>
      </c>
      <c r="AA18" s="26">
        <f t="shared" si="11"/>
        <v>0.14860312997211977</v>
      </c>
      <c r="AB18" s="21">
        <v>39.084015158943735</v>
      </c>
      <c r="AC18" s="22">
        <v>38.78645449973402</v>
      </c>
      <c r="AD18" s="22">
        <f t="shared" si="12"/>
        <v>38.935234829338881</v>
      </c>
      <c r="AE18" s="26">
        <f t="shared" si="13"/>
        <v>0.14878032960485754</v>
      </c>
      <c r="AF18" s="21">
        <f t="shared" si="0"/>
        <v>38.996613312518633</v>
      </c>
      <c r="AG18" s="26">
        <f t="shared" si="1"/>
        <v>0.1857473429325166</v>
      </c>
    </row>
    <row r="19" spans="1:33">
      <c r="A19" s="49" t="s">
        <v>343</v>
      </c>
      <c r="B19" s="113">
        <v>1500</v>
      </c>
      <c r="C19" s="21">
        <v>142.41999999999999</v>
      </c>
      <c r="D19" s="22">
        <v>0.05</v>
      </c>
      <c r="E19" s="57">
        <f>C19/$E$3</f>
        <v>0.87711626933049214</v>
      </c>
      <c r="F19" s="58">
        <f>D19/$E$3</f>
        <v>3.079329691512752E-4</v>
      </c>
      <c r="G19" s="104">
        <v>61.98</v>
      </c>
      <c r="H19" s="105">
        <v>0.02</v>
      </c>
      <c r="I19" s="98">
        <f t="shared" si="2"/>
        <v>0.82974109079225689</v>
      </c>
      <c r="J19" s="51">
        <f t="shared" si="2"/>
        <v>2.677447856702991E-4</v>
      </c>
      <c r="K19" s="106">
        <f t="shared" si="3"/>
        <v>0.82947334600658662</v>
      </c>
      <c r="L19" s="106">
        <f t="shared" si="4"/>
        <v>0.83000883557792715</v>
      </c>
      <c r="M19" s="21">
        <v>52.404545979291058</v>
      </c>
      <c r="N19" s="22">
        <v>52.187850559999902</v>
      </c>
      <c r="O19" s="22">
        <f t="shared" si="5"/>
        <v>52.29619826964548</v>
      </c>
      <c r="P19" s="26">
        <f t="shared" si="6"/>
        <v>0.10834770964557805</v>
      </c>
      <c r="Q19" s="21">
        <v>51.821423808495936</v>
      </c>
      <c r="R19" s="22">
        <v>51.605449986568097</v>
      </c>
      <c r="S19" s="22">
        <f t="shared" si="7"/>
        <v>51.71343689753202</v>
      </c>
      <c r="T19" s="26">
        <f t="shared" si="8"/>
        <v>0.10798691096391977</v>
      </c>
      <c r="U19" s="23">
        <v>1583.7795116254592</v>
      </c>
      <c r="V19" s="24">
        <v>1583.6279163587153</v>
      </c>
      <c r="W19" s="25">
        <f t="shared" si="9"/>
        <v>1583.7037139920872</v>
      </c>
      <c r="X19" s="21">
        <v>52.982153744118648</v>
      </c>
      <c r="Y19" s="22">
        <v>52.76417067359958</v>
      </c>
      <c r="Z19" s="22">
        <f t="shared" si="10"/>
        <v>52.873162208859114</v>
      </c>
      <c r="AA19" s="26">
        <f t="shared" si="11"/>
        <v>0.10899153525953409</v>
      </c>
      <c r="AB19" s="21">
        <v>52.362428951779634</v>
      </c>
      <c r="AC19" s="22">
        <v>52.145357494388193</v>
      </c>
      <c r="AD19" s="22">
        <f t="shared" si="12"/>
        <v>52.253893223083914</v>
      </c>
      <c r="AE19" s="26">
        <f t="shared" si="13"/>
        <v>0.10853572869572048</v>
      </c>
      <c r="AF19" s="21">
        <f t="shared" si="0"/>
        <v>52.563527715971517</v>
      </c>
      <c r="AG19" s="26">
        <f t="shared" si="1"/>
        <v>0.37895135794563728</v>
      </c>
    </row>
    <row r="20" spans="1:33">
      <c r="A20" s="49" t="s">
        <v>343</v>
      </c>
      <c r="B20" s="113">
        <v>1300</v>
      </c>
      <c r="C20" s="21">
        <v>142.13</v>
      </c>
      <c r="D20" s="22">
        <v>7.0000000000000007E-2</v>
      </c>
      <c r="E20" s="57">
        <f>C20/$E$3</f>
        <v>0.87533025810941478</v>
      </c>
      <c r="F20" s="58">
        <f>D20/$E$3</f>
        <v>4.3110615681178529E-4</v>
      </c>
      <c r="G20" s="104">
        <v>61.831000000000003</v>
      </c>
      <c r="H20" s="105">
        <v>1.9E-2</v>
      </c>
      <c r="I20" s="98">
        <f t="shared" si="2"/>
        <v>0.82774639213901324</v>
      </c>
      <c r="J20" s="51">
        <f t="shared" si="2"/>
        <v>2.5435754638678416E-4</v>
      </c>
      <c r="K20" s="106">
        <f t="shared" si="3"/>
        <v>0.82749203459262644</v>
      </c>
      <c r="L20" s="106">
        <f t="shared" si="4"/>
        <v>0.82800074968540005</v>
      </c>
      <c r="M20" s="21">
        <v>51.836894265966549</v>
      </c>
      <c r="N20" s="22">
        <v>51.629332048048539</v>
      </c>
      <c r="O20" s="22">
        <f t="shared" si="5"/>
        <v>51.733113157007544</v>
      </c>
      <c r="P20" s="26">
        <f t="shared" si="6"/>
        <v>0.10378110895900505</v>
      </c>
      <c r="Q20" s="21">
        <v>51.339287015384322</v>
      </c>
      <c r="R20" s="22">
        <v>51.132048293822294</v>
      </c>
      <c r="S20" s="22">
        <f t="shared" si="7"/>
        <v>51.235667654603304</v>
      </c>
      <c r="T20" s="26">
        <f t="shared" si="8"/>
        <v>0.10361936078101408</v>
      </c>
      <c r="U20" s="23">
        <v>1365.5008032876001</v>
      </c>
      <c r="V20" s="24">
        <v>1365.3856819011398</v>
      </c>
      <c r="W20" s="25">
        <f t="shared" si="9"/>
        <v>1365.4432425943701</v>
      </c>
      <c r="X20" s="21">
        <v>52.286094561803644</v>
      </c>
      <c r="Y20" s="22">
        <v>52.077567043595998</v>
      </c>
      <c r="Z20" s="22">
        <f t="shared" si="10"/>
        <v>52.181830802699821</v>
      </c>
      <c r="AA20" s="26">
        <f t="shared" si="11"/>
        <v>0.10426375910382291</v>
      </c>
      <c r="AB20" s="21">
        <v>51.75976093426997</v>
      </c>
      <c r="AC20" s="22">
        <v>51.55169834599355</v>
      </c>
      <c r="AD20" s="22">
        <f t="shared" si="12"/>
        <v>51.65572964013176</v>
      </c>
      <c r="AE20" s="26">
        <f t="shared" si="13"/>
        <v>0.10403129413820977</v>
      </c>
      <c r="AF20" s="21">
        <f t="shared" si="0"/>
        <v>51.918780221415787</v>
      </c>
      <c r="AG20" s="26">
        <f t="shared" si="1"/>
        <v>0.32668502490958407</v>
      </c>
    </row>
    <row r="21" spans="1:33">
      <c r="A21" s="49" t="s">
        <v>343</v>
      </c>
      <c r="B21" s="113">
        <v>1100</v>
      </c>
      <c r="C21" s="21">
        <v>141.77000000000001</v>
      </c>
      <c r="D21" s="22">
        <v>7.0000000000000007E-2</v>
      </c>
      <c r="E21" s="57">
        <f>C21/$E$3</f>
        <v>0.87311314073152568</v>
      </c>
      <c r="F21" s="58">
        <f>D21/$E$3</f>
        <v>4.3110615681178529E-4</v>
      </c>
      <c r="G21" s="104">
        <v>61.69</v>
      </c>
      <c r="H21" s="105">
        <v>0.02</v>
      </c>
      <c r="I21" s="98">
        <f t="shared" si="2"/>
        <v>0.82585879140003748</v>
      </c>
      <c r="J21" s="51">
        <f t="shared" si="2"/>
        <v>2.677447856702991E-4</v>
      </c>
      <c r="K21" s="106">
        <f t="shared" si="3"/>
        <v>0.82559104661436722</v>
      </c>
      <c r="L21" s="106">
        <f t="shared" si="4"/>
        <v>0.82612653618570775</v>
      </c>
      <c r="M21" s="21">
        <v>51.253010069412476</v>
      </c>
      <c r="N21" s="22">
        <v>51.032818174938598</v>
      </c>
      <c r="O21" s="22">
        <f t="shared" si="5"/>
        <v>51.14291412217554</v>
      </c>
      <c r="P21" s="26">
        <f t="shared" si="6"/>
        <v>0.11009594723693894</v>
      </c>
      <c r="Q21" s="21">
        <v>50.842409956547407</v>
      </c>
      <c r="R21" s="22">
        <v>50.622182598107727</v>
      </c>
      <c r="S21" s="22">
        <f t="shared" si="7"/>
        <v>50.732296277327563</v>
      </c>
      <c r="T21" s="26">
        <f t="shared" si="8"/>
        <v>0.11011367921983961</v>
      </c>
      <c r="U21" s="23">
        <v>1149.53553696875</v>
      </c>
      <c r="V21" s="24">
        <v>1149.4418153318709</v>
      </c>
      <c r="W21" s="25">
        <f t="shared" si="9"/>
        <v>1149.4886761503103</v>
      </c>
      <c r="X21" s="21">
        <v>51.589504126422142</v>
      </c>
      <c r="Y21" s="22">
        <v>51.368541952719568</v>
      </c>
      <c r="Z21" s="22">
        <f t="shared" si="10"/>
        <v>51.479023039570855</v>
      </c>
      <c r="AA21" s="26">
        <f t="shared" si="11"/>
        <v>0.1104810868512871</v>
      </c>
      <c r="AB21" s="21">
        <v>51.157224719466477</v>
      </c>
      <c r="AC21" s="22">
        <v>50.9363390474537</v>
      </c>
      <c r="AD21" s="22">
        <f>(AB21+AC21)/2</f>
        <v>51.046781883460085</v>
      </c>
      <c r="AE21" s="26">
        <f t="shared" si="13"/>
        <v>0.11044283600638849</v>
      </c>
      <c r="AF21" s="21">
        <f t="shared" si="0"/>
        <v>51.262902461515466</v>
      </c>
      <c r="AG21" s="26">
        <f t="shared" si="1"/>
        <v>0.28026166237400557</v>
      </c>
    </row>
    <row r="22" spans="1:33">
      <c r="A22" s="49" t="s">
        <v>343</v>
      </c>
      <c r="B22" s="113">
        <v>900</v>
      </c>
      <c r="C22" s="21">
        <v>141.46</v>
      </c>
      <c r="D22" s="22">
        <v>0.08</v>
      </c>
      <c r="E22" s="57">
        <f>C22/$E$3</f>
        <v>0.8712039563227878</v>
      </c>
      <c r="F22" s="58">
        <f>D22/$E$3</f>
        <v>4.9269275064204026E-4</v>
      </c>
      <c r="G22" s="104">
        <v>61.54</v>
      </c>
      <c r="H22" s="105">
        <v>0.02</v>
      </c>
      <c r="I22" s="98">
        <f t="shared" si="2"/>
        <v>0.82385070550751027</v>
      </c>
      <c r="J22" s="51">
        <f t="shared" si="2"/>
        <v>2.677447856702991E-4</v>
      </c>
      <c r="K22" s="106">
        <f t="shared" si="3"/>
        <v>0.82358296072184001</v>
      </c>
      <c r="L22" s="106">
        <f t="shared" si="4"/>
        <v>0.82411845029318054</v>
      </c>
      <c r="M22" s="21">
        <v>50.73816583122602</v>
      </c>
      <c r="N22" s="22">
        <v>50.516065545414037</v>
      </c>
      <c r="O22" s="22">
        <f t="shared" si="5"/>
        <v>50.627115688320032</v>
      </c>
      <c r="P22" s="26">
        <f t="shared" si="6"/>
        <v>0.11105014290599158</v>
      </c>
      <c r="Q22" s="21">
        <v>50.41535602296554</v>
      </c>
      <c r="R22" s="22">
        <v>50.19284254719129</v>
      </c>
      <c r="S22" s="22">
        <f t="shared" si="7"/>
        <v>50.304099285078415</v>
      </c>
      <c r="T22" s="26">
        <f t="shared" si="8"/>
        <v>0.11125673788712476</v>
      </c>
      <c r="U22" s="23">
        <v>935.88816459883969</v>
      </c>
      <c r="V22" s="24">
        <v>935.81878564469264</v>
      </c>
      <c r="W22" s="25">
        <f t="shared" si="9"/>
        <v>935.85347512176622</v>
      </c>
      <c r="X22" s="21">
        <v>50.977691353715898</v>
      </c>
      <c r="Y22" s="22">
        <v>50.755039558670546</v>
      </c>
      <c r="Z22" s="22">
        <f t="shared" si="10"/>
        <v>50.866365456193222</v>
      </c>
      <c r="AA22" s="26">
        <f t="shared" si="11"/>
        <v>0.11132589752267563</v>
      </c>
      <c r="AB22" s="21">
        <v>50.639362190140517</v>
      </c>
      <c r="AC22" s="22">
        <v>50.416376701530567</v>
      </c>
      <c r="AD22" s="22">
        <f>(AB22+AC22)/2</f>
        <v>50.527869445835542</v>
      </c>
      <c r="AE22" s="26">
        <f>(AB22-AC22)/2</f>
        <v>0.11149274430497513</v>
      </c>
      <c r="AF22" s="21">
        <f>AVERAGE(X22,Y22,AB22,AC22)</f>
        <v>50.697117451014378</v>
      </c>
      <c r="AG22" s="26">
        <f>STDEV(X22,Y22,AB22,AC22)</f>
        <v>0.23397131164014848</v>
      </c>
    </row>
    <row r="23" spans="1:33">
      <c r="A23" s="49" t="s">
        <v>343</v>
      </c>
      <c r="B23" s="113">
        <v>700</v>
      </c>
      <c r="C23" s="21">
        <v>141.19</v>
      </c>
      <c r="D23" s="22">
        <v>0.08</v>
      </c>
      <c r="E23" s="57">
        <f>C23/$E$3</f>
        <v>0.86954111828937086</v>
      </c>
      <c r="F23" s="58">
        <f>D23/$E$3</f>
        <v>4.9269275064204026E-4</v>
      </c>
      <c r="G23" s="104">
        <v>61.39</v>
      </c>
      <c r="H23" s="105">
        <v>0.04</v>
      </c>
      <c r="I23" s="98">
        <f t="shared" si="2"/>
        <v>0.82184261961498306</v>
      </c>
      <c r="J23" s="51">
        <f t="shared" si="2"/>
        <v>5.354895713405982E-4</v>
      </c>
      <c r="K23" s="106">
        <f t="shared" si="3"/>
        <v>0.82130713004364242</v>
      </c>
      <c r="L23" s="106">
        <f t="shared" si="4"/>
        <v>0.8223781091863237</v>
      </c>
      <c r="M23" s="21">
        <v>50.377831566766247</v>
      </c>
      <c r="N23" s="22">
        <v>49.929626491153712</v>
      </c>
      <c r="O23" s="22">
        <f t="shared" si="5"/>
        <v>50.15372902895998</v>
      </c>
      <c r="P23" s="26">
        <f t="shared" si="6"/>
        <v>0.22410253780626732</v>
      </c>
      <c r="Q23" s="21">
        <v>50.142634248152461</v>
      </c>
      <c r="R23" s="22">
        <v>49.692869551144319</v>
      </c>
      <c r="S23" s="22">
        <f t="shared" si="7"/>
        <v>49.917751899648394</v>
      </c>
      <c r="T23" s="26">
        <f t="shared" si="8"/>
        <v>0.22488234850407096</v>
      </c>
      <c r="U23" s="23">
        <v>724.52834960055509</v>
      </c>
      <c r="V23" s="24">
        <v>724.43160873250736</v>
      </c>
      <c r="W23" s="25">
        <f t="shared" si="9"/>
        <v>724.47997916653117</v>
      </c>
      <c r="X23" s="21">
        <v>50.535738425937765</v>
      </c>
      <c r="Y23" s="22">
        <v>50.086812218625241</v>
      </c>
      <c r="Z23" s="22">
        <f t="shared" si="10"/>
        <v>50.311275322281503</v>
      </c>
      <c r="AA23" s="26">
        <f t="shared" si="11"/>
        <v>0.22446310365626232</v>
      </c>
      <c r="AB23" s="21">
        <v>50.29029119318669</v>
      </c>
      <c r="AC23" s="22">
        <v>49.83990820206845</v>
      </c>
      <c r="AD23" s="22">
        <f t="shared" ref="AD23:AD32" si="14">(AB23+AC23)/2</f>
        <v>50.065099697627574</v>
      </c>
      <c r="AE23" s="26">
        <f t="shared" ref="AE23:AE32" si="15">(AB23-AC23)/2</f>
        <v>0.22519149555911966</v>
      </c>
      <c r="AF23" s="21">
        <f t="shared" ref="AF23:AF32" si="16">AVERAGE(X23,Y23,AB23,AC23)</f>
        <v>50.188187509954531</v>
      </c>
      <c r="AG23" s="26">
        <f t="shared" ref="AG23:AG32" si="17">STDEV(X23,Y23,AB23,AC23)</f>
        <v>0.29596859480022764</v>
      </c>
    </row>
    <row r="24" spans="1:33">
      <c r="A24" s="49" t="s">
        <v>343</v>
      </c>
      <c r="B24" s="113">
        <v>500</v>
      </c>
      <c r="C24" s="21">
        <v>140.97</v>
      </c>
      <c r="D24" s="22">
        <v>7.0000000000000007E-2</v>
      </c>
      <c r="E24" s="57">
        <f>C24/$E$3</f>
        <v>0.86818621322510525</v>
      </c>
      <c r="F24" s="58">
        <f>D24/$E$3</f>
        <v>4.3110615681178529E-4</v>
      </c>
      <c r="G24" s="104">
        <v>61.3</v>
      </c>
      <c r="H24" s="105">
        <v>0.04</v>
      </c>
      <c r="I24" s="98">
        <f t="shared" si="2"/>
        <v>0.82063776807946665</v>
      </c>
      <c r="J24" s="51">
        <f t="shared" si="2"/>
        <v>5.354895713405982E-4</v>
      </c>
      <c r="K24" s="106">
        <f t="shared" si="3"/>
        <v>0.820102278508126</v>
      </c>
      <c r="L24" s="106">
        <f t="shared" si="4"/>
        <v>0.82117325765080729</v>
      </c>
      <c r="M24" s="21">
        <v>49.649025982966279</v>
      </c>
      <c r="N24" s="22">
        <v>49.198462116387262</v>
      </c>
      <c r="O24" s="22">
        <f t="shared" si="5"/>
        <v>49.42374404967677</v>
      </c>
      <c r="P24" s="26">
        <f t="shared" si="6"/>
        <v>0.22528193328950863</v>
      </c>
      <c r="Q24" s="21">
        <v>49.495571406288853</v>
      </c>
      <c r="R24" s="22">
        <v>49.042856227074303</v>
      </c>
      <c r="S24" s="22">
        <f t="shared" si="7"/>
        <v>49.269213816681578</v>
      </c>
      <c r="T24" s="26">
        <f t="shared" si="8"/>
        <v>0.22635758960727514</v>
      </c>
      <c r="U24" s="23">
        <v>515.32256335672514</v>
      </c>
      <c r="V24" s="24">
        <v>515.26067197657142</v>
      </c>
      <c r="W24" s="25">
        <f t="shared" si="9"/>
        <v>515.29161766664834</v>
      </c>
      <c r="X24" s="21">
        <v>49.739295200424202</v>
      </c>
      <c r="Y24" s="22">
        <v>49.288335289600631</v>
      </c>
      <c r="Z24" s="22">
        <f t="shared" si="10"/>
        <v>49.513815245012417</v>
      </c>
      <c r="AA24" s="26">
        <f t="shared" si="11"/>
        <v>0.22547995541178523</v>
      </c>
      <c r="AB24" s="21">
        <v>49.580084328677543</v>
      </c>
      <c r="AC24" s="22">
        <v>49.127028417510495</v>
      </c>
      <c r="AD24" s="22">
        <f t="shared" si="14"/>
        <v>49.353556373094023</v>
      </c>
      <c r="AE24" s="26">
        <f t="shared" si="15"/>
        <v>0.22652795558352423</v>
      </c>
      <c r="AF24" s="21">
        <f t="shared" si="16"/>
        <v>49.433685809053223</v>
      </c>
      <c r="AG24" s="26">
        <f t="shared" si="17"/>
        <v>0.27688454629758652</v>
      </c>
    </row>
    <row r="25" spans="1:33">
      <c r="A25" s="49" t="s">
        <v>343</v>
      </c>
      <c r="B25" s="113">
        <v>300</v>
      </c>
      <c r="C25" s="21">
        <v>140.82</v>
      </c>
      <c r="D25" s="22">
        <v>0.05</v>
      </c>
      <c r="E25" s="57">
        <f>C25/$E$3</f>
        <v>0.86726241431765139</v>
      </c>
      <c r="F25" s="58">
        <f>D25/$E$3</f>
        <v>3.079329691512752E-4</v>
      </c>
      <c r="G25" s="104">
        <v>61.24</v>
      </c>
      <c r="H25" s="105">
        <v>0.03</v>
      </c>
      <c r="I25" s="98">
        <f t="shared" si="2"/>
        <v>0.81983453372245585</v>
      </c>
      <c r="J25" s="51">
        <f t="shared" si="2"/>
        <v>4.0161717850544865E-4</v>
      </c>
      <c r="K25" s="106">
        <f t="shared" si="3"/>
        <v>0.81943291654395045</v>
      </c>
      <c r="L25" s="106">
        <f t="shared" si="4"/>
        <v>0.82023615090096125</v>
      </c>
      <c r="M25" s="21">
        <v>48.886280925810837</v>
      </c>
      <c r="N25" s="22">
        <v>48.546854619517497</v>
      </c>
      <c r="O25" s="22">
        <f t="shared" si="5"/>
        <v>48.716567772664163</v>
      </c>
      <c r="P25" s="26">
        <f t="shared" si="6"/>
        <v>0.16971315314667024</v>
      </c>
      <c r="Q25" s="21">
        <v>48.799127404509491</v>
      </c>
      <c r="R25" s="22">
        <v>48.457783382092103</v>
      </c>
      <c r="S25" s="22">
        <f t="shared" si="7"/>
        <v>48.628455393300797</v>
      </c>
      <c r="T25" s="26">
        <f t="shared" si="8"/>
        <v>0.17067201120869413</v>
      </c>
      <c r="U25" s="23">
        <v>308.34586522372712</v>
      </c>
      <c r="V25" s="24">
        <v>308.31998891620844</v>
      </c>
      <c r="W25" s="25">
        <f t="shared" si="9"/>
        <v>308.33292706996781</v>
      </c>
      <c r="X25" s="21">
        <v>48.92275521943894</v>
      </c>
      <c r="Y25" s="22">
        <v>48.583229663423253</v>
      </c>
      <c r="Z25" s="22">
        <f t="shared" si="10"/>
        <v>48.752992441431097</v>
      </c>
      <c r="AA25" s="26">
        <f t="shared" si="11"/>
        <v>0.16976277800784345</v>
      </c>
      <c r="AB25" s="21">
        <v>48.833443542186124</v>
      </c>
      <c r="AC25" s="22">
        <v>48.492013479306323</v>
      </c>
      <c r="AD25" s="22">
        <f t="shared" si="14"/>
        <v>48.66272851074622</v>
      </c>
      <c r="AE25" s="26">
        <f t="shared" si="15"/>
        <v>0.17071503143990086</v>
      </c>
      <c r="AF25" s="21">
        <f t="shared" si="16"/>
        <v>48.707860476088655</v>
      </c>
      <c r="AG25" s="26">
        <f t="shared" si="17"/>
        <v>0.20336635471943809</v>
      </c>
    </row>
    <row r="26" spans="1:33">
      <c r="A26" s="49" t="s">
        <v>344</v>
      </c>
      <c r="B26" s="113">
        <v>1500</v>
      </c>
      <c r="C26" s="21">
        <v>139.33000000000001</v>
      </c>
      <c r="D26" s="22">
        <v>0.11</v>
      </c>
      <c r="E26" s="57">
        <f>C26/$E$3</f>
        <v>0.85808601183694344</v>
      </c>
      <c r="F26" s="58">
        <f>D26/$E$3</f>
        <v>6.7745253213280542E-4</v>
      </c>
      <c r="G26" s="104">
        <v>60.26</v>
      </c>
      <c r="H26" s="105">
        <v>0.02</v>
      </c>
      <c r="I26" s="98">
        <f t="shared" si="2"/>
        <v>0.80671503922461119</v>
      </c>
      <c r="J26" s="51">
        <f t="shared" si="2"/>
        <v>2.677447856702991E-4</v>
      </c>
      <c r="K26" s="106">
        <f t="shared" si="3"/>
        <v>0.80644729443894092</v>
      </c>
      <c r="L26" s="106">
        <f t="shared" si="4"/>
        <v>0.80698278401028145</v>
      </c>
      <c r="M26" s="21">
        <v>62.34606998619725</v>
      </c>
      <c r="N26" s="22">
        <v>62.100402483655444</v>
      </c>
      <c r="O26" s="22">
        <f t="shared" si="5"/>
        <v>62.223236234926347</v>
      </c>
      <c r="P26" s="26">
        <f t="shared" si="6"/>
        <v>0.12283375127090324</v>
      </c>
      <c r="Q26" s="21">
        <v>61.757372634680799</v>
      </c>
      <c r="R26" s="22">
        <v>61.511179755095249</v>
      </c>
      <c r="S26" s="22">
        <f t="shared" si="7"/>
        <v>61.634276194888024</v>
      </c>
      <c r="T26" s="26">
        <f t="shared" si="8"/>
        <v>0.12309643979277496</v>
      </c>
      <c r="U26" s="23">
        <v>1590.21583895247</v>
      </c>
      <c r="V26" s="24">
        <v>1590.0678454157487</v>
      </c>
      <c r="W26" s="25">
        <f t="shared" si="9"/>
        <v>1590.1418421841095</v>
      </c>
      <c r="X26" s="21">
        <v>62.979915007738185</v>
      </c>
      <c r="Y26" s="22">
        <v>62.732918563000808</v>
      </c>
      <c r="Z26" s="22">
        <f t="shared" si="10"/>
        <v>62.856416785369497</v>
      </c>
      <c r="AA26" s="26">
        <f t="shared" si="11"/>
        <v>0.12349822236868846</v>
      </c>
      <c r="AB26" s="21">
        <v>62.34594764141783</v>
      </c>
      <c r="AC26" s="22">
        <v>62.098638484550712</v>
      </c>
      <c r="AD26" s="22">
        <f t="shared" si="14"/>
        <v>62.222293062984271</v>
      </c>
      <c r="AE26" s="26">
        <f t="shared" si="15"/>
        <v>0.12365457843355898</v>
      </c>
      <c r="AF26" s="21">
        <f t="shared" si="16"/>
        <v>62.539354924176884</v>
      </c>
      <c r="AG26" s="26">
        <f t="shared" si="17"/>
        <v>0.39293656259982973</v>
      </c>
    </row>
    <row r="27" spans="1:33">
      <c r="A27" s="49" t="s">
        <v>344</v>
      </c>
      <c r="B27" s="113">
        <v>1300</v>
      </c>
      <c r="C27" s="21">
        <v>138.79</v>
      </c>
      <c r="D27" s="22">
        <v>0.11</v>
      </c>
      <c r="E27" s="57">
        <f>C27/$E$3</f>
        <v>0.85476033577010957</v>
      </c>
      <c r="F27" s="58">
        <f>D27/$E$3</f>
        <v>6.7745253213280542E-4</v>
      </c>
      <c r="G27" s="104">
        <v>59.98</v>
      </c>
      <c r="H27" s="105">
        <v>0.03</v>
      </c>
      <c r="I27" s="98">
        <f t="shared" si="2"/>
        <v>0.80296661222522692</v>
      </c>
      <c r="J27" s="51">
        <f t="shared" si="2"/>
        <v>4.0161717850544865E-4</v>
      </c>
      <c r="K27" s="106">
        <f t="shared" si="3"/>
        <v>0.80256499504672152</v>
      </c>
      <c r="L27" s="106">
        <f t="shared" si="4"/>
        <v>0.80336822940373231</v>
      </c>
      <c r="M27" s="21">
        <v>62.745862752208211</v>
      </c>
      <c r="N27" s="22">
        <v>62.370674081483543</v>
      </c>
      <c r="O27" s="22">
        <f t="shared" si="5"/>
        <v>62.558268416845877</v>
      </c>
      <c r="P27" s="26">
        <f t="shared" si="6"/>
        <v>0.18759433536233416</v>
      </c>
      <c r="Q27" s="21">
        <v>62.264016751198042</v>
      </c>
      <c r="R27" s="22">
        <v>61.887193673719679</v>
      </c>
      <c r="S27" s="22">
        <f t="shared" si="7"/>
        <v>62.075605212458861</v>
      </c>
      <c r="T27" s="26">
        <f t="shared" si="8"/>
        <v>0.18841153873918159</v>
      </c>
      <c r="U27" s="23">
        <v>1371.0578166391301</v>
      </c>
      <c r="V27" s="24">
        <v>1370.8811079279308</v>
      </c>
      <c r="W27" s="25">
        <f t="shared" si="9"/>
        <v>1370.9694622835304</v>
      </c>
      <c r="X27" s="21">
        <v>63.24307872624405</v>
      </c>
      <c r="Y27" s="22">
        <v>62.866318422776899</v>
      </c>
      <c r="Z27" s="22">
        <f t="shared" si="10"/>
        <v>63.054698574510475</v>
      </c>
      <c r="AA27" s="26">
        <f t="shared" si="11"/>
        <v>0.18838015173357547</v>
      </c>
      <c r="AB27" s="21">
        <v>62.725130227883987</v>
      </c>
      <c r="AC27" s="22">
        <v>62.346986891418723</v>
      </c>
      <c r="AD27" s="22">
        <f t="shared" si="14"/>
        <v>62.536058559651352</v>
      </c>
      <c r="AE27" s="26">
        <f t="shared" si="15"/>
        <v>0.18907166823263211</v>
      </c>
      <c r="AF27" s="21">
        <f t="shared" si="16"/>
        <v>62.795378567080917</v>
      </c>
      <c r="AG27" s="26">
        <f t="shared" si="17"/>
        <v>0.37034120285845357</v>
      </c>
    </row>
    <row r="28" spans="1:33">
      <c r="A28" s="49" t="s">
        <v>344</v>
      </c>
      <c r="B28" s="113">
        <v>1100</v>
      </c>
      <c r="C28" s="21">
        <v>138.44999999999999</v>
      </c>
      <c r="D28" s="22">
        <v>0.09</v>
      </c>
      <c r="E28" s="57">
        <f>C28/$E$3</f>
        <v>0.85266639157988089</v>
      </c>
      <c r="F28" s="58">
        <f>D28/$E$3</f>
        <v>5.5427934447229528E-4</v>
      </c>
      <c r="G28" s="104">
        <v>59.78</v>
      </c>
      <c r="H28" s="105">
        <v>0.06</v>
      </c>
      <c r="I28" s="98">
        <f t="shared" si="2"/>
        <v>0.80028916436852404</v>
      </c>
      <c r="J28" s="51">
        <f t="shared" si="2"/>
        <v>8.032343570108973E-4</v>
      </c>
      <c r="K28" s="106">
        <f t="shared" si="3"/>
        <v>0.79948593001151314</v>
      </c>
      <c r="L28" s="106">
        <f t="shared" si="4"/>
        <v>0.80109239872553495</v>
      </c>
      <c r="M28" s="21">
        <v>62.806521876094806</v>
      </c>
      <c r="N28" s="22">
        <v>62.046880607685758</v>
      </c>
      <c r="O28" s="22">
        <f t="shared" si="5"/>
        <v>62.426701241890285</v>
      </c>
      <c r="P28" s="26">
        <f t="shared" si="6"/>
        <v>0.37982063420452405</v>
      </c>
      <c r="Q28" s="21">
        <v>62.434154640560564</v>
      </c>
      <c r="R28" s="22">
        <v>61.66975461445314</v>
      </c>
      <c r="S28" s="22">
        <f t="shared" si="7"/>
        <v>62.051954627506852</v>
      </c>
      <c r="T28" s="26">
        <f t="shared" si="8"/>
        <v>0.38220001305371198</v>
      </c>
      <c r="U28" s="23">
        <v>1154.0270454877748</v>
      </c>
      <c r="V28" s="24">
        <v>1153.7546626354842</v>
      </c>
      <c r="W28" s="25">
        <f t="shared" si="9"/>
        <v>1153.8908540616294</v>
      </c>
      <c r="X28" s="21">
        <v>63.181070602196044</v>
      </c>
      <c r="Y28" s="22">
        <v>62.419055031267895</v>
      </c>
      <c r="Z28" s="22">
        <f t="shared" si="10"/>
        <v>62.800062816731966</v>
      </c>
      <c r="AA28" s="26">
        <f t="shared" si="11"/>
        <v>0.38100778546407454</v>
      </c>
      <c r="AB28" s="21">
        <v>62.781209118901543</v>
      </c>
      <c r="AC28" s="22">
        <v>62.014812836730805</v>
      </c>
      <c r="AD28" s="22">
        <f t="shared" si="14"/>
        <v>62.39801097781617</v>
      </c>
      <c r="AE28" s="26">
        <f t="shared" si="15"/>
        <v>0.38319814108536931</v>
      </c>
      <c r="AF28" s="21">
        <f t="shared" si="16"/>
        <v>62.599036897274075</v>
      </c>
      <c r="AG28" s="26">
        <f t="shared" si="17"/>
        <v>0.49855162788709412</v>
      </c>
    </row>
    <row r="29" spans="1:33">
      <c r="A29" s="49" t="s">
        <v>344</v>
      </c>
      <c r="B29" s="113">
        <v>900</v>
      </c>
      <c r="C29" s="21">
        <v>138.13</v>
      </c>
      <c r="D29" s="22">
        <v>0.13</v>
      </c>
      <c r="E29" s="57">
        <f>C29/$E$3</f>
        <v>0.85069562057731274</v>
      </c>
      <c r="F29" s="58">
        <f>D29/$E$3</f>
        <v>8.0062571979331546E-4</v>
      </c>
      <c r="G29" s="104">
        <v>59.66</v>
      </c>
      <c r="H29" s="105">
        <v>0.05</v>
      </c>
      <c r="I29" s="98">
        <f t="shared" si="2"/>
        <v>0.79868269565450212</v>
      </c>
      <c r="J29" s="51">
        <f t="shared" si="2"/>
        <v>6.6936196417574775E-4</v>
      </c>
      <c r="K29" s="106">
        <f t="shared" si="3"/>
        <v>0.79801333369032634</v>
      </c>
      <c r="L29" s="106">
        <f t="shared" si="4"/>
        <v>0.79935205761867789</v>
      </c>
      <c r="M29" s="21">
        <v>62.136639864050572</v>
      </c>
      <c r="N29" s="22">
        <v>61.499417129976848</v>
      </c>
      <c r="O29" s="22">
        <f t="shared" si="5"/>
        <v>61.818028497013714</v>
      </c>
      <c r="P29" s="26">
        <f t="shared" si="6"/>
        <v>0.31861136703686199</v>
      </c>
      <c r="Q29" s="21">
        <v>61.87001497936658</v>
      </c>
      <c r="R29" s="22">
        <v>61.227795909765476</v>
      </c>
      <c r="S29" s="22">
        <f t="shared" si="7"/>
        <v>61.548905444566032</v>
      </c>
      <c r="T29" s="26">
        <f t="shared" si="8"/>
        <v>0.32110953480055215</v>
      </c>
      <c r="U29" s="23">
        <v>939.14132526010394</v>
      </c>
      <c r="V29" s="24">
        <v>938.97366290388936</v>
      </c>
      <c r="W29" s="25">
        <f t="shared" si="9"/>
        <v>939.05749408199665</v>
      </c>
      <c r="X29" s="21">
        <v>62.402755312452399</v>
      </c>
      <c r="Y29" s="22">
        <v>61.764125726410505</v>
      </c>
      <c r="Z29" s="22">
        <f t="shared" si="10"/>
        <v>62.083440519431448</v>
      </c>
      <c r="AA29" s="26">
        <f t="shared" si="11"/>
        <v>0.31931479302094701</v>
      </c>
      <c r="AB29" s="21">
        <v>62.116584920110299</v>
      </c>
      <c r="AC29" s="22">
        <v>61.473180917380354</v>
      </c>
      <c r="AD29" s="22">
        <f t="shared" si="14"/>
        <v>61.79488291874533</v>
      </c>
      <c r="AE29" s="26">
        <f t="shared" si="15"/>
        <v>0.32170200136497229</v>
      </c>
      <c r="AF29" s="21">
        <f t="shared" si="16"/>
        <v>61.939161719088382</v>
      </c>
      <c r="AG29" s="26">
        <f t="shared" si="17"/>
        <v>0.4058627511701508</v>
      </c>
    </row>
    <row r="30" spans="1:33">
      <c r="A30" s="49" t="s">
        <v>344</v>
      </c>
      <c r="B30" s="113">
        <v>700</v>
      </c>
      <c r="C30" s="21">
        <v>137.80000000000001</v>
      </c>
      <c r="D30" s="22">
        <v>0.19</v>
      </c>
      <c r="E30" s="57">
        <f>C30/$E$3</f>
        <v>0.84866326298091443</v>
      </c>
      <c r="F30" s="58">
        <f>D30/$E$3</f>
        <v>1.1701452827748457E-3</v>
      </c>
      <c r="G30" s="104">
        <v>59.5</v>
      </c>
      <c r="H30" s="105">
        <v>0.05</v>
      </c>
      <c r="I30" s="98">
        <f t="shared" si="2"/>
        <v>0.79654073736913977</v>
      </c>
      <c r="J30" s="51">
        <f t="shared" si="2"/>
        <v>6.6936196417574775E-4</v>
      </c>
      <c r="K30" s="106">
        <f t="shared" si="3"/>
        <v>0.795871375404964</v>
      </c>
      <c r="L30" s="106">
        <f t="shared" si="4"/>
        <v>0.79721009933331555</v>
      </c>
      <c r="M30" s="21">
        <v>61.832337497607952</v>
      </c>
      <c r="N30" s="22">
        <v>61.188785371255335</v>
      </c>
      <c r="O30" s="22">
        <f t="shared" si="5"/>
        <v>61.510561434431644</v>
      </c>
      <c r="P30" s="26">
        <f t="shared" si="6"/>
        <v>0.32177606317630847</v>
      </c>
      <c r="Q30" s="21">
        <v>61.672540182704658</v>
      </c>
      <c r="R30" s="22">
        <v>61.022891460977107</v>
      </c>
      <c r="S30" s="22">
        <f t="shared" si="7"/>
        <v>61.347715821840879</v>
      </c>
      <c r="T30" s="26">
        <f t="shared" si="8"/>
        <v>0.32482436086377575</v>
      </c>
      <c r="U30" s="23">
        <v>726.78073342462312</v>
      </c>
      <c r="V30" s="24">
        <v>726.66416616220306</v>
      </c>
      <c r="W30" s="25">
        <f t="shared" si="9"/>
        <v>726.72244979341303</v>
      </c>
      <c r="X30" s="21">
        <v>62.007443511107383</v>
      </c>
      <c r="Y30" s="22">
        <v>61.362981272890906</v>
      </c>
      <c r="Z30" s="22">
        <f t="shared" si="10"/>
        <v>61.685212391999144</v>
      </c>
      <c r="AA30" s="26">
        <f t="shared" si="11"/>
        <v>0.32223111910823832</v>
      </c>
      <c r="AB30" s="21">
        <v>61.834819278728887</v>
      </c>
      <c r="AC30" s="22">
        <v>61.184402386966667</v>
      </c>
      <c r="AD30" s="22">
        <f t="shared" si="14"/>
        <v>61.509610832847777</v>
      </c>
      <c r="AE30" s="26">
        <f t="shared" si="15"/>
        <v>0.32520844588110975</v>
      </c>
      <c r="AF30" s="21">
        <f t="shared" si="16"/>
        <v>61.597411612423457</v>
      </c>
      <c r="AG30" s="26">
        <f t="shared" si="17"/>
        <v>0.38730812985903096</v>
      </c>
    </row>
    <row r="31" spans="1:33">
      <c r="A31" s="49" t="s">
        <v>344</v>
      </c>
      <c r="B31" s="113">
        <v>500</v>
      </c>
      <c r="C31" s="49">
        <v>137.57</v>
      </c>
      <c r="D31" s="22">
        <v>0.17</v>
      </c>
      <c r="E31" s="57">
        <f>C31/$E$3</f>
        <v>0.84724677132281845</v>
      </c>
      <c r="F31" s="58">
        <f>D31/$E$3</f>
        <v>1.0469720951143356E-3</v>
      </c>
      <c r="G31" s="104">
        <v>59.4</v>
      </c>
      <c r="H31" s="105">
        <v>0.05</v>
      </c>
      <c r="I31" s="98">
        <f t="shared" si="2"/>
        <v>0.79520201344078834</v>
      </c>
      <c r="J31" s="51">
        <f t="shared" si="2"/>
        <v>6.6936196417574775E-4</v>
      </c>
      <c r="K31" s="106">
        <f t="shared" si="3"/>
        <v>0.79453265147661256</v>
      </c>
      <c r="L31" s="106">
        <f t="shared" si="4"/>
        <v>0.79587137540496411</v>
      </c>
      <c r="M31" s="21">
        <v>61.229520721550045</v>
      </c>
      <c r="N31" s="22">
        <v>60.582022727009836</v>
      </c>
      <c r="O31" s="22">
        <f t="shared" si="5"/>
        <v>60.905771724279944</v>
      </c>
      <c r="P31" s="26">
        <f t="shared" si="6"/>
        <v>0.32374899727010487</v>
      </c>
      <c r="Q31" s="21">
        <v>61.167039752449703</v>
      </c>
      <c r="R31" s="22">
        <v>60.512592900917696</v>
      </c>
      <c r="S31" s="22">
        <f t="shared" si="7"/>
        <v>60.839816326683703</v>
      </c>
      <c r="T31" s="26">
        <f t="shared" si="8"/>
        <v>0.32722342576600383</v>
      </c>
      <c r="U31" s="23">
        <v>516.76877732270282</v>
      </c>
      <c r="V31" s="24">
        <v>516.69442722353779</v>
      </c>
      <c r="W31" s="25">
        <f t="shared" si="9"/>
        <v>516.7316022731203</v>
      </c>
      <c r="X31" s="21">
        <v>61.329171852352452</v>
      </c>
      <c r="Y31" s="22">
        <v>60.681185487336798</v>
      </c>
      <c r="Z31" s="22">
        <f t="shared" si="10"/>
        <v>61.005178669844625</v>
      </c>
      <c r="AA31" s="26">
        <f t="shared" si="11"/>
        <v>0.32399318250782727</v>
      </c>
      <c r="AB31" s="21">
        <v>61.259560299605404</v>
      </c>
      <c r="AC31" s="22">
        <v>60.604699408880165</v>
      </c>
      <c r="AD31" s="22">
        <f t="shared" si="14"/>
        <v>60.932129854242788</v>
      </c>
      <c r="AE31" s="26">
        <f t="shared" si="15"/>
        <v>0.32743044536261934</v>
      </c>
      <c r="AF31" s="21">
        <f t="shared" si="16"/>
        <v>60.9686542620437</v>
      </c>
      <c r="AG31" s="26">
        <f t="shared" si="17"/>
        <v>0.37846210166261857</v>
      </c>
    </row>
    <row r="32" spans="1:33">
      <c r="A32" s="49" t="s">
        <v>344</v>
      </c>
      <c r="B32" s="113">
        <v>300</v>
      </c>
      <c r="C32" s="49">
        <v>137.38</v>
      </c>
      <c r="D32" s="22">
        <v>0.16</v>
      </c>
      <c r="E32" s="57">
        <f>C32/$E$3</f>
        <v>0.84607662604004363</v>
      </c>
      <c r="F32" s="58">
        <f>D32/$E$3</f>
        <v>9.8538550128408051E-4</v>
      </c>
      <c r="G32" s="104">
        <v>59.29</v>
      </c>
      <c r="H32" s="105">
        <v>0.05</v>
      </c>
      <c r="I32" s="98">
        <f t="shared" si="2"/>
        <v>0.79372941711960165</v>
      </c>
      <c r="J32" s="51">
        <f t="shared" si="2"/>
        <v>6.6936196417574775E-4</v>
      </c>
      <c r="K32" s="106">
        <f t="shared" si="3"/>
        <v>0.79306005515542588</v>
      </c>
      <c r="L32" s="106">
        <f t="shared" si="4"/>
        <v>0.79439877908377743</v>
      </c>
      <c r="M32" s="21">
        <v>60.902311737456564</v>
      </c>
      <c r="N32" s="22">
        <v>60.249495070701037</v>
      </c>
      <c r="O32" s="22">
        <f t="shared" si="5"/>
        <v>60.575903404078801</v>
      </c>
      <c r="P32" s="26">
        <f t="shared" si="6"/>
        <v>0.32640833337776343</v>
      </c>
      <c r="Q32" s="21">
        <v>60.920262125079539</v>
      </c>
      <c r="R32" s="22">
        <v>60.259820814271812</v>
      </c>
      <c r="S32" s="22">
        <f t="shared" si="7"/>
        <v>60.590041469675676</v>
      </c>
      <c r="T32" s="26">
        <f t="shared" si="8"/>
        <v>0.33022065540386336</v>
      </c>
      <c r="U32" s="23">
        <v>309.17579775120566</v>
      </c>
      <c r="V32" s="24">
        <v>309.13450711179377</v>
      </c>
      <c r="W32" s="25">
        <f t="shared" si="9"/>
        <v>309.15515243149969</v>
      </c>
      <c r="X32" s="21">
        <v>60.941891135324589</v>
      </c>
      <c r="Y32" s="22">
        <v>60.288923836379816</v>
      </c>
      <c r="Z32" s="22">
        <f t="shared" si="10"/>
        <v>60.615407485852202</v>
      </c>
      <c r="AA32" s="26">
        <f t="shared" si="11"/>
        <v>0.32648364947238662</v>
      </c>
      <c r="AB32" s="21">
        <v>60.957253824882251</v>
      </c>
      <c r="AC32" s="22">
        <v>60.296683335899559</v>
      </c>
      <c r="AD32" s="22">
        <f t="shared" si="14"/>
        <v>60.626968580390908</v>
      </c>
      <c r="AE32" s="26">
        <f t="shared" si="15"/>
        <v>0.33028524449134622</v>
      </c>
      <c r="AF32" s="21">
        <f t="shared" si="16"/>
        <v>60.621188033121555</v>
      </c>
      <c r="AG32" s="26">
        <f t="shared" si="17"/>
        <v>0.37925079262055861</v>
      </c>
    </row>
    <row r="33" spans="1:33">
      <c r="A33" s="49"/>
      <c r="B33" s="113"/>
      <c r="C33" s="49"/>
      <c r="D33" s="50"/>
      <c r="E33" s="57"/>
      <c r="F33" s="58"/>
      <c r="G33" s="21"/>
      <c r="H33" s="26"/>
      <c r="I33" s="98"/>
      <c r="J33" s="51"/>
      <c r="K33" s="106"/>
      <c r="L33" s="106"/>
      <c r="M33" s="21"/>
      <c r="N33" s="22"/>
      <c r="O33" s="22"/>
      <c r="P33" s="26"/>
      <c r="Q33" s="21"/>
      <c r="R33" s="22"/>
      <c r="S33" s="22"/>
      <c r="T33" s="26"/>
      <c r="U33" s="23"/>
      <c r="V33" s="24"/>
      <c r="W33" s="25"/>
      <c r="X33" s="21"/>
      <c r="Y33" s="22"/>
      <c r="Z33" s="22"/>
      <c r="AA33" s="26"/>
      <c r="AB33" s="21"/>
      <c r="AC33" s="22"/>
      <c r="AD33" s="22"/>
      <c r="AE33" s="26"/>
      <c r="AF33" s="21"/>
      <c r="AG33" s="26"/>
    </row>
    <row r="34" spans="1:33">
      <c r="A34" s="49" t="s">
        <v>345</v>
      </c>
      <c r="B34" s="113">
        <v>1900</v>
      </c>
      <c r="C34" s="49"/>
      <c r="D34" s="50"/>
      <c r="E34" s="57">
        <v>0.96135000000000004</v>
      </c>
      <c r="F34" s="58">
        <v>9.0000000000000006E-5</v>
      </c>
      <c r="G34" s="21"/>
      <c r="H34" s="26"/>
      <c r="I34" s="98">
        <v>0.93132000000000004</v>
      </c>
      <c r="J34" s="51">
        <v>1.3000000000001899E-4</v>
      </c>
      <c r="K34" s="106">
        <f t="shared" ref="K34:K97" si="18">I34-J34</f>
        <v>0.93118999999999996</v>
      </c>
      <c r="L34" s="106">
        <f t="shared" ref="L34:L97" si="19">I34+J34</f>
        <v>0.93145000000000011</v>
      </c>
      <c r="M34" s="21">
        <v>23.278958203113049</v>
      </c>
      <c r="N34" s="22">
        <v>23.217779504146236</v>
      </c>
      <c r="O34" s="22">
        <f t="shared" ref="O34:O63" si="20">(M34+N34)/2</f>
        <v>23.248368853629643</v>
      </c>
      <c r="P34" s="26">
        <f t="shared" ref="P34:P63" si="21">(M34-N34)/2</f>
        <v>3.0589349483406636E-2</v>
      </c>
      <c r="Q34" s="21">
        <v>22.953145496027524</v>
      </c>
      <c r="R34" s="22">
        <v>22.893136278800398</v>
      </c>
      <c r="S34" s="22">
        <f t="shared" ref="S34:S63" si="22">(Q34+R34)/2</f>
        <v>22.923140887413961</v>
      </c>
      <c r="T34" s="26">
        <f t="shared" ref="T34:T63" si="23">(Q34-R34)/2</f>
        <v>3.0004608613563022E-2</v>
      </c>
      <c r="U34" s="23">
        <v>1984.6576135259061</v>
      </c>
      <c r="V34" s="24">
        <v>1984.5346796900708</v>
      </c>
      <c r="W34" s="25">
        <f t="shared" ref="W34:W97" si="24">(U34+V34)/2</f>
        <v>1984.5961466079884</v>
      </c>
      <c r="X34" s="21">
        <v>23.829683606382787</v>
      </c>
      <c r="Y34" s="22">
        <v>23.767636794407704</v>
      </c>
      <c r="Z34" s="22">
        <f t="shared" ref="Z34:Z63" si="25">(X34+Y34)/2</f>
        <v>23.798660200395247</v>
      </c>
      <c r="AA34" s="26">
        <f t="shared" ref="AA34:AA63" si="26">(X34-Y34)/2</f>
        <v>3.1023405987541608E-2</v>
      </c>
      <c r="AB34" s="21">
        <v>23.488284755058345</v>
      </c>
      <c r="AC34" s="22">
        <v>23.427478778431137</v>
      </c>
      <c r="AD34" s="22">
        <f t="shared" ref="AD34:AD63" si="27">(AB34+AC34)/2</f>
        <v>23.457881766744741</v>
      </c>
      <c r="AE34" s="26">
        <f t="shared" ref="AE34:AE63" si="28">(AB34-AC34)/2</f>
        <v>3.0402988313603885E-2</v>
      </c>
      <c r="AF34" s="21">
        <f t="shared" ref="AF34:AF63" si="29">AVERAGE(X34,Y34,AB34,AC34)</f>
        <v>23.628270983569994</v>
      </c>
      <c r="AG34" s="26">
        <f t="shared" ref="AG34:AG63" si="30">STDEV(X34,Y34,AB34,AC34)</f>
        <v>0.19991959023252409</v>
      </c>
    </row>
    <row r="35" spans="1:33">
      <c r="A35" s="49" t="s">
        <v>346</v>
      </c>
      <c r="B35" s="113">
        <v>1800</v>
      </c>
      <c r="C35" s="49"/>
      <c r="D35" s="50"/>
      <c r="E35" s="57">
        <v>0.95828000000000002</v>
      </c>
      <c r="F35" s="58">
        <v>1E-4</v>
      </c>
      <c r="G35" s="21"/>
      <c r="H35" s="26"/>
      <c r="I35" s="98">
        <v>0.92832999999999999</v>
      </c>
      <c r="J35" s="51">
        <v>0</v>
      </c>
      <c r="K35" s="106">
        <f t="shared" si="18"/>
        <v>0.92832999999999999</v>
      </c>
      <c r="L35" s="106">
        <f t="shared" si="19"/>
        <v>0.92832999999999999</v>
      </c>
      <c r="M35" s="21">
        <v>23.306816737817673</v>
      </c>
      <c r="N35" s="22">
        <v>23.306816737817673</v>
      </c>
      <c r="O35" s="22">
        <f t="shared" si="20"/>
        <v>23.306816737817673</v>
      </c>
      <c r="P35" s="26">
        <f t="shared" si="21"/>
        <v>0</v>
      </c>
      <c r="Q35" s="21">
        <v>22.987093004218536</v>
      </c>
      <c r="R35" s="22">
        <v>22.987093004218536</v>
      </c>
      <c r="S35" s="22">
        <f t="shared" si="22"/>
        <v>22.987093004218536</v>
      </c>
      <c r="T35" s="26">
        <f t="shared" si="23"/>
        <v>0</v>
      </c>
      <c r="U35" s="23">
        <v>1877.0399496382388</v>
      </c>
      <c r="V35" s="24">
        <v>1877.0399496382388</v>
      </c>
      <c r="W35" s="25">
        <f t="shared" si="24"/>
        <v>1877.0399496382388</v>
      </c>
      <c r="X35" s="21">
        <v>23.808128690147484</v>
      </c>
      <c r="Y35" s="22">
        <v>23.808128690147484</v>
      </c>
      <c r="Z35" s="22">
        <f t="shared" si="25"/>
        <v>23.808128690147484</v>
      </c>
      <c r="AA35" s="26">
        <f t="shared" si="26"/>
        <v>0</v>
      </c>
      <c r="AB35" s="21">
        <v>23.473748742459566</v>
      </c>
      <c r="AC35" s="22">
        <v>23.473748742459566</v>
      </c>
      <c r="AD35" s="22">
        <f t="shared" si="27"/>
        <v>23.473748742459566</v>
      </c>
      <c r="AE35" s="26">
        <f t="shared" si="28"/>
        <v>0</v>
      </c>
      <c r="AF35" s="21">
        <f t="shared" si="29"/>
        <v>23.640938716303523</v>
      </c>
      <c r="AG35" s="26">
        <f t="shared" si="30"/>
        <v>0.19305435280923222</v>
      </c>
    </row>
    <row r="36" spans="1:33">
      <c r="A36" s="49" t="s">
        <v>347</v>
      </c>
      <c r="B36" s="113">
        <v>1700</v>
      </c>
      <c r="C36" s="49"/>
      <c r="D36" s="50"/>
      <c r="E36" s="57">
        <v>0.95513000000000003</v>
      </c>
      <c r="F36" s="58">
        <v>9.0000000000000006E-5</v>
      </c>
      <c r="G36" s="21"/>
      <c r="H36" s="26"/>
      <c r="I36" s="98">
        <v>0.92525999999999997</v>
      </c>
      <c r="J36" s="51">
        <v>4.0000000000040004E-5</v>
      </c>
      <c r="K36" s="106">
        <f t="shared" si="18"/>
        <v>0.92521999999999993</v>
      </c>
      <c r="L36" s="106">
        <f t="shared" si="19"/>
        <v>0.92530000000000001</v>
      </c>
      <c r="M36" s="21">
        <v>23.404795891481797</v>
      </c>
      <c r="N36" s="22">
        <v>23.385397775137022</v>
      </c>
      <c r="O36" s="22">
        <f t="shared" si="20"/>
        <v>23.39509683330941</v>
      </c>
      <c r="P36" s="26">
        <f t="shared" si="21"/>
        <v>9.6990581723872538E-3</v>
      </c>
      <c r="Q36" s="21">
        <v>23.091253220874229</v>
      </c>
      <c r="R36" s="22">
        <v>23.072186493672852</v>
      </c>
      <c r="S36" s="22">
        <f t="shared" si="22"/>
        <v>23.081719857273541</v>
      </c>
      <c r="T36" s="26">
        <f t="shared" si="23"/>
        <v>9.5333636006884603E-3</v>
      </c>
      <c r="U36" s="23">
        <v>1769.8938737656401</v>
      </c>
      <c r="V36" s="24">
        <v>1769.8619159627469</v>
      </c>
      <c r="W36" s="25">
        <f t="shared" si="24"/>
        <v>1769.8778948641934</v>
      </c>
      <c r="X36" s="21">
        <v>23.859704730314149</v>
      </c>
      <c r="Y36" s="22">
        <v>23.840080704806638</v>
      </c>
      <c r="Z36" s="22">
        <f t="shared" si="25"/>
        <v>23.849892717560394</v>
      </c>
      <c r="AA36" s="26">
        <f t="shared" si="26"/>
        <v>9.8120127537555391E-3</v>
      </c>
      <c r="AB36" s="21">
        <v>23.532398165895888</v>
      </c>
      <c r="AC36" s="22">
        <v>23.513124389546348</v>
      </c>
      <c r="AD36" s="22">
        <f t="shared" si="27"/>
        <v>23.522761277721116</v>
      </c>
      <c r="AE36" s="26">
        <f t="shared" si="28"/>
        <v>9.6368881747697088E-3</v>
      </c>
      <c r="AF36" s="21">
        <f t="shared" si="29"/>
        <v>23.686326997640755</v>
      </c>
      <c r="AG36" s="26">
        <f t="shared" si="30"/>
        <v>0.18920295042384463</v>
      </c>
    </row>
    <row r="37" spans="1:33">
      <c r="A37" s="49" t="s">
        <v>348</v>
      </c>
      <c r="B37" s="113">
        <v>1700</v>
      </c>
      <c r="C37" s="49"/>
      <c r="D37" s="50"/>
      <c r="E37" s="57">
        <v>0.95591999999999999</v>
      </c>
      <c r="F37" s="58">
        <v>1.1E-4</v>
      </c>
      <c r="G37" s="21"/>
      <c r="H37" s="26"/>
      <c r="I37" s="98">
        <v>0.92701</v>
      </c>
      <c r="J37" s="51">
        <v>8.5000000000001741E-5</v>
      </c>
      <c r="K37" s="106">
        <f t="shared" si="18"/>
        <v>0.926925</v>
      </c>
      <c r="L37" s="106">
        <f t="shared" si="19"/>
        <v>0.927095</v>
      </c>
      <c r="M37" s="21">
        <v>22.99317671676922</v>
      </c>
      <c r="N37" s="22">
        <v>22.952342305215055</v>
      </c>
      <c r="O37" s="22">
        <f t="shared" si="20"/>
        <v>22.972759510992137</v>
      </c>
      <c r="P37" s="26">
        <f t="shared" si="21"/>
        <v>2.0417205777082614E-2</v>
      </c>
      <c r="Q37" s="21">
        <v>22.686678530652191</v>
      </c>
      <c r="R37" s="22">
        <v>22.646544358740069</v>
      </c>
      <c r="S37" s="22">
        <f t="shared" si="22"/>
        <v>22.66661144469613</v>
      </c>
      <c r="T37" s="26">
        <f t="shared" si="23"/>
        <v>2.0067085956060993E-2</v>
      </c>
      <c r="U37" s="23">
        <v>1769.2115426331818</v>
      </c>
      <c r="V37" s="24">
        <v>1769.1433672059457</v>
      </c>
      <c r="W37" s="25">
        <f t="shared" si="24"/>
        <v>1769.1774549195638</v>
      </c>
      <c r="X37" s="21">
        <v>23.443268676121065</v>
      </c>
      <c r="Y37" s="22">
        <v>23.40195372969557</v>
      </c>
      <c r="Z37" s="22">
        <f t="shared" si="25"/>
        <v>23.422611202908318</v>
      </c>
      <c r="AA37" s="26">
        <f t="shared" si="26"/>
        <v>2.0657473212747135E-2</v>
      </c>
      <c r="AB37" s="21">
        <v>23.123405675908515</v>
      </c>
      <c r="AC37" s="22">
        <v>23.082830429594104</v>
      </c>
      <c r="AD37" s="22">
        <f t="shared" si="27"/>
        <v>23.103118052751309</v>
      </c>
      <c r="AE37" s="26">
        <f t="shared" si="28"/>
        <v>2.0287623157205559E-2</v>
      </c>
      <c r="AF37" s="21">
        <f t="shared" si="29"/>
        <v>23.262864627829813</v>
      </c>
      <c r="AG37" s="26">
        <f t="shared" si="30"/>
        <v>0.18596819683578236</v>
      </c>
    </row>
    <row r="38" spans="1:33">
      <c r="A38" s="49" t="s">
        <v>349</v>
      </c>
      <c r="B38" s="113">
        <v>1600</v>
      </c>
      <c r="C38" s="49"/>
      <c r="D38" s="50"/>
      <c r="E38" s="57">
        <v>0.95215000000000005</v>
      </c>
      <c r="F38" s="58">
        <v>9.0000000000000006E-5</v>
      </c>
      <c r="G38" s="21"/>
      <c r="H38" s="26"/>
      <c r="I38" s="98">
        <v>0.92259999999999998</v>
      </c>
      <c r="J38" s="51">
        <v>8.5000000000001741E-5</v>
      </c>
      <c r="K38" s="106">
        <f t="shared" si="18"/>
        <v>0.92251499999999997</v>
      </c>
      <c r="L38" s="106">
        <f t="shared" si="19"/>
        <v>0.92268499999999998</v>
      </c>
      <c r="M38" s="21">
        <v>23.414738575478026</v>
      </c>
      <c r="N38" s="22">
        <v>23.372977848857374</v>
      </c>
      <c r="O38" s="22">
        <f t="shared" si="20"/>
        <v>23.3938582121677</v>
      </c>
      <c r="P38" s="26">
        <f t="shared" si="21"/>
        <v>2.0880363310325833E-2</v>
      </c>
      <c r="Q38" s="21">
        <v>23.110217513897517</v>
      </c>
      <c r="R38" s="22">
        <v>23.069128116710736</v>
      </c>
      <c r="S38" s="22">
        <f t="shared" si="22"/>
        <v>23.089672815304127</v>
      </c>
      <c r="T38" s="26">
        <f t="shared" si="23"/>
        <v>2.0544698593390365E-2</v>
      </c>
      <c r="U38" s="23">
        <v>1662.9505221176157</v>
      </c>
      <c r="V38" s="24">
        <v>1662.8885536045459</v>
      </c>
      <c r="W38" s="25">
        <f t="shared" si="24"/>
        <v>1662.9195378610807</v>
      </c>
      <c r="X38" s="21">
        <v>23.824360525678642</v>
      </c>
      <c r="Y38" s="22">
        <v>23.782161995957146</v>
      </c>
      <c r="Z38" s="22">
        <f t="shared" si="25"/>
        <v>23.803261260817894</v>
      </c>
      <c r="AA38" s="26">
        <f t="shared" si="26"/>
        <v>2.1099264860747979E-2</v>
      </c>
      <c r="AB38" s="21">
        <v>23.507081323054635</v>
      </c>
      <c r="AC38" s="22">
        <v>23.465590845677156</v>
      </c>
      <c r="AD38" s="22">
        <f t="shared" si="27"/>
        <v>23.486336084365895</v>
      </c>
      <c r="AE38" s="26">
        <f t="shared" si="28"/>
        <v>2.0745238688739676E-2</v>
      </c>
      <c r="AF38" s="21">
        <f t="shared" si="29"/>
        <v>23.644798672591897</v>
      </c>
      <c r="AG38" s="26">
        <f t="shared" si="30"/>
        <v>0.18456494365666551</v>
      </c>
    </row>
    <row r="39" spans="1:33">
      <c r="A39" s="49" t="s">
        <v>350</v>
      </c>
      <c r="B39" s="113">
        <v>1500</v>
      </c>
      <c r="C39" s="49"/>
      <c r="D39" s="50"/>
      <c r="E39" s="57">
        <v>0.94894000000000001</v>
      </c>
      <c r="F39" s="58">
        <v>8.0000000000000007E-5</v>
      </c>
      <c r="G39" s="21"/>
      <c r="H39" s="26"/>
      <c r="I39" s="98">
        <v>0.91952999999999996</v>
      </c>
      <c r="J39" s="51">
        <v>1.6499999999997073E-4</v>
      </c>
      <c r="K39" s="106">
        <f t="shared" si="18"/>
        <v>0.91936499999999999</v>
      </c>
      <c r="L39" s="106">
        <f t="shared" si="19"/>
        <v>0.91969499999999993</v>
      </c>
      <c r="M39" s="21">
        <v>23.544729890975965</v>
      </c>
      <c r="N39" s="22">
        <v>23.462422473203436</v>
      </c>
      <c r="O39" s="22">
        <f t="shared" si="20"/>
        <v>23.503576182089702</v>
      </c>
      <c r="P39" s="26">
        <f t="shared" si="21"/>
        <v>4.1153708886264795E-2</v>
      </c>
      <c r="Q39" s="21">
        <v>23.248661146830536</v>
      </c>
      <c r="R39" s="22">
        <v>23.16759226744152</v>
      </c>
      <c r="S39" s="22">
        <f t="shared" si="22"/>
        <v>23.208126707136028</v>
      </c>
      <c r="T39" s="26">
        <f t="shared" si="23"/>
        <v>4.053443969450754E-2</v>
      </c>
      <c r="U39" s="23">
        <v>1556.5294353939505</v>
      </c>
      <c r="V39" s="24">
        <v>1556.4204428002204</v>
      </c>
      <c r="W39" s="25">
        <f t="shared" si="24"/>
        <v>1556.4749390970856</v>
      </c>
      <c r="X39" s="21">
        <v>23.912445092683441</v>
      </c>
      <c r="Y39" s="22">
        <v>23.829367912608308</v>
      </c>
      <c r="Z39" s="22">
        <f t="shared" si="25"/>
        <v>23.870906502645873</v>
      </c>
      <c r="AA39" s="26">
        <f t="shared" si="26"/>
        <v>4.1538590037566436E-2</v>
      </c>
      <c r="AB39" s="21">
        <v>23.60454111537392</v>
      </c>
      <c r="AC39" s="22">
        <v>23.522767611591107</v>
      </c>
      <c r="AD39" s="22">
        <f t="shared" si="27"/>
        <v>23.563654363482513</v>
      </c>
      <c r="AE39" s="26">
        <f t="shared" si="28"/>
        <v>4.0886751891406448E-2</v>
      </c>
      <c r="AF39" s="21">
        <f t="shared" si="29"/>
        <v>23.717280433064193</v>
      </c>
      <c r="AG39" s="26">
        <f t="shared" si="30"/>
        <v>0.18366476608714652</v>
      </c>
    </row>
    <row r="40" spans="1:33">
      <c r="A40" s="49" t="s">
        <v>351</v>
      </c>
      <c r="B40" s="113">
        <v>1500</v>
      </c>
      <c r="C40" s="49"/>
      <c r="D40" s="50"/>
      <c r="E40" s="57">
        <v>0.95226999999999995</v>
      </c>
      <c r="F40" s="58">
        <v>9.0000000000000006E-5</v>
      </c>
      <c r="G40" s="21"/>
      <c r="H40" s="26"/>
      <c r="I40" s="98">
        <v>0.92347999999999997</v>
      </c>
      <c r="J40" s="51">
        <v>8.9999999999978986E-5</v>
      </c>
      <c r="K40" s="106">
        <f t="shared" si="18"/>
        <v>0.92338999999999993</v>
      </c>
      <c r="L40" s="106">
        <f t="shared" si="19"/>
        <v>0.92357</v>
      </c>
      <c r="M40" s="21">
        <v>22.550732187136717</v>
      </c>
      <c r="N40" s="22">
        <v>22.506780688887563</v>
      </c>
      <c r="O40" s="22">
        <f t="shared" si="20"/>
        <v>22.528756438012138</v>
      </c>
      <c r="P40" s="26">
        <f t="shared" si="21"/>
        <v>2.1975749124576893E-2</v>
      </c>
      <c r="Q40" s="21">
        <v>22.269699108062746</v>
      </c>
      <c r="R40" s="22">
        <v>22.2264161733912</v>
      </c>
      <c r="S40" s="22">
        <f t="shared" si="22"/>
        <v>22.248057640726973</v>
      </c>
      <c r="T40" s="26">
        <f t="shared" si="23"/>
        <v>2.1641467335772546E-2</v>
      </c>
      <c r="U40" s="23">
        <v>1555.1940499699604</v>
      </c>
      <c r="V40" s="24">
        <v>1555.1340210115702</v>
      </c>
      <c r="W40" s="25">
        <f t="shared" si="24"/>
        <v>1555.1640354907654</v>
      </c>
      <c r="X40" s="21">
        <v>22.909045229000021</v>
      </c>
      <c r="Y40" s="22">
        <v>22.864672544950778</v>
      </c>
      <c r="Z40" s="22">
        <f t="shared" si="25"/>
        <v>22.8868588869754</v>
      </c>
      <c r="AA40" s="26">
        <f t="shared" si="26"/>
        <v>2.2186342024621553E-2</v>
      </c>
      <c r="AB40" s="21">
        <v>22.616958855386201</v>
      </c>
      <c r="AC40" s="22">
        <v>22.573289065767128</v>
      </c>
      <c r="AD40" s="22">
        <f t="shared" si="27"/>
        <v>22.595123960576665</v>
      </c>
      <c r="AE40" s="26">
        <f t="shared" si="28"/>
        <v>2.183489480953682E-2</v>
      </c>
      <c r="AF40" s="21">
        <f t="shared" si="29"/>
        <v>22.740991423776034</v>
      </c>
      <c r="AG40" s="26">
        <f t="shared" si="30"/>
        <v>0.17034011084536102</v>
      </c>
    </row>
    <row r="41" spans="1:33">
      <c r="A41" s="49" t="s">
        <v>352</v>
      </c>
      <c r="B41" s="113">
        <v>1300</v>
      </c>
      <c r="C41" s="49"/>
      <c r="D41" s="50"/>
      <c r="E41" s="57">
        <v>0.94903000000000004</v>
      </c>
      <c r="F41" s="58">
        <v>9.0000000000000006E-5</v>
      </c>
      <c r="G41" s="21"/>
      <c r="H41" s="26"/>
      <c r="I41" s="98">
        <v>0.92025000000000001</v>
      </c>
      <c r="J41" s="51">
        <v>8.5000000000001741E-5</v>
      </c>
      <c r="K41" s="106">
        <f t="shared" si="18"/>
        <v>0.92016500000000001</v>
      </c>
      <c r="L41" s="106">
        <f t="shared" si="19"/>
        <v>0.92033500000000001</v>
      </c>
      <c r="M41" s="21">
        <v>22.04898200140719</v>
      </c>
      <c r="N41" s="22">
        <v>22.006852386102782</v>
      </c>
      <c r="O41" s="22">
        <f t="shared" si="20"/>
        <v>22.027917193754988</v>
      </c>
      <c r="P41" s="26">
        <f t="shared" si="21"/>
        <v>2.1064807652203754E-2</v>
      </c>
      <c r="Q41" s="21">
        <v>21.797279098873886</v>
      </c>
      <c r="R41" s="22">
        <v>21.75570968148989</v>
      </c>
      <c r="S41" s="22">
        <f t="shared" si="22"/>
        <v>21.776494390181888</v>
      </c>
      <c r="T41" s="26">
        <f t="shared" si="23"/>
        <v>2.0784708691998333E-2</v>
      </c>
      <c r="U41" s="23">
        <v>1342.8125317147187</v>
      </c>
      <c r="V41" s="24">
        <v>1342.766575323863</v>
      </c>
      <c r="W41" s="25">
        <f t="shared" si="24"/>
        <v>1342.7895535192908</v>
      </c>
      <c r="X41" s="21">
        <v>22.325902729066719</v>
      </c>
      <c r="Y41" s="22">
        <v>22.283453057222268</v>
      </c>
      <c r="Z41" s="22">
        <f t="shared" si="25"/>
        <v>22.304677893144493</v>
      </c>
      <c r="AA41" s="26">
        <f t="shared" si="26"/>
        <v>2.1224835922225793E-2</v>
      </c>
      <c r="AB41" s="21">
        <v>22.06536703225526</v>
      </c>
      <c r="AC41" s="22">
        <v>22.02350339786793</v>
      </c>
      <c r="AD41" s="22">
        <f t="shared" si="27"/>
        <v>22.044435215061597</v>
      </c>
      <c r="AE41" s="26">
        <f t="shared" si="28"/>
        <v>2.093181719366477E-2</v>
      </c>
      <c r="AF41" s="21">
        <f t="shared" si="29"/>
        <v>22.174556554103042</v>
      </c>
      <c r="AG41" s="26">
        <f t="shared" si="30"/>
        <v>0.15220985596391556</v>
      </c>
    </row>
    <row r="42" spans="1:33">
      <c r="A42" s="49" t="s">
        <v>353</v>
      </c>
      <c r="B42" s="113">
        <v>1100</v>
      </c>
      <c r="C42" s="49"/>
      <c r="D42" s="50"/>
      <c r="E42" s="57">
        <v>0.94577999999999995</v>
      </c>
      <c r="F42" s="58">
        <v>9.0000000000000006E-5</v>
      </c>
      <c r="G42" s="21"/>
      <c r="H42" s="26"/>
      <c r="I42" s="98">
        <v>0.91671000000000002</v>
      </c>
      <c r="J42" s="51">
        <v>7.5000000000047251E-5</v>
      </c>
      <c r="K42" s="106">
        <f t="shared" si="18"/>
        <v>0.91663499999999998</v>
      </c>
      <c r="L42" s="106">
        <f t="shared" si="19"/>
        <v>0.91678500000000007</v>
      </c>
      <c r="M42" s="21">
        <v>21.642654461804867</v>
      </c>
      <c r="N42" s="22">
        <v>21.604860288451693</v>
      </c>
      <c r="O42" s="22">
        <f t="shared" si="20"/>
        <v>21.623757375128278</v>
      </c>
      <c r="P42" s="26">
        <f t="shared" si="21"/>
        <v>1.8897086676586738E-2</v>
      </c>
      <c r="Q42" s="21">
        <v>21.421903611072359</v>
      </c>
      <c r="R42" s="22">
        <v>21.384539894609269</v>
      </c>
      <c r="S42" s="22">
        <f t="shared" si="22"/>
        <v>21.403221752840814</v>
      </c>
      <c r="T42" s="26">
        <f t="shared" si="23"/>
        <v>1.8681858231545334E-2</v>
      </c>
      <c r="U42" s="23">
        <v>1132.198719105427</v>
      </c>
      <c r="V42" s="24">
        <v>1132.1669585014915</v>
      </c>
      <c r="W42" s="25">
        <f t="shared" si="24"/>
        <v>1132.1828388034592</v>
      </c>
      <c r="X42" s="21">
        <v>21.849531623048371</v>
      </c>
      <c r="Y42" s="22">
        <v>21.811518728643467</v>
      </c>
      <c r="Z42" s="22">
        <f t="shared" si="25"/>
        <v>21.830525175845921</v>
      </c>
      <c r="AA42" s="26">
        <f t="shared" si="26"/>
        <v>1.9006447202452037E-2</v>
      </c>
      <c r="AB42" s="21">
        <v>21.621946816385986</v>
      </c>
      <c r="AC42" s="22">
        <v>21.584381935717012</v>
      </c>
      <c r="AD42" s="22">
        <f t="shared" si="27"/>
        <v>21.603164376051499</v>
      </c>
      <c r="AE42" s="26">
        <f t="shared" si="28"/>
        <v>1.8782440334486949E-2</v>
      </c>
      <c r="AF42" s="21">
        <f t="shared" si="29"/>
        <v>21.716844775948708</v>
      </c>
      <c r="AG42" s="26">
        <f t="shared" si="30"/>
        <v>0.13306763128013097</v>
      </c>
    </row>
    <row r="43" spans="1:33">
      <c r="A43" s="49" t="s">
        <v>354</v>
      </c>
      <c r="B43" s="113">
        <v>900</v>
      </c>
      <c r="C43" s="49"/>
      <c r="D43" s="50"/>
      <c r="E43" s="57">
        <v>0.94289999999999996</v>
      </c>
      <c r="F43" s="58">
        <v>9.0000000000000006E-5</v>
      </c>
      <c r="G43" s="21"/>
      <c r="H43" s="26"/>
      <c r="I43" s="98">
        <v>0.91417999999999999</v>
      </c>
      <c r="J43" s="51">
        <v>7.9999999999968985E-5</v>
      </c>
      <c r="K43" s="106">
        <f t="shared" si="18"/>
        <v>0.91410000000000002</v>
      </c>
      <c r="L43" s="106">
        <f t="shared" si="19"/>
        <v>0.91425999999999996</v>
      </c>
      <c r="M43" s="21">
        <v>21.0091990980053</v>
      </c>
      <c r="N43" s="22">
        <v>20.968426790525481</v>
      </c>
      <c r="O43" s="22">
        <f t="shared" si="20"/>
        <v>20.988812944265391</v>
      </c>
      <c r="P43" s="26">
        <f t="shared" si="21"/>
        <v>2.0386153739909929E-2</v>
      </c>
      <c r="Q43" s="21">
        <v>20.824369031340698</v>
      </c>
      <c r="R43" s="22">
        <v>20.783986371799156</v>
      </c>
      <c r="S43" s="22">
        <f t="shared" si="22"/>
        <v>20.804177701569927</v>
      </c>
      <c r="T43" s="26">
        <f t="shared" si="23"/>
        <v>2.0191329770771205E-2</v>
      </c>
      <c r="U43" s="23">
        <v>923.04060598298463</v>
      </c>
      <c r="V43" s="24">
        <v>923.01513181550229</v>
      </c>
      <c r="W43" s="25">
        <f t="shared" si="24"/>
        <v>923.02786889924346</v>
      </c>
      <c r="X43" s="21">
        <v>21.155248770488484</v>
      </c>
      <c r="Y43" s="22">
        <v>21.114304723060439</v>
      </c>
      <c r="Z43" s="22">
        <f t="shared" si="25"/>
        <v>21.134776746774463</v>
      </c>
      <c r="AA43" s="26">
        <f t="shared" si="26"/>
        <v>2.0472023714022569E-2</v>
      </c>
      <c r="AB43" s="21">
        <v>20.965480954890207</v>
      </c>
      <c r="AC43" s="22">
        <v>20.924940131256584</v>
      </c>
      <c r="AD43" s="22">
        <f t="shared" si="27"/>
        <v>20.945210543073394</v>
      </c>
      <c r="AE43" s="26">
        <f t="shared" si="28"/>
        <v>2.0270411816811773E-2</v>
      </c>
      <c r="AF43" s="21">
        <f t="shared" si="29"/>
        <v>21.039993644923932</v>
      </c>
      <c r="AG43" s="26">
        <f t="shared" si="30"/>
        <v>0.11194542165117087</v>
      </c>
    </row>
    <row r="44" spans="1:33">
      <c r="A44" s="49" t="s">
        <v>355</v>
      </c>
      <c r="B44" s="113">
        <v>700</v>
      </c>
      <c r="C44" s="49"/>
      <c r="D44" s="50"/>
      <c r="E44" s="57">
        <v>0.94016999999999995</v>
      </c>
      <c r="F44" s="58">
        <v>8.0000000000000007E-5</v>
      </c>
      <c r="G44" s="21"/>
      <c r="H44" s="26"/>
      <c r="I44" s="98">
        <v>0.91125</v>
      </c>
      <c r="J44" s="51">
        <v>7.499999999999174E-5</v>
      </c>
      <c r="K44" s="106">
        <f t="shared" si="18"/>
        <v>0.91117500000000007</v>
      </c>
      <c r="L44" s="106">
        <f t="shared" si="19"/>
        <v>0.91132499999999994</v>
      </c>
      <c r="M44" s="21">
        <v>20.509099770923715</v>
      </c>
      <c r="N44" s="22">
        <v>20.470345534083226</v>
      </c>
      <c r="O44" s="22">
        <f t="shared" si="20"/>
        <v>20.48972265250347</v>
      </c>
      <c r="P44" s="26">
        <f t="shared" si="21"/>
        <v>1.9377118420244699E-2</v>
      </c>
      <c r="Q44" s="21">
        <v>20.360585575440545</v>
      </c>
      <c r="R44" s="22">
        <v>20.32213240859716</v>
      </c>
      <c r="S44" s="22">
        <f t="shared" si="22"/>
        <v>20.341358992018854</v>
      </c>
      <c r="T44" s="26">
        <f t="shared" si="23"/>
        <v>1.9226583421692922E-2</v>
      </c>
      <c r="U44" s="23">
        <v>715.58203534862616</v>
      </c>
      <c r="V44" s="24">
        <v>715.56514789055575</v>
      </c>
      <c r="W44" s="25">
        <f t="shared" si="24"/>
        <v>715.57359161959096</v>
      </c>
      <c r="X44" s="21">
        <v>20.605165812581856</v>
      </c>
      <c r="Y44" s="22">
        <v>20.566302168145324</v>
      </c>
      <c r="Z44" s="22">
        <f t="shared" si="25"/>
        <v>20.58573399036359</v>
      </c>
      <c r="AA44" s="26">
        <f t="shared" si="26"/>
        <v>1.9431822218265893E-2</v>
      </c>
      <c r="AB44" s="21">
        <v>20.453324263251844</v>
      </c>
      <c r="AC44" s="22">
        <v>20.414770241309153</v>
      </c>
      <c r="AD44" s="22">
        <f t="shared" si="27"/>
        <v>20.4340472522805</v>
      </c>
      <c r="AE44" s="26">
        <f t="shared" si="28"/>
        <v>1.9277010971345376E-2</v>
      </c>
      <c r="AF44" s="21">
        <f t="shared" si="29"/>
        <v>20.509890621322043</v>
      </c>
      <c r="AG44" s="26">
        <f t="shared" si="30"/>
        <v>9.0383007701875143E-2</v>
      </c>
    </row>
    <row r="45" spans="1:33">
      <c r="A45" s="49" t="s">
        <v>356</v>
      </c>
      <c r="B45" s="113">
        <v>500</v>
      </c>
      <c r="C45" s="49"/>
      <c r="D45" s="50"/>
      <c r="E45" s="57">
        <v>0.93781000000000003</v>
      </c>
      <c r="F45" s="58">
        <v>8.0000000000000007E-5</v>
      </c>
      <c r="G45" s="21"/>
      <c r="H45" s="26"/>
      <c r="I45" s="98">
        <v>0.90858000000000005</v>
      </c>
      <c r="J45" s="51">
        <v>7.499999999999174E-5</v>
      </c>
      <c r="K45" s="106">
        <f t="shared" si="18"/>
        <v>0.90850500000000012</v>
      </c>
      <c r="L45" s="106">
        <f t="shared" si="19"/>
        <v>0.90865499999999999</v>
      </c>
      <c r="M45" s="21">
        <v>20.007703115045658</v>
      </c>
      <c r="N45" s="22">
        <v>19.968439735760878</v>
      </c>
      <c r="O45" s="22">
        <f t="shared" si="20"/>
        <v>19.98807142540327</v>
      </c>
      <c r="P45" s="26">
        <f t="shared" si="21"/>
        <v>1.9631689642389816E-2</v>
      </c>
      <c r="Q45" s="21">
        <v>19.896135938981757</v>
      </c>
      <c r="R45" s="22">
        <v>19.857112698804357</v>
      </c>
      <c r="S45" s="22">
        <f t="shared" si="22"/>
        <v>19.876624318893057</v>
      </c>
      <c r="T45" s="26">
        <f t="shared" si="23"/>
        <v>1.9511620088699999E-2</v>
      </c>
      <c r="U45" s="23">
        <v>509.65940020664709</v>
      </c>
      <c r="V45" s="24">
        <v>509.64845421452952</v>
      </c>
      <c r="W45" s="25">
        <f t="shared" si="24"/>
        <v>509.65392721058834</v>
      </c>
      <c r="X45" s="21">
        <v>20.063301718224935</v>
      </c>
      <c r="Y45" s="22">
        <v>20.023973796841837</v>
      </c>
      <c r="Z45" s="22">
        <f t="shared" si="25"/>
        <v>20.043637757533386</v>
      </c>
      <c r="AA45" s="26">
        <f t="shared" si="26"/>
        <v>1.9663960691548965E-2</v>
      </c>
      <c r="AB45" s="21">
        <v>19.949779940567957</v>
      </c>
      <c r="AC45" s="22">
        <v>19.910697127798159</v>
      </c>
      <c r="AD45" s="22">
        <f t="shared" si="27"/>
        <v>19.930238534183058</v>
      </c>
      <c r="AE45" s="26">
        <f t="shared" si="28"/>
        <v>1.9541406384899318E-2</v>
      </c>
      <c r="AF45" s="21">
        <f t="shared" si="29"/>
        <v>19.986938145858222</v>
      </c>
      <c r="AG45" s="26">
        <f t="shared" si="30"/>
        <v>6.9273515101647767E-2</v>
      </c>
    </row>
    <row r="46" spans="1:33">
      <c r="A46" s="49" t="s">
        <v>357</v>
      </c>
      <c r="B46" s="113">
        <v>306</v>
      </c>
      <c r="C46" s="49"/>
      <c r="D46" s="50"/>
      <c r="E46" s="57">
        <v>0.93579999999999997</v>
      </c>
      <c r="F46" s="58">
        <v>9.0000000000000006E-5</v>
      </c>
      <c r="G46" s="21"/>
      <c r="H46" s="26"/>
      <c r="I46" s="98">
        <v>0.90641000000000005</v>
      </c>
      <c r="J46" s="51">
        <v>7.499999999999174E-5</v>
      </c>
      <c r="K46" s="106">
        <f t="shared" si="18"/>
        <v>0.90633500000000011</v>
      </c>
      <c r="L46" s="106">
        <f t="shared" si="19"/>
        <v>0.90648499999999999</v>
      </c>
      <c r="M46" s="21">
        <v>19.557079036381186</v>
      </c>
      <c r="N46" s="22">
        <v>19.517346187860831</v>
      </c>
      <c r="O46" s="22">
        <f t="shared" si="20"/>
        <v>19.53721261212101</v>
      </c>
      <c r="P46" s="26">
        <f t="shared" si="21"/>
        <v>1.9866424260177595E-2</v>
      </c>
      <c r="Q46" s="21">
        <v>19.478234633228308</v>
      </c>
      <c r="R46" s="22">
        <v>19.438693080236696</v>
      </c>
      <c r="S46" s="22">
        <f t="shared" si="22"/>
        <v>19.4584638567325</v>
      </c>
      <c r="T46" s="26">
        <f t="shared" si="23"/>
        <v>1.977077649580572E-2</v>
      </c>
      <c r="U46" s="23">
        <v>311.33876273654931</v>
      </c>
      <c r="V46" s="24">
        <v>311.33246111317135</v>
      </c>
      <c r="W46" s="25">
        <f t="shared" si="24"/>
        <v>311.33561192486036</v>
      </c>
      <c r="X46" s="21">
        <v>19.581647218282864</v>
      </c>
      <c r="Y46" s="22">
        <v>19.541886796633893</v>
      </c>
      <c r="Z46" s="22">
        <f t="shared" si="25"/>
        <v>19.561767007458378</v>
      </c>
      <c r="AA46" s="26">
        <f t="shared" si="26"/>
        <v>1.9880210824485545E-2</v>
      </c>
      <c r="AB46" s="21">
        <v>19.501950095230512</v>
      </c>
      <c r="AC46" s="22">
        <v>19.462383035025351</v>
      </c>
      <c r="AD46" s="22">
        <f t="shared" si="27"/>
        <v>19.482166565127933</v>
      </c>
      <c r="AE46" s="26">
        <f t="shared" si="28"/>
        <v>1.9783530102580826E-2</v>
      </c>
      <c r="AF46" s="21">
        <f t="shared" si="29"/>
        <v>19.521966786293156</v>
      </c>
      <c r="AG46" s="26">
        <f t="shared" si="30"/>
        <v>5.134670424572628E-2</v>
      </c>
    </row>
    <row r="47" spans="1:33">
      <c r="A47" s="49" t="s">
        <v>358</v>
      </c>
      <c r="B47" s="113">
        <v>300</v>
      </c>
      <c r="C47" s="49"/>
      <c r="D47" s="50"/>
      <c r="E47" s="57">
        <v>0.93845000000000001</v>
      </c>
      <c r="F47" s="58">
        <v>9.0000000000000006E-5</v>
      </c>
      <c r="G47" s="21"/>
      <c r="H47" s="26"/>
      <c r="I47" s="98">
        <v>0.90761999999999998</v>
      </c>
      <c r="J47" s="51">
        <v>7.9999999999968985E-5</v>
      </c>
      <c r="K47" s="106">
        <f t="shared" si="18"/>
        <v>0.90754000000000001</v>
      </c>
      <c r="L47" s="106">
        <f t="shared" si="19"/>
        <v>0.90769999999999995</v>
      </c>
      <c r="M47" s="21">
        <v>19.211517037695732</v>
      </c>
      <c r="N47" s="22">
        <v>19.169406705858876</v>
      </c>
      <c r="O47" s="22">
        <f t="shared" si="20"/>
        <v>19.190461871777302</v>
      </c>
      <c r="P47" s="26">
        <f t="shared" si="21"/>
        <v>2.1055165918427932E-2</v>
      </c>
      <c r="Q47" s="21">
        <v>19.135146464309567</v>
      </c>
      <c r="R47" s="22">
        <v>19.093239536762368</v>
      </c>
      <c r="S47" s="22">
        <f t="shared" si="22"/>
        <v>19.11419300053597</v>
      </c>
      <c r="T47" s="26">
        <f t="shared" si="23"/>
        <v>2.0953463773599523E-2</v>
      </c>
      <c r="U47" s="23">
        <v>305.174944355972</v>
      </c>
      <c r="V47" s="24">
        <v>305.16832098325574</v>
      </c>
      <c r="W47" s="25">
        <f t="shared" si="24"/>
        <v>305.17163266961387</v>
      </c>
      <c r="X47" s="21">
        <v>19.235017854538068</v>
      </c>
      <c r="Y47" s="22">
        <v>19.192879025676163</v>
      </c>
      <c r="Z47" s="22">
        <f t="shared" si="25"/>
        <v>19.213948440107117</v>
      </c>
      <c r="AA47" s="26">
        <f t="shared" si="26"/>
        <v>2.1069414430952449E-2</v>
      </c>
      <c r="AB47" s="21">
        <v>19.157841679354505</v>
      </c>
      <c r="AC47" s="22">
        <v>19.115908358290397</v>
      </c>
      <c r="AD47" s="22">
        <f t="shared" si="27"/>
        <v>19.136875018822451</v>
      </c>
      <c r="AE47" s="26">
        <f t="shared" si="28"/>
        <v>2.0966660532053538E-2</v>
      </c>
      <c r="AF47" s="21">
        <f t="shared" si="29"/>
        <v>19.175411729464784</v>
      </c>
      <c r="AG47" s="26">
        <f t="shared" si="30"/>
        <v>5.0686469020119369E-2</v>
      </c>
    </row>
    <row r="48" spans="1:33">
      <c r="A48" s="49" t="s">
        <v>359</v>
      </c>
      <c r="B48" s="113">
        <v>2500</v>
      </c>
      <c r="C48" s="49"/>
      <c r="D48" s="50"/>
      <c r="E48" s="57">
        <v>0.94799527800000005</v>
      </c>
      <c r="F48" s="58">
        <v>1.2772599999999999E-4</v>
      </c>
      <c r="G48" s="21"/>
      <c r="H48" s="26"/>
      <c r="I48" s="98">
        <v>0.91596</v>
      </c>
      <c r="J48" s="51">
        <v>1.2000000000000899E-4</v>
      </c>
      <c r="K48" s="106">
        <f t="shared" si="18"/>
        <v>0.91583999999999999</v>
      </c>
      <c r="L48" s="106">
        <f t="shared" si="19"/>
        <v>0.91608000000000001</v>
      </c>
      <c r="M48" s="21">
        <v>30.988489921801012</v>
      </c>
      <c r="N48" s="22">
        <v>30.926639225870741</v>
      </c>
      <c r="O48" s="22">
        <f t="shared" si="20"/>
        <v>30.957564573835874</v>
      </c>
      <c r="P48" s="26">
        <f t="shared" si="21"/>
        <v>3.0925347965135686E-2</v>
      </c>
      <c r="Q48" s="21">
        <v>30.460233357127237</v>
      </c>
      <c r="R48" s="22">
        <v>30.399846135985172</v>
      </c>
      <c r="S48" s="22">
        <f t="shared" si="22"/>
        <v>30.430039746556204</v>
      </c>
      <c r="T48" s="26">
        <f t="shared" si="23"/>
        <v>3.0193610571032536E-2</v>
      </c>
      <c r="U48" s="23">
        <v>2660.9619172945304</v>
      </c>
      <c r="V48" s="24">
        <v>2660.7987351915349</v>
      </c>
      <c r="W48" s="25">
        <f t="shared" si="24"/>
        <v>2660.8803262430329</v>
      </c>
      <c r="X48" s="21">
        <v>32.048192474361265</v>
      </c>
      <c r="Y48" s="22">
        <v>31.985129675071494</v>
      </c>
      <c r="Z48" s="22">
        <f t="shared" si="25"/>
        <v>32.016661074716382</v>
      </c>
      <c r="AA48" s="26">
        <f t="shared" si="26"/>
        <v>3.1531399644885383E-2</v>
      </c>
      <c r="AB48" s="21">
        <v>31.48452799841726</v>
      </c>
      <c r="AC48" s="22">
        <v>31.423054583209392</v>
      </c>
      <c r="AD48" s="22">
        <f t="shared" si="27"/>
        <v>31.453791290813328</v>
      </c>
      <c r="AE48" s="26">
        <f t="shared" si="28"/>
        <v>3.0736707603933766E-2</v>
      </c>
      <c r="AF48" s="21">
        <f t="shared" si="29"/>
        <v>31.735226182764855</v>
      </c>
      <c r="AG48" s="26">
        <f t="shared" si="30"/>
        <v>0.32695582899777187</v>
      </c>
    </row>
    <row r="49" spans="1:33">
      <c r="A49" s="49" t="s">
        <v>360</v>
      </c>
      <c r="B49" s="113">
        <v>2300</v>
      </c>
      <c r="C49" s="49"/>
      <c r="D49" s="50"/>
      <c r="E49" s="57">
        <v>0.94546257</v>
      </c>
      <c r="F49" s="58">
        <v>1.09577E-4</v>
      </c>
      <c r="G49" s="21"/>
      <c r="H49" s="26"/>
      <c r="I49" s="98">
        <v>0.91273000000000004</v>
      </c>
      <c r="J49" s="51">
        <v>8.0000000000024496E-5</v>
      </c>
      <c r="K49" s="106">
        <f t="shared" si="18"/>
        <v>0.91264999999999996</v>
      </c>
      <c r="L49" s="106">
        <f t="shared" si="19"/>
        <v>0.91281000000000012</v>
      </c>
      <c r="M49" s="21">
        <v>30.500388236508471</v>
      </c>
      <c r="N49" s="22">
        <v>30.458545522300433</v>
      </c>
      <c r="O49" s="22">
        <f t="shared" si="20"/>
        <v>30.479466879404452</v>
      </c>
      <c r="P49" s="26">
        <f t="shared" si="21"/>
        <v>2.0921357104018767E-2</v>
      </c>
      <c r="Q49" s="21">
        <v>29.998054101828174</v>
      </c>
      <c r="R49" s="22">
        <v>29.957118318039576</v>
      </c>
      <c r="S49" s="22">
        <f t="shared" si="22"/>
        <v>29.977586209933875</v>
      </c>
      <c r="T49" s="26">
        <f t="shared" si="23"/>
        <v>2.0467891894298873E-2</v>
      </c>
      <c r="U49" s="23">
        <v>2437.3321720952304</v>
      </c>
      <c r="V49" s="24">
        <v>2437.2359894598417</v>
      </c>
      <c r="W49" s="25">
        <f t="shared" si="24"/>
        <v>2437.284080777536</v>
      </c>
      <c r="X49" s="21">
        <v>31.405154867865363</v>
      </c>
      <c r="Y49" s="22">
        <v>31.362598861564102</v>
      </c>
      <c r="Z49" s="22">
        <f t="shared" si="25"/>
        <v>31.383876864714733</v>
      </c>
      <c r="AA49" s="26">
        <f t="shared" si="26"/>
        <v>2.1278003150630553E-2</v>
      </c>
      <c r="AB49" s="21">
        <v>30.871621721414279</v>
      </c>
      <c r="AC49" s="22">
        <v>30.83004608667791</v>
      </c>
      <c r="AD49" s="22">
        <f t="shared" si="27"/>
        <v>30.850833904046095</v>
      </c>
      <c r="AE49" s="26">
        <f t="shared" si="28"/>
        <v>2.0787817368184136E-2</v>
      </c>
      <c r="AF49" s="21">
        <f t="shared" si="29"/>
        <v>31.117355384380414</v>
      </c>
      <c r="AG49" s="26">
        <f t="shared" si="30"/>
        <v>0.30870944886543916</v>
      </c>
    </row>
    <row r="50" spans="1:33">
      <c r="A50" s="49" t="s">
        <v>361</v>
      </c>
      <c r="B50" s="113">
        <v>2100</v>
      </c>
      <c r="C50" s="49"/>
      <c r="D50" s="50"/>
      <c r="E50" s="57">
        <v>0.94324023800000001</v>
      </c>
      <c r="F50" s="58">
        <v>1.07359E-4</v>
      </c>
      <c r="G50" s="21"/>
      <c r="H50" s="26"/>
      <c r="I50" s="98">
        <v>0.90959000000000001</v>
      </c>
      <c r="J50" s="51">
        <v>1.2000000000000899E-4</v>
      </c>
      <c r="K50" s="106">
        <f t="shared" si="18"/>
        <v>0.90947</v>
      </c>
      <c r="L50" s="106">
        <f t="shared" si="19"/>
        <v>0.90971000000000002</v>
      </c>
      <c r="M50" s="21">
        <v>30.021003926975382</v>
      </c>
      <c r="N50" s="22">
        <v>29.957344870875538</v>
      </c>
      <c r="O50" s="22">
        <f t="shared" si="20"/>
        <v>29.98917439892546</v>
      </c>
      <c r="P50" s="26">
        <f t="shared" si="21"/>
        <v>3.1829528049922118E-2</v>
      </c>
      <c r="Q50" s="21">
        <v>29.547471486280848</v>
      </c>
      <c r="R50" s="22">
        <v>29.485066403468139</v>
      </c>
      <c r="S50" s="22">
        <f t="shared" si="22"/>
        <v>29.516268944874493</v>
      </c>
      <c r="T50" s="26">
        <f t="shared" si="23"/>
        <v>3.1202541406354811E-2</v>
      </c>
      <c r="U50" s="23">
        <v>2215.7429949842622</v>
      </c>
      <c r="V50" s="24">
        <v>2215.6170053565866</v>
      </c>
      <c r="W50" s="25">
        <f t="shared" si="24"/>
        <v>2215.6800001704241</v>
      </c>
      <c r="X50" s="21">
        <v>30.783834661332044</v>
      </c>
      <c r="Y50" s="22">
        <v>30.719243338387464</v>
      </c>
      <c r="Z50" s="22">
        <f t="shared" si="25"/>
        <v>30.751538999859754</v>
      </c>
      <c r="AA50" s="26">
        <f t="shared" si="26"/>
        <v>3.2295661472289794E-2</v>
      </c>
      <c r="AB50" s="21">
        <v>30.283182201675999</v>
      </c>
      <c r="AC50" s="22">
        <v>30.219939981568665</v>
      </c>
      <c r="AD50" s="22">
        <f t="shared" si="27"/>
        <v>30.251561091622332</v>
      </c>
      <c r="AE50" s="26">
        <f t="shared" si="28"/>
        <v>3.1621110053666968E-2</v>
      </c>
      <c r="AF50" s="21">
        <f t="shared" si="29"/>
        <v>30.501550045741041</v>
      </c>
      <c r="AG50" s="26">
        <f t="shared" si="30"/>
        <v>0.29101186540952023</v>
      </c>
    </row>
    <row r="51" spans="1:33">
      <c r="A51" s="49" t="s">
        <v>362</v>
      </c>
      <c r="B51" s="113">
        <v>1900</v>
      </c>
      <c r="C51" s="49"/>
      <c r="D51" s="50"/>
      <c r="E51" s="57">
        <v>0.94015232000000004</v>
      </c>
      <c r="F51" s="58">
        <v>1.14183E-4</v>
      </c>
      <c r="G51" s="21"/>
      <c r="H51" s="26"/>
      <c r="I51" s="98">
        <v>0.90713999999999995</v>
      </c>
      <c r="J51" s="51">
        <v>3.9999999999984492E-5</v>
      </c>
      <c r="K51" s="106">
        <f t="shared" si="18"/>
        <v>0.90710000000000002</v>
      </c>
      <c r="L51" s="106">
        <f t="shared" si="19"/>
        <v>0.90717999999999988</v>
      </c>
      <c r="M51" s="21">
        <v>29.335961529910776</v>
      </c>
      <c r="N51" s="22">
        <v>29.314519105345347</v>
      </c>
      <c r="O51" s="22">
        <f t="shared" si="20"/>
        <v>29.325240317628062</v>
      </c>
      <c r="P51" s="26">
        <f t="shared" si="21"/>
        <v>1.0721212282714276E-2</v>
      </c>
      <c r="Q51" s="21">
        <v>28.897937254780025</v>
      </c>
      <c r="R51" s="22">
        <v>28.876876110998985</v>
      </c>
      <c r="S51" s="22">
        <f t="shared" si="22"/>
        <v>28.887406682889505</v>
      </c>
      <c r="T51" s="26">
        <f t="shared" si="23"/>
        <v>1.053057189051998E-2</v>
      </c>
      <c r="U51" s="23">
        <v>1995.7894503147918</v>
      </c>
      <c r="V51" s="24">
        <v>1995.7532677025963</v>
      </c>
      <c r="W51" s="25">
        <f t="shared" si="24"/>
        <v>1995.7713590086942</v>
      </c>
      <c r="X51" s="21">
        <v>29.96695492104989</v>
      </c>
      <c r="Y51" s="22">
        <v>29.945245878266782</v>
      </c>
      <c r="Z51" s="22">
        <f t="shared" si="25"/>
        <v>29.956100399658336</v>
      </c>
      <c r="AA51" s="26">
        <f t="shared" si="26"/>
        <v>1.0854521391554073E-2</v>
      </c>
      <c r="AB51" s="21">
        <v>29.505996450877049</v>
      </c>
      <c r="AC51" s="22">
        <v>29.484695528096267</v>
      </c>
      <c r="AD51" s="22">
        <f t="shared" si="27"/>
        <v>29.495345989486658</v>
      </c>
      <c r="AE51" s="26">
        <f t="shared" si="28"/>
        <v>1.0650461390390831E-2</v>
      </c>
      <c r="AF51" s="21">
        <f t="shared" si="29"/>
        <v>29.725723194572495</v>
      </c>
      <c r="AG51" s="26">
        <f t="shared" si="30"/>
        <v>0.2663062975958238</v>
      </c>
    </row>
    <row r="52" spans="1:33">
      <c r="A52" s="49" t="s">
        <v>363</v>
      </c>
      <c r="B52" s="113">
        <v>1900</v>
      </c>
      <c r="C52" s="49"/>
      <c r="D52" s="50"/>
      <c r="E52" s="57">
        <v>0.94818429199999998</v>
      </c>
      <c r="F52" s="58">
        <v>9.7899999999999994E-5</v>
      </c>
      <c r="G52" s="21"/>
      <c r="H52" s="26"/>
      <c r="I52" s="98">
        <v>0.9173</v>
      </c>
      <c r="J52" s="51">
        <v>7.9999999999968985E-5</v>
      </c>
      <c r="K52" s="106">
        <f t="shared" si="18"/>
        <v>0.91722000000000004</v>
      </c>
      <c r="L52" s="106">
        <f t="shared" si="19"/>
        <v>0.91737999999999997</v>
      </c>
      <c r="M52" s="21">
        <v>26.654857355609973</v>
      </c>
      <c r="N52" s="22">
        <v>26.654857355609973</v>
      </c>
      <c r="O52" s="22">
        <f t="shared" si="20"/>
        <v>26.654857355609973</v>
      </c>
      <c r="P52" s="26">
        <f t="shared" si="21"/>
        <v>0</v>
      </c>
      <c r="Q52" s="21">
        <v>26.265485967106407</v>
      </c>
      <c r="R52" s="22">
        <v>26.265485967106407</v>
      </c>
      <c r="S52" s="22">
        <f t="shared" si="22"/>
        <v>26.265485967106407</v>
      </c>
      <c r="T52" s="26">
        <f t="shared" si="23"/>
        <v>0</v>
      </c>
      <c r="U52" s="23">
        <v>1991.0989754149971</v>
      </c>
      <c r="V52" s="24">
        <v>1991.0989754149971</v>
      </c>
      <c r="W52" s="25">
        <f t="shared" si="24"/>
        <v>1991.0989754149971</v>
      </c>
      <c r="X52" s="21">
        <v>27.251611706331364</v>
      </c>
      <c r="Y52" s="22">
        <v>27.251611706331364</v>
      </c>
      <c r="Z52" s="22">
        <f t="shared" si="25"/>
        <v>27.251611706331364</v>
      </c>
      <c r="AA52" s="26">
        <f t="shared" si="26"/>
        <v>0</v>
      </c>
      <c r="AB52" s="21">
        <v>26.842621163281464</v>
      </c>
      <c r="AC52" s="22">
        <v>26.842621163281464</v>
      </c>
      <c r="AD52" s="22">
        <f t="shared" si="27"/>
        <v>26.842621163281464</v>
      </c>
      <c r="AE52" s="26">
        <f t="shared" si="28"/>
        <v>0</v>
      </c>
      <c r="AF52" s="21">
        <f t="shared" si="29"/>
        <v>27.047116434806416</v>
      </c>
      <c r="AG52" s="26">
        <f t="shared" si="30"/>
        <v>0.23613080012587068</v>
      </c>
    </row>
    <row r="53" spans="1:33">
      <c r="A53" s="49" t="s">
        <v>364</v>
      </c>
      <c r="B53" s="113">
        <v>1700</v>
      </c>
      <c r="C53" s="49"/>
      <c r="D53" s="50"/>
      <c r="E53" s="57">
        <v>0.93801224500000002</v>
      </c>
      <c r="F53" s="58">
        <v>1.09326E-4</v>
      </c>
      <c r="G53" s="21"/>
      <c r="H53" s="26"/>
      <c r="I53" s="98">
        <v>0.90459999999999996</v>
      </c>
      <c r="J53" s="51">
        <v>1.1499999999997623E-4</v>
      </c>
      <c r="K53" s="106">
        <f t="shared" si="18"/>
        <v>0.90448499999999998</v>
      </c>
      <c r="L53" s="106">
        <f t="shared" si="19"/>
        <v>0.90471499999999994</v>
      </c>
      <c r="M53" s="21">
        <v>28.724874327257481</v>
      </c>
      <c r="N53" s="22">
        <v>28.662549218641299</v>
      </c>
      <c r="O53" s="22">
        <f t="shared" si="20"/>
        <v>28.693711772949392</v>
      </c>
      <c r="P53" s="26">
        <f t="shared" si="21"/>
        <v>3.1162554308091117E-2</v>
      </c>
      <c r="Q53" s="21">
        <v>28.323403053422584</v>
      </c>
      <c r="R53" s="22">
        <v>28.262066784756442</v>
      </c>
      <c r="S53" s="22">
        <f t="shared" si="22"/>
        <v>28.292734919089511</v>
      </c>
      <c r="T53" s="26">
        <f t="shared" si="23"/>
        <v>3.0668134333071251E-2</v>
      </c>
      <c r="U53" s="23">
        <v>1777.9987434364596</v>
      </c>
      <c r="V53" s="24">
        <v>1777.9106618236976</v>
      </c>
      <c r="W53" s="25">
        <f t="shared" si="24"/>
        <v>1777.9547026300786</v>
      </c>
      <c r="X53" s="21">
        <v>29.238115763745974</v>
      </c>
      <c r="Y53" s="22">
        <v>29.175144856278621</v>
      </c>
      <c r="Z53" s="22">
        <f t="shared" si="25"/>
        <v>29.206630310012297</v>
      </c>
      <c r="AA53" s="26">
        <f t="shared" si="26"/>
        <v>3.1485453733676394E-2</v>
      </c>
      <c r="AB53" s="21">
        <v>28.817540985917702</v>
      </c>
      <c r="AC53" s="22">
        <v>28.755623114648607</v>
      </c>
      <c r="AD53" s="22">
        <f t="shared" si="27"/>
        <v>28.786582050283155</v>
      </c>
      <c r="AE53" s="26">
        <f t="shared" si="28"/>
        <v>3.0958935634547657E-2</v>
      </c>
      <c r="AF53" s="21">
        <f t="shared" si="29"/>
        <v>28.99660618014773</v>
      </c>
      <c r="AG53" s="26">
        <f t="shared" si="30"/>
        <v>0.24518028705856451</v>
      </c>
    </row>
    <row r="54" spans="1:33">
      <c r="A54" s="49" t="s">
        <v>365</v>
      </c>
      <c r="B54" s="113">
        <v>1700</v>
      </c>
      <c r="C54" s="49"/>
      <c r="D54" s="50"/>
      <c r="E54" s="57">
        <v>0.94617538300000004</v>
      </c>
      <c r="F54" s="58">
        <v>9.9599999999999995E-5</v>
      </c>
      <c r="G54" s="21"/>
      <c r="H54" s="26"/>
      <c r="I54" s="98">
        <v>0.91437000000000002</v>
      </c>
      <c r="J54" s="51">
        <v>1.1499999999997623E-4</v>
      </c>
      <c r="K54" s="106">
        <f t="shared" si="18"/>
        <v>0.91425500000000004</v>
      </c>
      <c r="L54" s="106">
        <f t="shared" si="19"/>
        <v>0.91448499999999999</v>
      </c>
      <c r="M54" s="21">
        <v>26.144154759031245</v>
      </c>
      <c r="N54" s="22">
        <v>26.085019484105267</v>
      </c>
      <c r="O54" s="22">
        <f t="shared" si="20"/>
        <v>26.114587121568256</v>
      </c>
      <c r="P54" s="26">
        <f t="shared" si="21"/>
        <v>2.9567637462989182E-2</v>
      </c>
      <c r="Q54" s="21">
        <v>25.784516550410572</v>
      </c>
      <c r="R54" s="22">
        <v>25.726359678386657</v>
      </c>
      <c r="S54" s="22">
        <f t="shared" si="22"/>
        <v>25.755438114398615</v>
      </c>
      <c r="T54" s="26">
        <f t="shared" si="23"/>
        <v>2.9078436011957365E-2</v>
      </c>
      <c r="U54" s="23">
        <v>1774.2225020149958</v>
      </c>
      <c r="V54" s="24">
        <v>1774.1327203268884</v>
      </c>
      <c r="W54" s="25">
        <f t="shared" si="24"/>
        <v>1774.1776111709421</v>
      </c>
      <c r="X54" s="21">
        <v>26.629951076739228</v>
      </c>
      <c r="Y54" s="22">
        <v>26.570169133211188</v>
      </c>
      <c r="Z54" s="22">
        <f t="shared" si="25"/>
        <v>26.600060104975206</v>
      </c>
      <c r="AA54" s="26">
        <f t="shared" si="26"/>
        <v>2.9890971764020335E-2</v>
      </c>
      <c r="AB54" s="21">
        <v>26.253837763769415</v>
      </c>
      <c r="AC54" s="22">
        <v>26.195093675938899</v>
      </c>
      <c r="AD54" s="22">
        <f t="shared" si="27"/>
        <v>26.224465719854159</v>
      </c>
      <c r="AE54" s="26">
        <f t="shared" si="28"/>
        <v>2.9372043915257606E-2</v>
      </c>
      <c r="AF54" s="21">
        <f t="shared" si="29"/>
        <v>26.412262912414683</v>
      </c>
      <c r="AG54" s="26">
        <f t="shared" si="30"/>
        <v>0.21953247022401565</v>
      </c>
    </row>
    <row r="55" spans="1:33">
      <c r="A55" s="49" t="s">
        <v>366</v>
      </c>
      <c r="B55" s="113">
        <v>1500</v>
      </c>
      <c r="C55" s="49"/>
      <c r="D55" s="50"/>
      <c r="E55" s="57">
        <v>0.935938889</v>
      </c>
      <c r="F55" s="58">
        <v>1.02946E-4</v>
      </c>
      <c r="G55" s="21"/>
      <c r="H55" s="26"/>
      <c r="I55" s="98">
        <v>0.90276000000000001</v>
      </c>
      <c r="J55" s="51">
        <v>1.1499999999997623E-4</v>
      </c>
      <c r="K55" s="106">
        <f t="shared" si="18"/>
        <v>0.90264500000000003</v>
      </c>
      <c r="L55" s="106">
        <f t="shared" si="19"/>
        <v>0.90287499999999998</v>
      </c>
      <c r="M55" s="21">
        <v>27.911963307333796</v>
      </c>
      <c r="N55" s="22">
        <v>27.849187219259214</v>
      </c>
      <c r="O55" s="22">
        <f t="shared" si="20"/>
        <v>27.880575263296507</v>
      </c>
      <c r="P55" s="26">
        <f t="shared" si="21"/>
        <v>3.1388044037290896E-2</v>
      </c>
      <c r="Q55" s="21">
        <v>27.552304533484154</v>
      </c>
      <c r="R55" s="22">
        <v>27.490408305721378</v>
      </c>
      <c r="S55" s="22">
        <f t="shared" si="22"/>
        <v>27.521356419602768</v>
      </c>
      <c r="T55" s="26">
        <f t="shared" si="23"/>
        <v>3.0948113881388295E-2</v>
      </c>
      <c r="U55" s="23">
        <v>1561.9445082945458</v>
      </c>
      <c r="V55" s="24">
        <v>1561.8713651838648</v>
      </c>
      <c r="W55" s="25">
        <f t="shared" si="24"/>
        <v>1561.9079367392053</v>
      </c>
      <c r="X55" s="21">
        <v>28.318490137171437</v>
      </c>
      <c r="Y55" s="22">
        <v>28.255181990873524</v>
      </c>
      <c r="Z55" s="22">
        <f t="shared" si="25"/>
        <v>28.286836064022481</v>
      </c>
      <c r="AA55" s="26">
        <f t="shared" si="26"/>
        <v>3.1654073148956741E-2</v>
      </c>
      <c r="AB55" s="21">
        <v>27.9434539090073</v>
      </c>
      <c r="AC55" s="22">
        <v>27.881077583237897</v>
      </c>
      <c r="AD55" s="22">
        <f t="shared" si="27"/>
        <v>27.9122657461226</v>
      </c>
      <c r="AE55" s="26">
        <f t="shared" si="28"/>
        <v>3.1188162884701498E-2</v>
      </c>
      <c r="AF55" s="21">
        <f t="shared" si="29"/>
        <v>28.09955090507254</v>
      </c>
      <c r="AG55" s="26">
        <f t="shared" si="30"/>
        <v>0.21928086005068442</v>
      </c>
    </row>
    <row r="56" spans="1:33">
      <c r="A56" s="49" t="s">
        <v>367</v>
      </c>
      <c r="B56" s="113">
        <v>1500</v>
      </c>
      <c r="C56" s="49"/>
      <c r="D56" s="50"/>
      <c r="E56" s="57">
        <v>0.94384434699999997</v>
      </c>
      <c r="F56" s="58">
        <v>9.98E-5</v>
      </c>
      <c r="G56" s="21"/>
      <c r="H56" s="26"/>
      <c r="I56" s="98">
        <v>0.91234999999999999</v>
      </c>
      <c r="J56" s="51">
        <v>7.9999999999968985E-5</v>
      </c>
      <c r="K56" s="106">
        <f t="shared" si="18"/>
        <v>0.91227000000000003</v>
      </c>
      <c r="L56" s="106">
        <f t="shared" si="19"/>
        <v>0.91242999999999996</v>
      </c>
      <c r="M56" s="21">
        <v>25.350117679115876</v>
      </c>
      <c r="N56" s="22">
        <v>25.308640839036489</v>
      </c>
      <c r="O56" s="22">
        <f t="shared" si="20"/>
        <v>25.329379259076184</v>
      </c>
      <c r="P56" s="26">
        <f t="shared" si="21"/>
        <v>2.0738420039693395E-2</v>
      </c>
      <c r="Q56" s="21">
        <v>25.027219330339936</v>
      </c>
      <c r="R56" s="22">
        <v>24.986351051555097</v>
      </c>
      <c r="S56" s="22">
        <f t="shared" si="22"/>
        <v>25.006785190947518</v>
      </c>
      <c r="T56" s="26">
        <f t="shared" si="23"/>
        <v>2.0434139392419226E-2</v>
      </c>
      <c r="U56" s="23">
        <v>1558.8523087870324</v>
      </c>
      <c r="V56" s="24">
        <v>1558.8003458374965</v>
      </c>
      <c r="W56" s="25">
        <f t="shared" si="24"/>
        <v>1558.8263273122643</v>
      </c>
      <c r="X56" s="21">
        <v>25.734342124046513</v>
      </c>
      <c r="Y56" s="22">
        <v>25.692493747612584</v>
      </c>
      <c r="Z56" s="22">
        <f t="shared" si="25"/>
        <v>25.713417935829547</v>
      </c>
      <c r="AA56" s="26">
        <f t="shared" si="26"/>
        <v>2.0924188216964623E-2</v>
      </c>
      <c r="AB56" s="21">
        <v>25.398163496077785</v>
      </c>
      <c r="AC56" s="22">
        <v>25.356957209227701</v>
      </c>
      <c r="AD56" s="22">
        <f t="shared" si="27"/>
        <v>25.377560352652743</v>
      </c>
      <c r="AE56" s="26">
        <f t="shared" si="28"/>
        <v>2.0603143425041992E-2</v>
      </c>
      <c r="AF56" s="21">
        <f t="shared" si="29"/>
        <v>25.545489144241145</v>
      </c>
      <c r="AG56" s="26">
        <f t="shared" si="30"/>
        <v>0.19538418438248642</v>
      </c>
    </row>
    <row r="57" spans="1:33">
      <c r="A57" s="49" t="s">
        <v>368</v>
      </c>
      <c r="B57" s="113">
        <v>1300</v>
      </c>
      <c r="C57" s="49"/>
      <c r="D57" s="50"/>
      <c r="E57" s="57">
        <v>0.93352572499999997</v>
      </c>
      <c r="F57" s="58">
        <v>1.03373E-4</v>
      </c>
      <c r="G57" s="21"/>
      <c r="H57" s="26"/>
      <c r="I57" s="98">
        <v>0.90007000000000004</v>
      </c>
      <c r="J57" s="51">
        <v>1.1499999999997623E-4</v>
      </c>
      <c r="K57" s="106">
        <f t="shared" si="18"/>
        <v>0.89995500000000006</v>
      </c>
      <c r="L57" s="106">
        <f t="shared" si="19"/>
        <v>0.90018500000000001</v>
      </c>
      <c r="M57" s="21">
        <v>27.341785858640911</v>
      </c>
      <c r="N57" s="22">
        <v>27.278262312341337</v>
      </c>
      <c r="O57" s="22">
        <f t="shared" si="20"/>
        <v>27.310024085491122</v>
      </c>
      <c r="P57" s="26">
        <f t="shared" si="21"/>
        <v>3.1761773149787231E-2</v>
      </c>
      <c r="Q57" s="21">
        <v>27.022576389679273</v>
      </c>
      <c r="R57" s="22">
        <v>26.959822431998667</v>
      </c>
      <c r="S57" s="22">
        <f t="shared" si="22"/>
        <v>26.99119941083897</v>
      </c>
      <c r="T57" s="26">
        <f t="shared" si="23"/>
        <v>3.1376978840302883E-2</v>
      </c>
      <c r="U57" s="23">
        <v>1348.1335907358775</v>
      </c>
      <c r="V57" s="24">
        <v>1348.0745110595681</v>
      </c>
      <c r="W57" s="25">
        <f t="shared" si="24"/>
        <v>1348.1040508977228</v>
      </c>
      <c r="X57" s="21">
        <v>27.656401006518767</v>
      </c>
      <c r="Y57" s="22">
        <v>27.59245153150497</v>
      </c>
      <c r="Z57" s="22">
        <f t="shared" si="25"/>
        <v>27.62442626901187</v>
      </c>
      <c r="AA57" s="26">
        <f t="shared" si="26"/>
        <v>3.1974737506898165E-2</v>
      </c>
      <c r="AB57" s="21">
        <v>27.325012875933108</v>
      </c>
      <c r="AC57" s="22">
        <v>27.261874136530636</v>
      </c>
      <c r="AD57" s="22">
        <f t="shared" si="27"/>
        <v>27.293443506231874</v>
      </c>
      <c r="AE57" s="26">
        <f t="shared" si="28"/>
        <v>3.1569369701236027E-2</v>
      </c>
      <c r="AF57" s="21">
        <f t="shared" si="29"/>
        <v>27.458934887621872</v>
      </c>
      <c r="AG57" s="26">
        <f t="shared" si="30"/>
        <v>0.19458297899303864</v>
      </c>
    </row>
    <row r="58" spans="1:33">
      <c r="A58" s="49" t="s">
        <v>369</v>
      </c>
      <c r="B58" s="113">
        <v>1300</v>
      </c>
      <c r="C58" s="49"/>
      <c r="D58" s="50"/>
      <c r="E58" s="57">
        <v>0.94136195</v>
      </c>
      <c r="F58" s="58">
        <v>9.7999999999999997E-5</v>
      </c>
      <c r="G58" s="21"/>
      <c r="H58" s="26"/>
      <c r="I58" s="98">
        <v>0.90952999999999995</v>
      </c>
      <c r="J58" s="51">
        <v>1.2000000000000899E-4</v>
      </c>
      <c r="K58" s="106">
        <f t="shared" si="18"/>
        <v>0.90940999999999994</v>
      </c>
      <c r="L58" s="106">
        <f t="shared" si="19"/>
        <v>0.90964999999999996</v>
      </c>
      <c r="M58" s="21">
        <v>24.794036558713483</v>
      </c>
      <c r="N58" s="22">
        <v>24.731034625149974</v>
      </c>
      <c r="O58" s="22">
        <f t="shared" si="20"/>
        <v>24.76253559193173</v>
      </c>
      <c r="P58" s="26">
        <f t="shared" si="21"/>
        <v>3.1500966781754514E-2</v>
      </c>
      <c r="Q58" s="21">
        <v>24.506531404799894</v>
      </c>
      <c r="R58" s="22">
        <v>24.444333776584067</v>
      </c>
      <c r="S58" s="22">
        <f t="shared" si="22"/>
        <v>24.47543259069198</v>
      </c>
      <c r="T58" s="26">
        <f t="shared" si="23"/>
        <v>3.1098814107913597E-2</v>
      </c>
      <c r="U58" s="23">
        <v>1345.6779625048487</v>
      </c>
      <c r="V58" s="24">
        <v>1345.6148870291993</v>
      </c>
      <c r="W58" s="25">
        <f t="shared" si="24"/>
        <v>1345.646424767024</v>
      </c>
      <c r="X58" s="21">
        <v>25.091093285516823</v>
      </c>
      <c r="Y58" s="22">
        <v>25.027644148033886</v>
      </c>
      <c r="Z58" s="22">
        <f t="shared" si="25"/>
        <v>25.059368716775353</v>
      </c>
      <c r="AA58" s="26">
        <f t="shared" si="26"/>
        <v>3.1724568741468673E-2</v>
      </c>
      <c r="AB58" s="21">
        <v>24.793042587330614</v>
      </c>
      <c r="AC58" s="22">
        <v>24.730437654769172</v>
      </c>
      <c r="AD58" s="22">
        <f t="shared" si="27"/>
        <v>24.761740121049893</v>
      </c>
      <c r="AE58" s="26">
        <f t="shared" si="28"/>
        <v>3.1302466280720864E-2</v>
      </c>
      <c r="AF58" s="21">
        <f t="shared" si="29"/>
        <v>24.910554418912625</v>
      </c>
      <c r="AG58" s="26">
        <f t="shared" si="30"/>
        <v>0.17564677272648252</v>
      </c>
    </row>
    <row r="59" spans="1:33">
      <c r="A59" s="49" t="s">
        <v>370</v>
      </c>
      <c r="B59" s="113">
        <v>1100</v>
      </c>
      <c r="C59" s="49"/>
      <c r="D59" s="50"/>
      <c r="E59" s="57">
        <v>0.93105879800000002</v>
      </c>
      <c r="F59" s="117">
        <v>9.7999999999999997E-5</v>
      </c>
      <c r="G59" s="21"/>
      <c r="H59" s="26"/>
      <c r="I59" s="98">
        <v>0.89815999999999996</v>
      </c>
      <c r="J59" s="51">
        <v>1.1499999999997623E-4</v>
      </c>
      <c r="K59" s="106">
        <f t="shared" si="18"/>
        <v>0.89804499999999998</v>
      </c>
      <c r="L59" s="106">
        <f t="shared" si="19"/>
        <v>0.89827499999999993</v>
      </c>
      <c r="M59" s="21">
        <v>26.570216036540604</v>
      </c>
      <c r="N59" s="22">
        <v>26.506198350851903</v>
      </c>
      <c r="O59" s="22">
        <f t="shared" si="20"/>
        <v>26.538207193696252</v>
      </c>
      <c r="P59" s="26">
        <f t="shared" si="21"/>
        <v>3.2008842844350127E-2</v>
      </c>
      <c r="Q59" s="21">
        <v>26.295836208598153</v>
      </c>
      <c r="R59" s="22">
        <v>26.232477764002521</v>
      </c>
      <c r="S59" s="22">
        <f t="shared" si="22"/>
        <v>26.264156986300335</v>
      </c>
      <c r="T59" s="26">
        <f t="shared" si="23"/>
        <v>3.1679222297816167E-2</v>
      </c>
      <c r="U59" s="23">
        <v>1136.0315697434116</v>
      </c>
      <c r="V59" s="24">
        <v>1135.9853167436931</v>
      </c>
      <c r="W59" s="25">
        <f t="shared" si="24"/>
        <v>1136.0084432435524</v>
      </c>
      <c r="X59" s="21">
        <v>26.803891718498594</v>
      </c>
      <c r="Y59" s="22">
        <v>26.739545560093234</v>
      </c>
      <c r="Z59" s="22">
        <f t="shared" si="25"/>
        <v>26.771718639295912</v>
      </c>
      <c r="AA59" s="26">
        <f t="shared" si="26"/>
        <v>3.2173079202680199E-2</v>
      </c>
      <c r="AB59" s="21">
        <v>26.520327481215869</v>
      </c>
      <c r="AC59" s="22">
        <v>26.456671764043051</v>
      </c>
      <c r="AD59" s="22">
        <f t="shared" si="27"/>
        <v>26.488499622629462</v>
      </c>
      <c r="AE59" s="26">
        <f t="shared" si="28"/>
        <v>3.1827858586408908E-2</v>
      </c>
      <c r="AF59" s="21">
        <f t="shared" si="29"/>
        <v>26.630109130962687</v>
      </c>
      <c r="AG59" s="26">
        <f t="shared" si="30"/>
        <v>0.1676397433155096</v>
      </c>
    </row>
    <row r="60" spans="1:33">
      <c r="A60" s="49" t="s">
        <v>371</v>
      </c>
      <c r="B60" s="113">
        <v>1100</v>
      </c>
      <c r="C60" s="49"/>
      <c r="D60" s="50"/>
      <c r="E60" s="57">
        <v>0.93880118300000004</v>
      </c>
      <c r="F60" s="58">
        <v>9.6799999999999995E-5</v>
      </c>
      <c r="G60" s="21"/>
      <c r="H60" s="26"/>
      <c r="I60" s="98">
        <v>0.90739000000000003</v>
      </c>
      <c r="J60" s="51">
        <v>7.5000000000047251E-5</v>
      </c>
      <c r="K60" s="106">
        <f t="shared" si="18"/>
        <v>0.90731499999999998</v>
      </c>
      <c r="L60" s="106">
        <f t="shared" si="19"/>
        <v>0.90746500000000008</v>
      </c>
      <c r="M60" s="21">
        <v>24.051617782878679</v>
      </c>
      <c r="N60" s="22">
        <v>24.011885236903073</v>
      </c>
      <c r="O60" s="22">
        <f t="shared" si="20"/>
        <v>24.031751509890874</v>
      </c>
      <c r="P60" s="26">
        <f t="shared" si="21"/>
        <v>1.9866272987803413E-2</v>
      </c>
      <c r="Q60" s="21">
        <v>23.803972281498925</v>
      </c>
      <c r="R60" s="22">
        <v>23.764673734105482</v>
      </c>
      <c r="S60" s="22">
        <f t="shared" si="22"/>
        <v>23.784323007802204</v>
      </c>
      <c r="T60" s="26">
        <f t="shared" si="23"/>
        <v>1.9649273696721536E-2</v>
      </c>
      <c r="U60" s="23">
        <v>1134.1450124364337</v>
      </c>
      <c r="V60" s="24">
        <v>1134.1140954489174</v>
      </c>
      <c r="W60" s="25">
        <f t="shared" si="24"/>
        <v>1134.1295539426756</v>
      </c>
      <c r="X60" s="21">
        <v>24.271999694759796</v>
      </c>
      <c r="Y60" s="22">
        <v>24.232051011250697</v>
      </c>
      <c r="Z60" s="22">
        <f t="shared" si="25"/>
        <v>24.252025353005244</v>
      </c>
      <c r="AA60" s="26">
        <f t="shared" si="26"/>
        <v>1.9974341754549485E-2</v>
      </c>
      <c r="AB60" s="21">
        <v>24.016385181863143</v>
      </c>
      <c r="AC60" s="22">
        <v>23.976889454268914</v>
      </c>
      <c r="AD60" s="22">
        <f t="shared" si="27"/>
        <v>23.996637318066028</v>
      </c>
      <c r="AE60" s="26">
        <f t="shared" si="28"/>
        <v>1.9747863797114462E-2</v>
      </c>
      <c r="AF60" s="21">
        <f t="shared" si="29"/>
        <v>24.124331335535636</v>
      </c>
      <c r="AG60" s="26">
        <f t="shared" si="30"/>
        <v>0.149221259986939</v>
      </c>
    </row>
    <row r="61" spans="1:33">
      <c r="A61" s="49" t="s">
        <v>372</v>
      </c>
      <c r="B61" s="113">
        <v>900</v>
      </c>
      <c r="C61" s="49"/>
      <c r="D61" s="50"/>
      <c r="E61" s="57">
        <v>0.92869087100000003</v>
      </c>
      <c r="F61" s="58">
        <v>9.8300000000000004E-5</v>
      </c>
      <c r="G61" s="21"/>
      <c r="H61" s="26"/>
      <c r="I61" s="98">
        <v>0.89534000000000002</v>
      </c>
      <c r="J61" s="51">
        <v>1.1499999999997623E-4</v>
      </c>
      <c r="K61" s="106">
        <f t="shared" si="18"/>
        <v>0.89522500000000005</v>
      </c>
      <c r="L61" s="106">
        <f t="shared" si="19"/>
        <v>0.895455</v>
      </c>
      <c r="M61" s="21">
        <v>26.073118977580073</v>
      </c>
      <c r="N61" s="22">
        <v>26.008275742394588</v>
      </c>
      <c r="O61" s="22">
        <f t="shared" si="20"/>
        <v>26.04069735998733</v>
      </c>
      <c r="P61" s="26">
        <f t="shared" si="21"/>
        <v>3.2421617592742535E-2</v>
      </c>
      <c r="Q61" s="21">
        <v>25.842495119206482</v>
      </c>
      <c r="R61" s="22">
        <v>25.778199676603627</v>
      </c>
      <c r="S61" s="22">
        <f t="shared" si="22"/>
        <v>25.810347397905055</v>
      </c>
      <c r="T61" s="26">
        <f t="shared" si="23"/>
        <v>3.2147721301427623E-2</v>
      </c>
      <c r="U61" s="23">
        <v>925.95835554483881</v>
      </c>
      <c r="V61" s="24">
        <v>925.92376992966649</v>
      </c>
      <c r="W61" s="25">
        <f t="shared" si="24"/>
        <v>925.94106273725265</v>
      </c>
      <c r="X61" s="21">
        <v>26.239124355518562</v>
      </c>
      <c r="Y61" s="22">
        <v>26.174041037713387</v>
      </c>
      <c r="Z61" s="22">
        <f t="shared" si="25"/>
        <v>26.206582696615975</v>
      </c>
      <c r="AA61" s="26">
        <f t="shared" si="26"/>
        <v>3.2541658902587756E-2</v>
      </c>
      <c r="AB61" s="21">
        <v>26.001833597921987</v>
      </c>
      <c r="AC61" s="22">
        <v>25.937320664739747</v>
      </c>
      <c r="AD61" s="22">
        <f t="shared" si="27"/>
        <v>25.969577131330865</v>
      </c>
      <c r="AE61" s="26">
        <f t="shared" si="28"/>
        <v>3.2256466591119803E-2</v>
      </c>
      <c r="AF61" s="21">
        <f t="shared" si="29"/>
        <v>26.08807991397342</v>
      </c>
      <c r="AG61" s="26">
        <f t="shared" si="30"/>
        <v>0.14185734192991933</v>
      </c>
    </row>
    <row r="62" spans="1:33">
      <c r="A62" s="49" t="s">
        <v>373</v>
      </c>
      <c r="B62" s="113">
        <v>900</v>
      </c>
      <c r="C62" s="49"/>
      <c r="D62" s="50"/>
      <c r="E62" s="57">
        <v>0.93634471500000005</v>
      </c>
      <c r="F62" s="58">
        <v>9.4400000000000004E-5</v>
      </c>
      <c r="G62" s="21"/>
      <c r="H62" s="26"/>
      <c r="I62" s="98">
        <v>0.90441000000000005</v>
      </c>
      <c r="J62" s="51">
        <v>8.0000000000024496E-5</v>
      </c>
      <c r="K62" s="106">
        <f t="shared" si="18"/>
        <v>0.90433000000000008</v>
      </c>
      <c r="L62" s="106">
        <f t="shared" si="19"/>
        <v>0.90449000000000002</v>
      </c>
      <c r="M62" s="21">
        <v>23.566329158635202</v>
      </c>
      <c r="N62" s="22">
        <v>23.523363580949095</v>
      </c>
      <c r="O62" s="22">
        <f t="shared" si="20"/>
        <v>23.544846369792147</v>
      </c>
      <c r="P62" s="26">
        <f t="shared" si="21"/>
        <v>2.1482788843053768E-2</v>
      </c>
      <c r="Q62" s="21">
        <v>23.357666211203487</v>
      </c>
      <c r="R62" s="22">
        <v>23.315090147935784</v>
      </c>
      <c r="S62" s="22">
        <f t="shared" si="22"/>
        <v>23.336378179569635</v>
      </c>
      <c r="T62" s="26">
        <f t="shared" si="23"/>
        <v>2.128803163385129E-2</v>
      </c>
      <c r="U62" s="23">
        <v>924.57167266163299</v>
      </c>
      <c r="V62" s="24">
        <v>924.54697146316539</v>
      </c>
      <c r="W62" s="25">
        <f t="shared" si="24"/>
        <v>924.55932206239913</v>
      </c>
      <c r="X62" s="21">
        <v>23.722777401544356</v>
      </c>
      <c r="Y62" s="22">
        <v>23.679642821638321</v>
      </c>
      <c r="Z62" s="22">
        <f t="shared" si="25"/>
        <v>23.701210111591337</v>
      </c>
      <c r="AA62" s="26">
        <f t="shared" si="26"/>
        <v>2.1567289953017266E-2</v>
      </c>
      <c r="AB62" s="21">
        <v>23.508313249248438</v>
      </c>
      <c r="AC62" s="22">
        <v>23.465582870438819</v>
      </c>
      <c r="AD62" s="22">
        <f t="shared" si="27"/>
        <v>23.486948059843627</v>
      </c>
      <c r="AE62" s="26">
        <f t="shared" si="28"/>
        <v>2.136518940480947E-2</v>
      </c>
      <c r="AF62" s="21">
        <f t="shared" si="29"/>
        <v>23.594079085717482</v>
      </c>
      <c r="AG62" s="26">
        <f t="shared" si="30"/>
        <v>0.12616320838181536</v>
      </c>
    </row>
    <row r="63" spans="1:33">
      <c r="A63" s="49" t="s">
        <v>374</v>
      </c>
      <c r="B63" s="113">
        <v>700</v>
      </c>
      <c r="C63" s="49"/>
      <c r="D63" s="50"/>
      <c r="E63" s="57">
        <v>0.92630438900000001</v>
      </c>
      <c r="F63" s="58">
        <v>9.5299999999999999E-5</v>
      </c>
      <c r="G63" s="21"/>
      <c r="H63" s="26"/>
      <c r="I63" s="98">
        <v>0.89336000000000004</v>
      </c>
      <c r="J63" s="51">
        <v>1.0999999999999899E-4</v>
      </c>
      <c r="K63" s="106">
        <f t="shared" si="18"/>
        <v>0.8932500000000001</v>
      </c>
      <c r="L63" s="106">
        <f t="shared" si="19"/>
        <v>0.89346999999999999</v>
      </c>
      <c r="M63" s="21">
        <v>25.371983950983882</v>
      </c>
      <c r="N63" s="22">
        <v>25.309422094353742</v>
      </c>
      <c r="O63" s="22">
        <f t="shared" si="20"/>
        <v>25.340703022668812</v>
      </c>
      <c r="P63" s="26">
        <f t="shared" si="21"/>
        <v>3.12809283150699E-2</v>
      </c>
      <c r="Q63" s="21">
        <v>25.188044644223964</v>
      </c>
      <c r="R63" s="22">
        <v>25.125903698438599</v>
      </c>
      <c r="S63" s="22">
        <f t="shared" si="22"/>
        <v>25.156974171331282</v>
      </c>
      <c r="T63" s="26">
        <f t="shared" si="23"/>
        <v>3.1070472892682943E-2</v>
      </c>
      <c r="U63" s="23">
        <v>717.53959636117315</v>
      </c>
      <c r="V63" s="24">
        <v>717.51624595354019</v>
      </c>
      <c r="W63" s="25">
        <f t="shared" si="24"/>
        <v>717.52792115735667</v>
      </c>
      <c r="X63" s="21">
        <v>25.480881284597064</v>
      </c>
      <c r="Y63" s="22">
        <v>25.418164512843411</v>
      </c>
      <c r="Z63" s="22">
        <f t="shared" si="25"/>
        <v>25.44952289872024</v>
      </c>
      <c r="AA63" s="26">
        <f t="shared" si="26"/>
        <v>3.1358385876826489E-2</v>
      </c>
      <c r="AB63" s="21">
        <v>25.292518636436014</v>
      </c>
      <c r="AC63" s="22">
        <v>25.230237111003298</v>
      </c>
      <c r="AD63" s="22">
        <f t="shared" si="27"/>
        <v>25.261377873719656</v>
      </c>
      <c r="AE63" s="26">
        <f t="shared" si="28"/>
        <v>3.1140762716358239E-2</v>
      </c>
      <c r="AF63" s="21">
        <f t="shared" si="29"/>
        <v>25.35545038621995</v>
      </c>
      <c r="AG63" s="26">
        <f t="shared" si="30"/>
        <v>0.11446213546726916</v>
      </c>
    </row>
    <row r="64" spans="1:33">
      <c r="A64" s="49" t="s">
        <v>375</v>
      </c>
      <c r="B64" s="113">
        <v>700</v>
      </c>
      <c r="C64" s="49"/>
      <c r="D64" s="50"/>
      <c r="E64" s="57">
        <v>0.934045923</v>
      </c>
      <c r="F64" s="58">
        <v>9.2800000000000006E-5</v>
      </c>
      <c r="G64" s="21"/>
      <c r="H64" s="26"/>
      <c r="I64" s="98">
        <v>0.90225</v>
      </c>
      <c r="J64" s="51">
        <v>7.499999999999174E-5</v>
      </c>
      <c r="K64" s="106">
        <f t="shared" si="18"/>
        <v>0.90217499999999995</v>
      </c>
      <c r="L64" s="106">
        <f t="shared" si="19"/>
        <v>0.90232500000000004</v>
      </c>
      <c r="M64" s="21">
        <v>22.892302097827731</v>
      </c>
      <c r="N64" s="22">
        <v>22.851632586988554</v>
      </c>
      <c r="O64" s="22">
        <f>(M64+N64)/2</f>
        <v>22.871967342408141</v>
      </c>
      <c r="P64" s="26">
        <f>(M64-N64)/2</f>
        <v>2.0334755419588291E-2</v>
      </c>
      <c r="Q64" s="21">
        <v>22.725790204664825</v>
      </c>
      <c r="R64" s="22">
        <v>22.685418420534209</v>
      </c>
      <c r="S64" s="22">
        <f>(Q64+R64)/2</f>
        <v>22.705604312599519</v>
      </c>
      <c r="T64" s="26">
        <f>(Q64-R64)/2</f>
        <v>2.0185892065308408E-2</v>
      </c>
      <c r="U64" s="23">
        <v>716.57934130923252</v>
      </c>
      <c r="V64" s="24">
        <v>716.56296696913444</v>
      </c>
      <c r="W64" s="25">
        <f t="shared" si="24"/>
        <v>716.57115413918348</v>
      </c>
      <c r="X64" s="21">
        <v>22.994867007169912</v>
      </c>
      <c r="Y64" s="22">
        <v>22.954090174502706</v>
      </c>
      <c r="Z64" s="22">
        <f>(X64+Y64)/2</f>
        <v>22.974478590836309</v>
      </c>
      <c r="AA64" s="26">
        <f>(X64-Y64)/2</f>
        <v>2.0388416333602777E-2</v>
      </c>
      <c r="AB64" s="21">
        <v>22.824495756284971</v>
      </c>
      <c r="AC64" s="22">
        <v>22.784025820106258</v>
      </c>
      <c r="AD64" s="22">
        <f>(AB64+AC64)/2</f>
        <v>22.804260788195613</v>
      </c>
      <c r="AE64" s="26">
        <f>(AB64-AC64)/2</f>
        <v>2.0234968089356542E-2</v>
      </c>
      <c r="AF64" s="21">
        <f>AVERAGE(X64,Y64,AB64,AC64)</f>
        <v>22.889369689515959</v>
      </c>
      <c r="AG64" s="26">
        <f>STDEV(X64,Y64,AB64,AC64)</f>
        <v>0.10103527971978499</v>
      </c>
    </row>
    <row r="65" spans="1:33">
      <c r="A65" s="49" t="s">
        <v>376</v>
      </c>
      <c r="B65" s="113">
        <v>500</v>
      </c>
      <c r="C65" s="49"/>
      <c r="D65" s="50"/>
      <c r="E65" s="57">
        <v>0.92426495099999995</v>
      </c>
      <c r="F65" s="58">
        <v>9.1799999999999995E-5</v>
      </c>
      <c r="G65" s="21"/>
      <c r="H65" s="26"/>
      <c r="I65" s="98">
        <v>0.89034999999999997</v>
      </c>
      <c r="J65" s="51">
        <v>1.0499999999996623E-4</v>
      </c>
      <c r="K65" s="106">
        <f t="shared" si="18"/>
        <v>0.89024499999999995</v>
      </c>
      <c r="L65" s="106">
        <f t="shared" si="19"/>
        <v>0.890455</v>
      </c>
      <c r="M65" s="21">
        <v>25.031005174981551</v>
      </c>
      <c r="N65" s="22">
        <v>24.970394533297497</v>
      </c>
      <c r="O65" s="22">
        <f t="shared" ref="O65:O123" si="31">(M65+N65)/2</f>
        <v>25.000699854139526</v>
      </c>
      <c r="P65" s="26">
        <f t="shared" ref="P65:P123" si="32">(M65-N65)/2</f>
        <v>3.0305320842026973E-2</v>
      </c>
      <c r="Q65" s="21">
        <v>24.891170450410023</v>
      </c>
      <c r="R65" s="22">
        <v>24.83086662720229</v>
      </c>
      <c r="S65" s="22">
        <f t="shared" ref="S65:S123" si="33">(Q65+R65)/2</f>
        <v>24.861018538806157</v>
      </c>
      <c r="T65" s="26">
        <f t="shared" ref="T65:T123" si="34">(Q65-R65)/2</f>
        <v>3.015191160386621E-2</v>
      </c>
      <c r="U65" s="23">
        <v>510.94817282863931</v>
      </c>
      <c r="V65" s="24">
        <v>510.93380704845544</v>
      </c>
      <c r="W65" s="25">
        <f t="shared" si="24"/>
        <v>510.94098993854738</v>
      </c>
      <c r="X65" s="21">
        <v>25.094255931670514</v>
      </c>
      <c r="Y65" s="22">
        <v>25.033559368017443</v>
      </c>
      <c r="Z65" s="22">
        <f t="shared" ref="Z65:Z123" si="35">(X65+Y65)/2</f>
        <v>25.063907649843976</v>
      </c>
      <c r="AA65" s="26">
        <f t="shared" ref="AA65:AA123" si="36">(X65-Y65)/2</f>
        <v>3.0348281826535484E-2</v>
      </c>
      <c r="AB65" s="21">
        <v>24.951821151225694</v>
      </c>
      <c r="AC65" s="22">
        <v>24.89143927782137</v>
      </c>
      <c r="AD65" s="22">
        <f t="shared" ref="AD65:AD79" si="37">(AB65+AC65)/2</f>
        <v>24.921630214523532</v>
      </c>
      <c r="AE65" s="26">
        <f t="shared" ref="AE65:AE79" si="38">(AB65-AC65)/2</f>
        <v>3.0190936702162219E-2</v>
      </c>
      <c r="AF65" s="21">
        <f t="shared" ref="AF65:AF79" si="39">AVERAGE(X65,Y65,AB65,AC65)</f>
        <v>24.992768932183758</v>
      </c>
      <c r="AG65" s="26">
        <f t="shared" ref="AG65:AG79" si="40">STDEV(X65,Y65,AB65,AC65)</f>
        <v>8.9270917882808429E-2</v>
      </c>
    </row>
    <row r="66" spans="1:33">
      <c r="A66" s="49" t="s">
        <v>377</v>
      </c>
      <c r="B66" s="113">
        <v>500</v>
      </c>
      <c r="C66" s="49"/>
      <c r="D66" s="50"/>
      <c r="E66" s="57">
        <v>0.93142570899999999</v>
      </c>
      <c r="F66" s="58">
        <v>9.3800000000000003E-5</v>
      </c>
      <c r="G66" s="21"/>
      <c r="H66" s="26"/>
      <c r="I66" s="98">
        <v>0.89932000000000001</v>
      </c>
      <c r="J66" s="51">
        <v>7.9999999999968985E-5</v>
      </c>
      <c r="K66" s="106">
        <f t="shared" si="18"/>
        <v>0.89924000000000004</v>
      </c>
      <c r="L66" s="106">
        <f t="shared" si="19"/>
        <v>0.89939999999999998</v>
      </c>
      <c r="M66" s="21">
        <v>22.495051703966578</v>
      </c>
      <c r="N66" s="22">
        <v>22.451040872313062</v>
      </c>
      <c r="O66" s="22">
        <f t="shared" si="31"/>
        <v>22.47304628813982</v>
      </c>
      <c r="P66" s="26">
        <f t="shared" si="32"/>
        <v>2.2005415826757968E-2</v>
      </c>
      <c r="Q66" s="21">
        <v>22.368821082779714</v>
      </c>
      <c r="R66" s="22">
        <v>22.3250593025566</v>
      </c>
      <c r="S66" s="22">
        <f t="shared" si="33"/>
        <v>22.346940192668157</v>
      </c>
      <c r="T66" s="26">
        <f t="shared" si="34"/>
        <v>2.188089011155725E-2</v>
      </c>
      <c r="U66" s="23">
        <v>510.32371455292639</v>
      </c>
      <c r="V66" s="24">
        <v>510.31243126502869</v>
      </c>
      <c r="W66" s="25">
        <f t="shared" si="24"/>
        <v>510.31807290897757</v>
      </c>
      <c r="X66" s="21">
        <v>22.554581044012004</v>
      </c>
      <c r="Y66" s="22">
        <v>22.510503215596017</v>
      </c>
      <c r="Z66" s="22">
        <f t="shared" si="35"/>
        <v>22.532542129804011</v>
      </c>
      <c r="AA66" s="26">
        <f t="shared" si="36"/>
        <v>2.2038914207993088E-2</v>
      </c>
      <c r="AB66" s="21">
        <v>22.426078272524673</v>
      </c>
      <c r="AC66" s="22">
        <v>22.382255154858562</v>
      </c>
      <c r="AD66" s="22">
        <f t="shared" si="37"/>
        <v>22.404166713691616</v>
      </c>
      <c r="AE66" s="26">
        <f t="shared" si="38"/>
        <v>2.1911558833055622E-2</v>
      </c>
      <c r="AF66" s="21">
        <f t="shared" si="39"/>
        <v>22.468354421747812</v>
      </c>
      <c r="AG66" s="26">
        <f t="shared" si="40"/>
        <v>7.8340938131463644E-2</v>
      </c>
    </row>
    <row r="67" spans="1:33">
      <c r="A67" s="49" t="s">
        <v>378</v>
      </c>
      <c r="B67" s="113">
        <v>300</v>
      </c>
      <c r="C67" s="49"/>
      <c r="D67" s="50"/>
      <c r="E67" s="57">
        <v>0.92339000999999998</v>
      </c>
      <c r="F67" s="58">
        <v>9.7999999999999997E-5</v>
      </c>
      <c r="G67" s="21"/>
      <c r="H67" s="26"/>
      <c r="I67" s="98">
        <v>0.88858999999999999</v>
      </c>
      <c r="J67" s="51">
        <v>1.0499999999996623E-4</v>
      </c>
      <c r="K67" s="106">
        <f t="shared" si="18"/>
        <v>0.88848499999999997</v>
      </c>
      <c r="L67" s="106">
        <f t="shared" si="19"/>
        <v>0.88869500000000001</v>
      </c>
      <c r="M67" s="21">
        <v>24.493518040313173</v>
      </c>
      <c r="N67" s="22">
        <v>24.43231937586965</v>
      </c>
      <c r="O67" s="22">
        <f t="shared" si="31"/>
        <v>24.462918708091411</v>
      </c>
      <c r="P67" s="26">
        <f t="shared" si="32"/>
        <v>3.0599332221761699E-2</v>
      </c>
      <c r="Q67" s="21">
        <v>24.394124521124738</v>
      </c>
      <c r="R67" s="22">
        <v>24.333158505423057</v>
      </c>
      <c r="S67" s="22">
        <f t="shared" si="33"/>
        <v>24.363641513273897</v>
      </c>
      <c r="T67" s="26">
        <f t="shared" si="34"/>
        <v>3.0483007850840238E-2</v>
      </c>
      <c r="U67" s="23">
        <v>305.93463654627266</v>
      </c>
      <c r="V67" s="24">
        <v>305.92655308974383</v>
      </c>
      <c r="W67" s="25">
        <f t="shared" si="24"/>
        <v>305.93059481800822</v>
      </c>
      <c r="X67" s="21">
        <v>24.520253803878937</v>
      </c>
      <c r="Y67" s="22">
        <v>24.459021081477349</v>
      </c>
      <c r="Z67" s="22">
        <f t="shared" si="35"/>
        <v>24.489637442678145</v>
      </c>
      <c r="AA67" s="26">
        <f t="shared" si="36"/>
        <v>3.0616361200793918E-2</v>
      </c>
      <c r="AB67" s="21">
        <v>24.419791664254827</v>
      </c>
      <c r="AC67" s="22">
        <v>24.358794615026515</v>
      </c>
      <c r="AD67" s="22">
        <f t="shared" si="37"/>
        <v>24.389293139640671</v>
      </c>
      <c r="AE67" s="26">
        <f t="shared" si="38"/>
        <v>3.0498524614156253E-2</v>
      </c>
      <c r="AF67" s="21">
        <f t="shared" si="39"/>
        <v>24.439465291159408</v>
      </c>
      <c r="AG67" s="26">
        <f t="shared" si="40"/>
        <v>6.7833183388151072E-2</v>
      </c>
    </row>
    <row r="68" spans="1:33">
      <c r="A68" s="49" t="s">
        <v>379</v>
      </c>
      <c r="B68" s="113">
        <v>300</v>
      </c>
      <c r="C68" s="49"/>
      <c r="D68" s="50"/>
      <c r="E68" s="57">
        <v>0.92292317199999996</v>
      </c>
      <c r="F68" s="58">
        <v>8.8300000000000005E-5</v>
      </c>
      <c r="G68" s="21"/>
      <c r="H68" s="26"/>
      <c r="I68" s="98">
        <v>0.88904000000000005</v>
      </c>
      <c r="J68" s="51">
        <v>1.0500000000002174E-4</v>
      </c>
      <c r="K68" s="106">
        <f t="shared" si="18"/>
        <v>0.88893500000000003</v>
      </c>
      <c r="L68" s="106">
        <f t="shared" si="19"/>
        <v>0.88914500000000007</v>
      </c>
      <c r="M68" s="21">
        <v>24.362462373406224</v>
      </c>
      <c r="N68" s="22">
        <v>24.301411193891173</v>
      </c>
      <c r="O68" s="22">
        <f t="shared" si="31"/>
        <v>24.3319367836487</v>
      </c>
      <c r="P68" s="26">
        <f t="shared" si="32"/>
        <v>3.0525589757525395E-2</v>
      </c>
      <c r="Q68" s="21">
        <v>24.263568194057342</v>
      </c>
      <c r="R68" s="22">
        <v>24.202751067552096</v>
      </c>
      <c r="S68" s="22">
        <f t="shared" si="33"/>
        <v>24.233159630804721</v>
      </c>
      <c r="T68" s="26">
        <f t="shared" si="34"/>
        <v>3.0408563252622756E-2</v>
      </c>
      <c r="U68" s="23">
        <v>305.91730760073796</v>
      </c>
      <c r="V68" s="24">
        <v>305.90921143346708</v>
      </c>
      <c r="W68" s="25">
        <f t="shared" si="24"/>
        <v>305.91325951710252</v>
      </c>
      <c r="X68" s="21">
        <v>24.38912511514987</v>
      </c>
      <c r="Y68" s="22">
        <v>24.328039806745906</v>
      </c>
      <c r="Z68" s="22">
        <f t="shared" si="35"/>
        <v>24.358582460947886</v>
      </c>
      <c r="AA68" s="26">
        <f t="shared" si="36"/>
        <v>3.0542654201981989E-2</v>
      </c>
      <c r="AB68" s="21">
        <v>24.289168793111479</v>
      </c>
      <c r="AC68" s="22">
        <v>24.228320556578659</v>
      </c>
      <c r="AD68" s="22">
        <f t="shared" si="37"/>
        <v>24.258744674845069</v>
      </c>
      <c r="AE68" s="26">
        <f t="shared" si="38"/>
        <v>3.0424118266410005E-2</v>
      </c>
      <c r="AF68" s="21">
        <f t="shared" si="39"/>
        <v>24.308663567896481</v>
      </c>
      <c r="AG68" s="26">
        <f t="shared" si="40"/>
        <v>6.7538988566834463E-2</v>
      </c>
    </row>
    <row r="69" spans="1:33">
      <c r="A69" s="49" t="s">
        <v>380</v>
      </c>
      <c r="B69" s="113">
        <v>300</v>
      </c>
      <c r="C69" s="49"/>
      <c r="D69" s="50"/>
      <c r="E69" s="57">
        <v>0.92969823500000004</v>
      </c>
      <c r="F69" s="58">
        <v>9.2600000000000001E-5</v>
      </c>
      <c r="G69" s="21"/>
      <c r="H69" s="26"/>
      <c r="I69" s="98">
        <v>0.89776</v>
      </c>
      <c r="J69" s="51">
        <v>1.0500000000002174E-4</v>
      </c>
      <c r="K69" s="106">
        <f t="shared" si="18"/>
        <v>0.89765499999999998</v>
      </c>
      <c r="L69" s="106">
        <f t="shared" si="19"/>
        <v>0.89786500000000002</v>
      </c>
      <c r="M69" s="21">
        <v>21.884314473276007</v>
      </c>
      <c r="N69" s="22">
        <v>21.826050134467259</v>
      </c>
      <c r="O69" s="22">
        <f t="shared" si="31"/>
        <v>21.855182303871633</v>
      </c>
      <c r="P69" s="26">
        <f t="shared" si="32"/>
        <v>2.9132169404373798E-2</v>
      </c>
      <c r="Q69" s="21">
        <v>21.795608282697078</v>
      </c>
      <c r="R69" s="22">
        <v>21.737599271443887</v>
      </c>
      <c r="S69" s="22">
        <f t="shared" si="33"/>
        <v>21.766603777070483</v>
      </c>
      <c r="T69" s="26">
        <f t="shared" si="34"/>
        <v>2.9004505626595289E-2</v>
      </c>
      <c r="U69" s="23">
        <v>305.57592599600565</v>
      </c>
      <c r="V69" s="24">
        <v>305.56756816722395</v>
      </c>
      <c r="W69" s="25">
        <f t="shared" si="24"/>
        <v>305.57174708161483</v>
      </c>
      <c r="X69" s="21">
        <v>21.909531223197426</v>
      </c>
      <c r="Y69" s="22">
        <v>21.851231308228311</v>
      </c>
      <c r="Z69" s="22">
        <f t="shared" si="35"/>
        <v>21.88038126571287</v>
      </c>
      <c r="AA69" s="26">
        <f t="shared" si="36"/>
        <v>2.9149957484557731E-2</v>
      </c>
      <c r="AB69" s="21">
        <v>21.819885969731729</v>
      </c>
      <c r="AC69" s="22">
        <v>21.761844286841502</v>
      </c>
      <c r="AD69" s="22">
        <f t="shared" si="37"/>
        <v>21.790865128286615</v>
      </c>
      <c r="AE69" s="26">
        <f t="shared" si="38"/>
        <v>2.9020841445113632E-2</v>
      </c>
      <c r="AF69" s="21">
        <f t="shared" si="39"/>
        <v>21.835623196999741</v>
      </c>
      <c r="AG69" s="26">
        <f t="shared" si="40"/>
        <v>6.1636021337049721E-2</v>
      </c>
    </row>
    <row r="70" spans="1:33">
      <c r="A70" s="49" t="s">
        <v>381</v>
      </c>
      <c r="B70" s="113">
        <v>300</v>
      </c>
      <c r="C70" s="49"/>
      <c r="D70" s="50"/>
      <c r="E70" s="57">
        <v>1.000001465</v>
      </c>
      <c r="F70" s="58">
        <v>8.53E-5</v>
      </c>
      <c r="G70" s="21"/>
      <c r="H70" s="26"/>
      <c r="I70" s="98">
        <v>1</v>
      </c>
      <c r="J70" s="51">
        <v>0</v>
      </c>
      <c r="K70" s="106">
        <f t="shared" si="18"/>
        <v>1</v>
      </c>
      <c r="L70" s="106">
        <f t="shared" si="19"/>
        <v>1</v>
      </c>
      <c r="M70" s="21">
        <v>0</v>
      </c>
      <c r="N70" s="22">
        <v>0</v>
      </c>
      <c r="O70" s="22">
        <f t="shared" si="31"/>
        <v>0</v>
      </c>
      <c r="P70" s="26">
        <f t="shared" si="32"/>
        <v>0</v>
      </c>
      <c r="Q70" s="21">
        <v>0</v>
      </c>
      <c r="R70" s="22">
        <v>0</v>
      </c>
      <c r="S70" s="22">
        <f t="shared" si="33"/>
        <v>0</v>
      </c>
      <c r="T70" s="26">
        <f t="shared" si="34"/>
        <v>0</v>
      </c>
      <c r="U70" s="23">
        <v>300</v>
      </c>
      <c r="V70" s="24">
        <v>300</v>
      </c>
      <c r="W70" s="25">
        <f t="shared" si="24"/>
        <v>300</v>
      </c>
      <c r="X70" s="21">
        <v>0</v>
      </c>
      <c r="Y70" s="22">
        <v>0</v>
      </c>
      <c r="Z70" s="22">
        <f t="shared" si="35"/>
        <v>0</v>
      </c>
      <c r="AA70" s="26">
        <f t="shared" si="36"/>
        <v>0</v>
      </c>
      <c r="AB70" s="21">
        <v>0</v>
      </c>
      <c r="AC70" s="22">
        <v>0</v>
      </c>
      <c r="AD70" s="22">
        <f t="shared" si="37"/>
        <v>0</v>
      </c>
      <c r="AE70" s="26">
        <f t="shared" si="38"/>
        <v>0</v>
      </c>
      <c r="AF70" s="21">
        <f t="shared" si="39"/>
        <v>0</v>
      </c>
      <c r="AG70" s="26">
        <f t="shared" si="40"/>
        <v>0</v>
      </c>
    </row>
    <row r="71" spans="1:33">
      <c r="A71" s="49" t="s">
        <v>382</v>
      </c>
      <c r="B71" s="113">
        <v>1600</v>
      </c>
      <c r="C71" s="49"/>
      <c r="D71" s="50"/>
      <c r="E71" s="57">
        <v>0.93681132716845839</v>
      </c>
      <c r="F71" s="58">
        <v>2.7366132404405501E-4</v>
      </c>
      <c r="G71" s="21"/>
      <c r="H71" s="26"/>
      <c r="I71" s="98">
        <v>0.90146000000000004</v>
      </c>
      <c r="J71" s="51">
        <v>4.7999999999998044E-4</v>
      </c>
      <c r="K71" s="106">
        <f t="shared" si="18"/>
        <v>0.90098000000000011</v>
      </c>
      <c r="L71" s="106">
        <f t="shared" si="19"/>
        <v>0.90193999999999996</v>
      </c>
      <c r="M71" s="21">
        <v>29.025870259400801</v>
      </c>
      <c r="N71" s="22">
        <v>28.761658519535207</v>
      </c>
      <c r="O71" s="22">
        <f t="shared" si="31"/>
        <v>28.893764389468004</v>
      </c>
      <c r="P71" s="26">
        <f t="shared" si="32"/>
        <v>0.13210586993279705</v>
      </c>
      <c r="Q71" s="21">
        <v>28.634611351712564</v>
      </c>
      <c r="R71" s="22">
        <v>28.374299574964095</v>
      </c>
      <c r="S71" s="22">
        <f t="shared" si="33"/>
        <v>28.504455463338331</v>
      </c>
      <c r="T71" s="26">
        <f t="shared" si="34"/>
        <v>0.13015588837423486</v>
      </c>
      <c r="U71" s="23">
        <v>1670.6167831317237</v>
      </c>
      <c r="V71" s="24">
        <v>1670.282274193635</v>
      </c>
      <c r="W71" s="25">
        <f t="shared" si="24"/>
        <v>1670.4495286626793</v>
      </c>
      <c r="X71" s="21">
        <v>29.490683215997628</v>
      </c>
      <c r="Y71" s="22">
        <v>29.224017844158944</v>
      </c>
      <c r="Z71" s="22">
        <f t="shared" si="35"/>
        <v>29.357350530078286</v>
      </c>
      <c r="AA71" s="26">
        <f t="shared" si="36"/>
        <v>0.133332685919342</v>
      </c>
      <c r="AB71" s="21">
        <v>29.081572091283974</v>
      </c>
      <c r="AC71" s="22">
        <v>28.819052576177747</v>
      </c>
      <c r="AD71" s="22">
        <f t="shared" si="37"/>
        <v>28.95031233373086</v>
      </c>
      <c r="AE71" s="26">
        <f t="shared" si="38"/>
        <v>0.13125975755311359</v>
      </c>
      <c r="AF71" s="21">
        <f t="shared" si="39"/>
        <v>29.153831431904571</v>
      </c>
      <c r="AG71" s="26">
        <f t="shared" si="40"/>
        <v>0.28029362667299529</v>
      </c>
    </row>
    <row r="72" spans="1:33">
      <c r="A72" s="49" t="s">
        <v>383</v>
      </c>
      <c r="B72" s="113">
        <v>1700</v>
      </c>
      <c r="C72" s="49"/>
      <c r="D72" s="50"/>
      <c r="E72" s="57">
        <v>0.93577083032289399</v>
      </c>
      <c r="F72" s="58">
        <v>3.4894260785312968E-4</v>
      </c>
      <c r="G72" s="21"/>
      <c r="H72" s="26"/>
      <c r="I72" s="98">
        <v>0.89975000000000005</v>
      </c>
      <c r="J72" s="51">
        <v>5.2999999999997494E-4</v>
      </c>
      <c r="K72" s="106">
        <f t="shared" si="18"/>
        <v>0.89922000000000013</v>
      </c>
      <c r="L72" s="106">
        <f t="shared" si="19"/>
        <v>0.90027999999999997</v>
      </c>
      <c r="M72" s="21">
        <v>30.172856445627552</v>
      </c>
      <c r="N72" s="22">
        <v>29.878030405559727</v>
      </c>
      <c r="O72" s="22">
        <f t="shared" si="31"/>
        <v>30.02544342559364</v>
      </c>
      <c r="P72" s="26">
        <f t="shared" si="32"/>
        <v>0.14741302003391255</v>
      </c>
      <c r="Q72" s="21">
        <v>29.748740852132997</v>
      </c>
      <c r="R72" s="22">
        <v>29.458472960179144</v>
      </c>
      <c r="S72" s="22">
        <f t="shared" si="33"/>
        <v>29.60360690615607</v>
      </c>
      <c r="T72" s="26">
        <f t="shared" si="34"/>
        <v>0.14513394597692653</v>
      </c>
      <c r="U72" s="23">
        <v>1780.0047895558771</v>
      </c>
      <c r="V72" s="24">
        <v>1779.6024711519467</v>
      </c>
      <c r="W72" s="25">
        <f t="shared" si="24"/>
        <v>1779.803630353912</v>
      </c>
      <c r="X72" s="21">
        <v>30.700881955587718</v>
      </c>
      <c r="Y72" s="22">
        <v>30.403079092375435</v>
      </c>
      <c r="Z72" s="22">
        <f t="shared" si="35"/>
        <v>30.551980523981577</v>
      </c>
      <c r="AA72" s="26">
        <f t="shared" si="36"/>
        <v>0.14890143160614144</v>
      </c>
      <c r="AB72" s="21">
        <v>30.256162575210091</v>
      </c>
      <c r="AC72" s="22">
        <v>29.963224655614187</v>
      </c>
      <c r="AD72" s="22">
        <f t="shared" si="37"/>
        <v>30.109693615412141</v>
      </c>
      <c r="AE72" s="26">
        <f t="shared" si="38"/>
        <v>0.14646895979795183</v>
      </c>
      <c r="AF72" s="21">
        <f t="shared" si="39"/>
        <v>30.330837069696859</v>
      </c>
      <c r="AG72" s="26">
        <f t="shared" si="40"/>
        <v>0.30706529953155731</v>
      </c>
    </row>
    <row r="73" spans="1:33">
      <c r="A73" s="49" t="s">
        <v>384</v>
      </c>
      <c r="B73" s="113">
        <v>1800</v>
      </c>
      <c r="C73" s="49"/>
      <c r="D73" s="50"/>
      <c r="E73" s="57">
        <v>0.93690671305529705</v>
      </c>
      <c r="F73" s="58">
        <v>3.45587131326094E-4</v>
      </c>
      <c r="G73" s="21"/>
      <c r="H73" s="26"/>
      <c r="I73" s="98">
        <v>0.90325</v>
      </c>
      <c r="J73" s="51">
        <v>5.6499999999998218E-4</v>
      </c>
      <c r="K73" s="106">
        <f t="shared" si="18"/>
        <v>0.90268499999999996</v>
      </c>
      <c r="L73" s="106">
        <f t="shared" si="19"/>
        <v>0.90381500000000004</v>
      </c>
      <c r="M73" s="21">
        <v>29.874087731596099</v>
      </c>
      <c r="N73" s="22">
        <v>29.565231200149285</v>
      </c>
      <c r="O73" s="22">
        <f t="shared" si="31"/>
        <v>29.719659465872692</v>
      </c>
      <c r="P73" s="26">
        <f t="shared" si="32"/>
        <v>0.15442826572340707</v>
      </c>
      <c r="Q73" s="21">
        <v>29.439949613916102</v>
      </c>
      <c r="R73" s="22">
        <v>29.136222939907626</v>
      </c>
      <c r="S73" s="22">
        <f t="shared" si="33"/>
        <v>29.288086276911862</v>
      </c>
      <c r="T73" s="26">
        <f t="shared" si="34"/>
        <v>0.15186333700423837</v>
      </c>
      <c r="U73" s="23">
        <v>1887.9356458192676</v>
      </c>
      <c r="V73" s="24">
        <v>1887.4664180191005</v>
      </c>
      <c r="W73" s="25">
        <f t="shared" si="24"/>
        <v>1887.7010319191841</v>
      </c>
      <c r="X73" s="21">
        <v>30.454113843628164</v>
      </c>
      <c r="Y73" s="22">
        <v>30.141790809445169</v>
      </c>
      <c r="Z73" s="22">
        <f t="shared" si="35"/>
        <v>30.297952326536667</v>
      </c>
      <c r="AA73" s="26">
        <f t="shared" si="36"/>
        <v>0.15616151709149761</v>
      </c>
      <c r="AB73" s="21">
        <v>29.998025419631574</v>
      </c>
      <c r="AC73" s="22">
        <v>29.691185818829652</v>
      </c>
      <c r="AD73" s="22">
        <f t="shared" si="37"/>
        <v>29.844605619230613</v>
      </c>
      <c r="AE73" s="26">
        <f t="shared" si="38"/>
        <v>0.15341980040096104</v>
      </c>
      <c r="AF73" s="21">
        <f t="shared" si="39"/>
        <v>30.07127897288364</v>
      </c>
      <c r="AG73" s="26">
        <f t="shared" si="40"/>
        <v>0.31694970483028706</v>
      </c>
    </row>
    <row r="74" spans="1:33">
      <c r="A74" s="49" t="s">
        <v>385</v>
      </c>
      <c r="B74" s="113">
        <v>1900</v>
      </c>
      <c r="C74" s="49"/>
      <c r="D74" s="50"/>
      <c r="E74" s="57">
        <v>0.93794961765455576</v>
      </c>
      <c r="F74" s="58">
        <v>3.4204331813710611E-4</v>
      </c>
      <c r="G74" s="21"/>
      <c r="H74" s="26"/>
      <c r="I74" s="98">
        <v>0.90212999999999999</v>
      </c>
      <c r="J74" s="51">
        <v>5.4999999999999494E-4</v>
      </c>
      <c r="K74" s="106">
        <f t="shared" si="18"/>
        <v>0.90158000000000005</v>
      </c>
      <c r="L74" s="106">
        <f t="shared" si="19"/>
        <v>0.90267999999999993</v>
      </c>
      <c r="M74" s="21">
        <v>30.837998483860268</v>
      </c>
      <c r="N74" s="22">
        <v>30.535110629371999</v>
      </c>
      <c r="O74" s="22">
        <f t="shared" si="31"/>
        <v>30.686554556616134</v>
      </c>
      <c r="P74" s="26">
        <f t="shared" si="32"/>
        <v>0.15144392724413436</v>
      </c>
      <c r="Q74" s="21">
        <v>30.373613692356344</v>
      </c>
      <c r="R74" s="22">
        <v>30.075984750440988</v>
      </c>
      <c r="S74" s="22">
        <f t="shared" si="33"/>
        <v>30.224799221398666</v>
      </c>
      <c r="T74" s="26">
        <f t="shared" si="34"/>
        <v>0.14881447095767797</v>
      </c>
      <c r="U74" s="23">
        <v>1998.2745345952694</v>
      </c>
      <c r="V74" s="24">
        <v>1997.7811050497517</v>
      </c>
      <c r="W74" s="25">
        <f t="shared" si="24"/>
        <v>1998.0278198225105</v>
      </c>
      <c r="X74" s="21">
        <v>31.487400712308723</v>
      </c>
      <c r="Y74" s="22">
        <v>31.180842256931481</v>
      </c>
      <c r="Z74" s="22">
        <f t="shared" si="35"/>
        <v>31.334121484620102</v>
      </c>
      <c r="AA74" s="26">
        <f t="shared" si="36"/>
        <v>0.15327922768862123</v>
      </c>
      <c r="AB74" s="21">
        <v>30.998190124617977</v>
      </c>
      <c r="AC74" s="22">
        <v>30.697273785940467</v>
      </c>
      <c r="AD74" s="22">
        <f t="shared" si="37"/>
        <v>30.847731955279222</v>
      </c>
      <c r="AE74" s="26">
        <f t="shared" si="38"/>
        <v>0.150458169338755</v>
      </c>
      <c r="AF74" s="21">
        <f t="shared" si="39"/>
        <v>31.090926719949664</v>
      </c>
      <c r="AG74" s="26">
        <f t="shared" si="40"/>
        <v>0.33107861049183956</v>
      </c>
    </row>
    <row r="75" spans="1:33">
      <c r="A75" s="49" t="s">
        <v>386</v>
      </c>
      <c r="B75" s="113">
        <v>1700</v>
      </c>
      <c r="C75" s="49"/>
      <c r="D75" s="50"/>
      <c r="E75" s="57">
        <v>0.93483689733618813</v>
      </c>
      <c r="F75" s="58">
        <v>3.4560343516242074E-4</v>
      </c>
      <c r="G75" s="21"/>
      <c r="H75" s="26"/>
      <c r="I75" s="98">
        <v>0.90130999999999994</v>
      </c>
      <c r="J75" s="51">
        <v>6.1000000000005494E-4</v>
      </c>
      <c r="K75" s="106">
        <f t="shared" si="18"/>
        <v>0.90069999999999983</v>
      </c>
      <c r="L75" s="106">
        <f t="shared" si="19"/>
        <v>0.90192000000000005</v>
      </c>
      <c r="M75" s="21">
        <v>29.761676496720234</v>
      </c>
      <c r="N75" s="22">
        <v>29.425182267816602</v>
      </c>
      <c r="O75" s="22">
        <f t="shared" si="31"/>
        <v>29.593429382268418</v>
      </c>
      <c r="P75" s="26">
        <f t="shared" si="32"/>
        <v>0.16824711445181606</v>
      </c>
      <c r="Q75" s="21">
        <v>29.343925481661124</v>
      </c>
      <c r="R75" s="22">
        <v>29.012679103676568</v>
      </c>
      <c r="S75" s="22">
        <f t="shared" si="33"/>
        <v>29.178302292668846</v>
      </c>
      <c r="T75" s="26">
        <f t="shared" si="34"/>
        <v>0.1656231889922779</v>
      </c>
      <c r="U75" s="23">
        <v>1779.4428473356361</v>
      </c>
      <c r="V75" s="24">
        <v>1778.9784812946555</v>
      </c>
      <c r="W75" s="25">
        <f t="shared" si="24"/>
        <v>1779.2106643151458</v>
      </c>
      <c r="X75" s="21">
        <v>30.285545762094486</v>
      </c>
      <c r="Y75" s="22">
        <v>29.945625776608757</v>
      </c>
      <c r="Z75" s="22">
        <f t="shared" si="35"/>
        <v>30.115585769351622</v>
      </c>
      <c r="AA75" s="26">
        <f t="shared" si="36"/>
        <v>0.16995999274286433</v>
      </c>
      <c r="AB75" s="21">
        <v>29.847618653665592</v>
      </c>
      <c r="AC75" s="22">
        <v>29.513295568641077</v>
      </c>
      <c r="AD75" s="22">
        <f t="shared" si="37"/>
        <v>29.680457111153334</v>
      </c>
      <c r="AE75" s="26">
        <f t="shared" si="38"/>
        <v>0.16716154251225745</v>
      </c>
      <c r="AF75" s="21">
        <f t="shared" si="39"/>
        <v>29.898021440252478</v>
      </c>
      <c r="AG75" s="26">
        <f t="shared" si="40"/>
        <v>0.31780272184795488</v>
      </c>
    </row>
    <row r="76" spans="1:33">
      <c r="A76" s="49" t="s">
        <v>387</v>
      </c>
      <c r="B76" s="113">
        <v>1500</v>
      </c>
      <c r="C76" s="49"/>
      <c r="D76" s="50"/>
      <c r="E76" s="57">
        <v>0.93111684321692123</v>
      </c>
      <c r="F76" s="58">
        <v>3.702379117559278E-4</v>
      </c>
      <c r="G76" s="21"/>
      <c r="H76" s="26"/>
      <c r="I76" s="98">
        <v>0.89749999999999996</v>
      </c>
      <c r="J76" s="51">
        <v>5.7999999999996943E-4</v>
      </c>
      <c r="K76" s="106">
        <f t="shared" si="18"/>
        <v>0.89691999999999994</v>
      </c>
      <c r="L76" s="106">
        <f t="shared" si="19"/>
        <v>0.89807999999999999</v>
      </c>
      <c r="M76" s="21">
        <v>29.499806790589655</v>
      </c>
      <c r="N76" s="22">
        <v>29.174119617023987</v>
      </c>
      <c r="O76" s="22">
        <f t="shared" si="31"/>
        <v>29.336963203806821</v>
      </c>
      <c r="P76" s="26">
        <f t="shared" si="32"/>
        <v>0.16284358678283439</v>
      </c>
      <c r="Q76" s="21">
        <v>29.118279491297333</v>
      </c>
      <c r="R76" s="22">
        <v>28.797015497939519</v>
      </c>
      <c r="S76" s="22">
        <f t="shared" si="33"/>
        <v>28.957647494618428</v>
      </c>
      <c r="T76" s="26">
        <f t="shared" si="34"/>
        <v>0.16063199667890693</v>
      </c>
      <c r="U76" s="23">
        <v>1563.7539255121101</v>
      </c>
      <c r="V76" s="24">
        <v>1563.3890146800318</v>
      </c>
      <c r="W76" s="25">
        <f t="shared" si="24"/>
        <v>1563.5714700960709</v>
      </c>
      <c r="X76" s="21">
        <v>29.91956862461684</v>
      </c>
      <c r="Y76" s="22">
        <v>29.591200862695953</v>
      </c>
      <c r="Z76" s="22">
        <f t="shared" si="35"/>
        <v>29.755384743656396</v>
      </c>
      <c r="AA76" s="26">
        <f t="shared" si="36"/>
        <v>0.16418388096044367</v>
      </c>
      <c r="AB76" s="21">
        <v>29.521341265196373</v>
      </c>
      <c r="AC76" s="22">
        <v>29.197669219036776</v>
      </c>
      <c r="AD76" s="22">
        <f t="shared" si="37"/>
        <v>29.359505242116576</v>
      </c>
      <c r="AE76" s="26">
        <f t="shared" si="38"/>
        <v>0.16183602307979861</v>
      </c>
      <c r="AF76" s="21">
        <f t="shared" si="39"/>
        <v>29.557444992886488</v>
      </c>
      <c r="AG76" s="26">
        <f t="shared" si="40"/>
        <v>0.29609405600611349</v>
      </c>
    </row>
    <row r="77" spans="1:33">
      <c r="A77" s="49" t="s">
        <v>388</v>
      </c>
      <c r="B77" s="113">
        <v>1300</v>
      </c>
      <c r="C77" s="49"/>
      <c r="D77" s="50"/>
      <c r="E77" s="57">
        <v>0.92795236897431088</v>
      </c>
      <c r="F77" s="58">
        <v>3.6604432225237295E-4</v>
      </c>
      <c r="G77" s="21"/>
      <c r="H77" s="26"/>
      <c r="I77" s="98">
        <v>0.89456999999999998</v>
      </c>
      <c r="J77" s="51">
        <v>5.6000000000000494E-4</v>
      </c>
      <c r="K77" s="106">
        <f t="shared" si="18"/>
        <v>0.89400999999999997</v>
      </c>
      <c r="L77" s="106">
        <f t="shared" si="19"/>
        <v>0.89512999999999998</v>
      </c>
      <c r="M77" s="21">
        <v>29.011260311545488</v>
      </c>
      <c r="N77" s="22">
        <v>28.692652429581955</v>
      </c>
      <c r="O77" s="22">
        <f t="shared" si="31"/>
        <v>28.85195637056372</v>
      </c>
      <c r="P77" s="26">
        <f t="shared" si="32"/>
        <v>0.1593039409817667</v>
      </c>
      <c r="Q77" s="21">
        <v>28.672248374360024</v>
      </c>
      <c r="R77" s="22">
        <v>28.357354829713419</v>
      </c>
      <c r="S77" s="22">
        <f t="shared" si="33"/>
        <v>28.514801602036719</v>
      </c>
      <c r="T77" s="26">
        <f t="shared" si="34"/>
        <v>0.1574467723233024</v>
      </c>
      <c r="U77" s="23">
        <v>1349.6499343397707</v>
      </c>
      <c r="V77" s="24">
        <v>1349.3658178167018</v>
      </c>
      <c r="W77" s="25">
        <f t="shared" si="24"/>
        <v>1349.5078760782362</v>
      </c>
      <c r="X77" s="21">
        <v>29.336869167059362</v>
      </c>
      <c r="Y77" s="22">
        <v>29.016192206384552</v>
      </c>
      <c r="Z77" s="22">
        <f t="shared" si="35"/>
        <v>29.176530686721957</v>
      </c>
      <c r="AA77" s="26">
        <f t="shared" si="36"/>
        <v>0.16033848033740483</v>
      </c>
      <c r="AB77" s="21">
        <v>28.984590360166159</v>
      </c>
      <c r="AC77" s="22">
        <v>28.667836380244999</v>
      </c>
      <c r="AD77" s="22">
        <f t="shared" si="37"/>
        <v>28.826213370205579</v>
      </c>
      <c r="AE77" s="26">
        <f t="shared" si="38"/>
        <v>0.15837698996057981</v>
      </c>
      <c r="AF77" s="21">
        <f t="shared" si="39"/>
        <v>29.00137202846377</v>
      </c>
      <c r="AG77" s="26">
        <f t="shared" si="40"/>
        <v>0.27343836642712255</v>
      </c>
    </row>
    <row r="78" spans="1:33">
      <c r="A78" s="49" t="s">
        <v>389</v>
      </c>
      <c r="B78" s="113">
        <v>1100</v>
      </c>
      <c r="C78" s="49"/>
      <c r="D78" s="50"/>
      <c r="E78" s="57">
        <v>0.9251325507051027</v>
      </c>
      <c r="F78" s="58">
        <v>3.4003105625016411E-4</v>
      </c>
      <c r="G78" s="21"/>
      <c r="H78" s="26"/>
      <c r="I78" s="98">
        <v>0.89190999999999998</v>
      </c>
      <c r="J78" s="51">
        <v>5.4999999999999494E-4</v>
      </c>
      <c r="K78" s="106">
        <f t="shared" si="18"/>
        <v>0.89135999999999993</v>
      </c>
      <c r="L78" s="106">
        <f t="shared" si="19"/>
        <v>0.89246000000000003</v>
      </c>
      <c r="M78" s="21">
        <v>28.465874223490278</v>
      </c>
      <c r="N78" s="22">
        <v>28.149251645539639</v>
      </c>
      <c r="O78" s="22">
        <f t="shared" si="31"/>
        <v>28.307562934514959</v>
      </c>
      <c r="P78" s="26">
        <f t="shared" si="32"/>
        <v>0.15831128897531954</v>
      </c>
      <c r="Q78" s="21">
        <v>28.172505803762213</v>
      </c>
      <c r="R78" s="22">
        <v>27.858980661742596</v>
      </c>
      <c r="S78" s="22">
        <f t="shared" si="33"/>
        <v>28.015743232752406</v>
      </c>
      <c r="T78" s="26">
        <f t="shared" si="34"/>
        <v>0.15676257100980884</v>
      </c>
      <c r="U78" s="23">
        <v>1137.3642945019592</v>
      </c>
      <c r="V78" s="24">
        <v>1137.1465109596409</v>
      </c>
      <c r="W78" s="25">
        <f t="shared" si="24"/>
        <v>1137.2554027308001</v>
      </c>
      <c r="X78" s="21">
        <v>28.709072319815153</v>
      </c>
      <c r="Y78" s="22">
        <v>28.390885878526735</v>
      </c>
      <c r="Z78" s="22">
        <f t="shared" si="35"/>
        <v>28.549979099170944</v>
      </c>
      <c r="AA78" s="26">
        <f t="shared" si="36"/>
        <v>0.15909322064420905</v>
      </c>
      <c r="AB78" s="21">
        <v>28.405589390614224</v>
      </c>
      <c r="AC78" s="22">
        <v>28.090656524060542</v>
      </c>
      <c r="AD78" s="22">
        <f t="shared" si="37"/>
        <v>28.248122957337383</v>
      </c>
      <c r="AE78" s="26">
        <f t="shared" si="38"/>
        <v>0.1574664332768414</v>
      </c>
      <c r="AF78" s="21">
        <f t="shared" si="39"/>
        <v>28.399051028254163</v>
      </c>
      <c r="AG78" s="26">
        <f t="shared" si="40"/>
        <v>0.25254028806667439</v>
      </c>
    </row>
    <row r="79" spans="1:33">
      <c r="A79" s="49" t="s">
        <v>390</v>
      </c>
      <c r="B79" s="113">
        <v>900</v>
      </c>
      <c r="C79" s="49"/>
      <c r="D79" s="50"/>
      <c r="E79" s="57">
        <v>0.92213042018745572</v>
      </c>
      <c r="F79" s="58">
        <v>3.4571303090428595E-4</v>
      </c>
      <c r="G79" s="21"/>
      <c r="H79" s="26"/>
      <c r="I79" s="98">
        <v>0.88936999999999999</v>
      </c>
      <c r="J79" s="51">
        <v>5.6999999999995943E-4</v>
      </c>
      <c r="K79" s="106">
        <f t="shared" si="18"/>
        <v>0.88880000000000003</v>
      </c>
      <c r="L79" s="106">
        <f t="shared" si="19"/>
        <v>0.88993999999999995</v>
      </c>
      <c r="M79" s="21">
        <v>27.917242603007374</v>
      </c>
      <c r="N79" s="22">
        <v>27.585376119732601</v>
      </c>
      <c r="O79" s="22">
        <f t="shared" si="31"/>
        <v>27.751309361369987</v>
      </c>
      <c r="P79" s="26">
        <f t="shared" si="32"/>
        <v>0.16593324163738643</v>
      </c>
      <c r="Q79" s="21">
        <v>27.671538214852966</v>
      </c>
      <c r="R79" s="22">
        <v>27.342312218275339</v>
      </c>
      <c r="S79" s="22">
        <f t="shared" si="33"/>
        <v>27.506925216564152</v>
      </c>
      <c r="T79" s="26">
        <f t="shared" si="34"/>
        <v>0.16461299828881337</v>
      </c>
      <c r="U79" s="23">
        <v>926.91575271140243</v>
      </c>
      <c r="V79" s="24">
        <v>926.74708649228637</v>
      </c>
      <c r="W79" s="25">
        <f t="shared" si="24"/>
        <v>926.83141960184435</v>
      </c>
      <c r="X79" s="21">
        <v>28.089930595925949</v>
      </c>
      <c r="Y79" s="22">
        <v>27.756881599540264</v>
      </c>
      <c r="Z79" s="22">
        <f t="shared" si="35"/>
        <v>27.923406097733107</v>
      </c>
      <c r="AA79" s="26">
        <f t="shared" si="36"/>
        <v>0.16652449819284243</v>
      </c>
      <c r="AB79" s="21">
        <v>27.836913055517606</v>
      </c>
      <c r="AC79" s="22">
        <v>27.506621345662253</v>
      </c>
      <c r="AD79" s="22">
        <f t="shared" si="37"/>
        <v>27.67176720058993</v>
      </c>
      <c r="AE79" s="26">
        <f t="shared" si="38"/>
        <v>0.16514585492767608</v>
      </c>
      <c r="AF79" s="21">
        <f t="shared" si="39"/>
        <v>27.79758664916152</v>
      </c>
      <c r="AG79" s="26">
        <f t="shared" si="40"/>
        <v>0.24036725952298951</v>
      </c>
    </row>
    <row r="80" spans="1:33">
      <c r="A80" s="49" t="s">
        <v>391</v>
      </c>
      <c r="B80" s="113">
        <v>1700</v>
      </c>
      <c r="C80" s="49"/>
      <c r="D80" s="50"/>
      <c r="E80" s="57">
        <v>0.91701870909869221</v>
      </c>
      <c r="F80" s="58">
        <v>3.7931042188442876E-4</v>
      </c>
      <c r="G80" s="21"/>
      <c r="H80" s="26"/>
      <c r="I80" s="98">
        <v>0.88117000000000001</v>
      </c>
      <c r="J80" s="51">
        <v>7.1999999999999842E-4</v>
      </c>
      <c r="K80" s="106">
        <f t="shared" si="18"/>
        <v>0.88044999999999995</v>
      </c>
      <c r="L80" s="106">
        <f t="shared" si="19"/>
        <v>0.88189000000000006</v>
      </c>
      <c r="M80" s="21">
        <v>35.681709686981108</v>
      </c>
      <c r="N80" s="22">
        <v>35.239105714603411</v>
      </c>
      <c r="O80" s="22">
        <f t="shared" si="31"/>
        <v>35.46040770079226</v>
      </c>
      <c r="P80" s="26">
        <f t="shared" si="32"/>
        <v>0.22130198618884833</v>
      </c>
      <c r="Q80" s="21">
        <v>35.177998537179398</v>
      </c>
      <c r="R80" s="22">
        <v>34.741367862487337</v>
      </c>
      <c r="S80" s="22">
        <f t="shared" si="33"/>
        <v>34.959683199833364</v>
      </c>
      <c r="T80" s="26">
        <f t="shared" si="34"/>
        <v>0.2183153373460307</v>
      </c>
      <c r="U80" s="23">
        <v>1787.0082377213892</v>
      </c>
      <c r="V80" s="24">
        <v>1786.4785752353841</v>
      </c>
      <c r="W80" s="25">
        <f t="shared" si="24"/>
        <v>1786.7434064783865</v>
      </c>
      <c r="X80" s="21">
        <v>36.26257023260375</v>
      </c>
      <c r="Y80" s="22">
        <v>35.815899994381063</v>
      </c>
      <c r="Z80" s="22">
        <f t="shared" si="35"/>
        <v>36.03923511349241</v>
      </c>
      <c r="AA80" s="26">
        <f t="shared" si="36"/>
        <v>0.22333511911134352</v>
      </c>
      <c r="AB80" s="21">
        <v>35.732423286694072</v>
      </c>
      <c r="AC80" s="22">
        <v>35.292200712432383</v>
      </c>
      <c r="AD80" s="22">
        <f>(AB80+AC80)/2</f>
        <v>35.512311999563224</v>
      </c>
      <c r="AE80" s="26">
        <f>(AB80-AC80)/2</f>
        <v>0.2201112871308446</v>
      </c>
      <c r="AF80" s="21">
        <f>AVERAGE(X80,Y80,AB80,AC80)</f>
        <v>35.775773556527817</v>
      </c>
      <c r="AG80" s="26">
        <f>STDEV(X80,Y80,AB80,AC80)</f>
        <v>0.39761919650781985</v>
      </c>
    </row>
    <row r="81" spans="1:33">
      <c r="A81" s="49" t="s">
        <v>392</v>
      </c>
      <c r="B81" s="113">
        <v>1800</v>
      </c>
      <c r="C81" s="49"/>
      <c r="D81" s="50"/>
      <c r="E81" s="57">
        <v>0.91759755088766592</v>
      </c>
      <c r="F81" s="58">
        <v>4.0151714324940485E-4</v>
      </c>
      <c r="G81" s="21"/>
      <c r="H81" s="26"/>
      <c r="I81" s="98">
        <v>0.88078999999999996</v>
      </c>
      <c r="J81" s="51">
        <v>5.4999999999999494E-4</v>
      </c>
      <c r="K81" s="106">
        <f t="shared" si="18"/>
        <v>0.88023999999999991</v>
      </c>
      <c r="L81" s="106">
        <f t="shared" si="19"/>
        <v>0.88134000000000001</v>
      </c>
      <c r="M81" s="21">
        <v>36.41429021476155</v>
      </c>
      <c r="N81" s="22">
        <v>36.075030716870032</v>
      </c>
      <c r="O81" s="22">
        <f t="shared" si="31"/>
        <v>36.244660465815791</v>
      </c>
      <c r="P81" s="26">
        <f t="shared" si="32"/>
        <v>0.16962974894575922</v>
      </c>
      <c r="Q81" s="21">
        <v>35.879271134912216</v>
      </c>
      <c r="R81" s="22">
        <v>35.544845084555675</v>
      </c>
      <c r="S81" s="22">
        <f t="shared" si="33"/>
        <v>35.712058109733945</v>
      </c>
      <c r="T81" s="26">
        <f t="shared" si="34"/>
        <v>0.16721302517827041</v>
      </c>
      <c r="U81" s="23">
        <v>1897.0773011389231</v>
      </c>
      <c r="V81" s="24">
        <v>1896.6366682228136</v>
      </c>
      <c r="W81" s="25">
        <f t="shared" si="24"/>
        <v>1896.8569846808682</v>
      </c>
      <c r="X81" s="21">
        <v>37.063424613374636</v>
      </c>
      <c r="Y81" s="22">
        <v>36.720761350038799</v>
      </c>
      <c r="Z81" s="22">
        <f t="shared" si="35"/>
        <v>36.892092981706718</v>
      </c>
      <c r="AA81" s="26">
        <f t="shared" si="36"/>
        <v>0.17133163166791832</v>
      </c>
      <c r="AB81" s="21">
        <v>36.498806561227276</v>
      </c>
      <c r="AC81" s="22">
        <v>36.161379585683775</v>
      </c>
      <c r="AD81" s="22">
        <f t="shared" ref="AD81:AD123" si="41">(AB81+AC81)/2</f>
        <v>36.330093073455529</v>
      </c>
      <c r="AE81" s="26">
        <f t="shared" ref="AE81:AE123" si="42">(AB81-AC81)/2</f>
        <v>0.16871348777175044</v>
      </c>
      <c r="AF81" s="21">
        <f t="shared" ref="AF81:AF123" si="43">AVERAGE(X81,Y81,AB81,AC81)</f>
        <v>36.61109302758112</v>
      </c>
      <c r="AG81" s="26">
        <f t="shared" ref="AG81:AG123" si="44">STDEV(X81,Y81,AB81,AC81)</f>
        <v>0.37924549428505522</v>
      </c>
    </row>
    <row r="82" spans="1:33">
      <c r="A82" s="49" t="s">
        <v>393</v>
      </c>
      <c r="B82" s="113">
        <v>1700</v>
      </c>
      <c r="C82" s="49"/>
      <c r="D82" s="50"/>
      <c r="E82" s="57">
        <v>0.91598151476368106</v>
      </c>
      <c r="F82" s="58">
        <v>4.1470327701204079E-4</v>
      </c>
      <c r="G82" s="21"/>
      <c r="H82" s="26"/>
      <c r="I82" s="98">
        <v>0.87955000000000005</v>
      </c>
      <c r="J82" s="51">
        <v>5.4999999999999494E-4</v>
      </c>
      <c r="K82" s="106">
        <f t="shared" si="18"/>
        <v>0.879</v>
      </c>
      <c r="L82" s="106">
        <f t="shared" si="19"/>
        <v>0.8801000000000001</v>
      </c>
      <c r="M82" s="21">
        <v>36.130865852651468</v>
      </c>
      <c r="N82" s="22">
        <v>35.789806060236792</v>
      </c>
      <c r="O82" s="22">
        <f t="shared" si="31"/>
        <v>35.960335956444126</v>
      </c>
      <c r="P82" s="26">
        <f t="shared" si="32"/>
        <v>0.17052989620733783</v>
      </c>
      <c r="Q82" s="21">
        <v>35.621173818477587</v>
      </c>
      <c r="R82" s="22">
        <v>35.284648034653671</v>
      </c>
      <c r="S82" s="22">
        <f t="shared" si="33"/>
        <v>35.452910926565629</v>
      </c>
      <c r="T82" s="26">
        <f t="shared" si="34"/>
        <v>0.16826289191195798</v>
      </c>
      <c r="U82" s="23">
        <v>1787.5403774423294</v>
      </c>
      <c r="V82" s="24">
        <v>1787.1367949582866</v>
      </c>
      <c r="W82" s="25">
        <f t="shared" si="24"/>
        <v>1787.3385862003079</v>
      </c>
      <c r="X82" s="21">
        <v>36.715823889451293</v>
      </c>
      <c r="Y82" s="22">
        <v>36.371655374430063</v>
      </c>
      <c r="Z82" s="22">
        <f t="shared" si="35"/>
        <v>36.543739631940682</v>
      </c>
      <c r="AA82" s="26">
        <f t="shared" si="36"/>
        <v>0.1720842575106154</v>
      </c>
      <c r="AB82" s="21">
        <v>36.179213843374548</v>
      </c>
      <c r="AC82" s="22">
        <v>35.83994557458891</v>
      </c>
      <c r="AD82" s="22">
        <f t="shared" si="41"/>
        <v>36.009579708981732</v>
      </c>
      <c r="AE82" s="26">
        <f t="shared" si="42"/>
        <v>0.16963413439281894</v>
      </c>
      <c r="AF82" s="21">
        <f t="shared" si="43"/>
        <v>36.276659670461207</v>
      </c>
      <c r="AG82" s="26">
        <f t="shared" si="44"/>
        <v>0.36610758244167879</v>
      </c>
    </row>
    <row r="83" spans="1:33">
      <c r="A83" s="49" t="s">
        <v>394</v>
      </c>
      <c r="B83" s="113">
        <v>1500</v>
      </c>
      <c r="C83" s="49"/>
      <c r="D83" s="50"/>
      <c r="E83" s="57">
        <v>0.91314005780247653</v>
      </c>
      <c r="F83" s="58">
        <v>4.1350011169449937E-4</v>
      </c>
      <c r="G83" s="21"/>
      <c r="H83" s="26"/>
      <c r="I83" s="98">
        <v>0.87707000000000002</v>
      </c>
      <c r="J83" s="51">
        <v>5.4999999999999494E-4</v>
      </c>
      <c r="K83" s="106">
        <f t="shared" si="18"/>
        <v>0.87651999999999997</v>
      </c>
      <c r="L83" s="106">
        <f t="shared" si="19"/>
        <v>0.87762000000000007</v>
      </c>
      <c r="M83" s="21">
        <v>35.572169557397558</v>
      </c>
      <c r="N83" s="22">
        <v>35.227467936509107</v>
      </c>
      <c r="O83" s="22">
        <f t="shared" si="31"/>
        <v>35.399818746953329</v>
      </c>
      <c r="P83" s="26">
        <f t="shared" si="32"/>
        <v>0.17235081044422529</v>
      </c>
      <c r="Q83" s="21">
        <v>35.114894732325041</v>
      </c>
      <c r="R83" s="22">
        <v>34.774121851473758</v>
      </c>
      <c r="S83" s="22">
        <f t="shared" si="33"/>
        <v>34.944508291899396</v>
      </c>
      <c r="T83" s="26">
        <f t="shared" si="34"/>
        <v>0.17038644042564144</v>
      </c>
      <c r="U83" s="23">
        <v>1570.0406744945305</v>
      </c>
      <c r="V83" s="24">
        <v>1569.7075783944322</v>
      </c>
      <c r="W83" s="25">
        <f t="shared" si="24"/>
        <v>1569.8741264444814</v>
      </c>
      <c r="X83" s="21">
        <v>36.039089626455379</v>
      </c>
      <c r="Y83" s="22">
        <v>35.691840469131208</v>
      </c>
      <c r="Z83" s="22">
        <f t="shared" si="35"/>
        <v>35.865465047793293</v>
      </c>
      <c r="AA83" s="26">
        <f t="shared" si="36"/>
        <v>0.17362457866208558</v>
      </c>
      <c r="AB83" s="21">
        <v>35.559941295008791</v>
      </c>
      <c r="AC83" s="22">
        <v>35.216918312289394</v>
      </c>
      <c r="AD83" s="22">
        <f t="shared" si="41"/>
        <v>35.388429803649089</v>
      </c>
      <c r="AE83" s="26">
        <f t="shared" si="42"/>
        <v>0.17151149135969845</v>
      </c>
      <c r="AF83" s="21">
        <f t="shared" si="43"/>
        <v>35.626947425721198</v>
      </c>
      <c r="AG83" s="26">
        <f t="shared" si="44"/>
        <v>0.33994411115345929</v>
      </c>
    </row>
    <row r="84" spans="1:33">
      <c r="A84" s="49" t="s">
        <v>395</v>
      </c>
      <c r="B84" s="113">
        <v>1300</v>
      </c>
      <c r="C84" s="49"/>
      <c r="D84" s="50"/>
      <c r="E84" s="57">
        <v>0.9101174765821205</v>
      </c>
      <c r="F84" s="58">
        <v>4.0673543620030599E-4</v>
      </c>
      <c r="G84" s="21"/>
      <c r="H84" s="26"/>
      <c r="I84" s="98">
        <v>0.87446999999999997</v>
      </c>
      <c r="J84" s="51">
        <v>5.4999999999999494E-4</v>
      </c>
      <c r="K84" s="106">
        <f t="shared" si="18"/>
        <v>0.87392000000000003</v>
      </c>
      <c r="L84" s="106">
        <f t="shared" si="19"/>
        <v>0.87501999999999991</v>
      </c>
      <c r="M84" s="21">
        <v>35.064469959908884</v>
      </c>
      <c r="N84" s="22">
        <v>34.715837700773939</v>
      </c>
      <c r="O84" s="22">
        <f t="shared" si="31"/>
        <v>34.890153830341411</v>
      </c>
      <c r="P84" s="26">
        <f t="shared" si="32"/>
        <v>0.17431612956747244</v>
      </c>
      <c r="Q84" s="21">
        <v>34.661506152396854</v>
      </c>
      <c r="R84" s="22">
        <v>34.316187182308127</v>
      </c>
      <c r="S84" s="22">
        <f t="shared" si="33"/>
        <v>34.48884666735249</v>
      </c>
      <c r="T84" s="26">
        <f t="shared" si="34"/>
        <v>0.17265948504436324</v>
      </c>
      <c r="U84" s="23">
        <v>1354.6342185998637</v>
      </c>
      <c r="V84" s="24">
        <v>1354.3664393126842</v>
      </c>
      <c r="W84" s="25">
        <f t="shared" si="24"/>
        <v>1354.500328956274</v>
      </c>
      <c r="X84" s="21">
        <v>35.427119893101619</v>
      </c>
      <c r="Y84" s="22">
        <v>35.076459853161126</v>
      </c>
      <c r="Z84" s="22">
        <f t="shared" si="35"/>
        <v>35.251789873131372</v>
      </c>
      <c r="AA84" s="26">
        <f t="shared" si="36"/>
        <v>0.17533001997024655</v>
      </c>
      <c r="AB84" s="21">
        <v>35.006858789604465</v>
      </c>
      <c r="AC84" s="22">
        <v>34.65974688888204</v>
      </c>
      <c r="AD84" s="22">
        <f t="shared" si="41"/>
        <v>34.833302839243252</v>
      </c>
      <c r="AE84" s="26">
        <f t="shared" si="42"/>
        <v>0.1735559503612123</v>
      </c>
      <c r="AF84" s="21">
        <f t="shared" si="43"/>
        <v>35.042546356187316</v>
      </c>
      <c r="AG84" s="26">
        <f t="shared" si="44"/>
        <v>0.31456634973116965</v>
      </c>
    </row>
    <row r="85" spans="1:33">
      <c r="A85" s="49" t="s">
        <v>396</v>
      </c>
      <c r="B85" s="113">
        <v>1100</v>
      </c>
      <c r="C85" s="49"/>
      <c r="D85" s="50"/>
      <c r="E85" s="57">
        <v>0.90726794003776001</v>
      </c>
      <c r="F85" s="58">
        <v>3.9108085040120998E-4</v>
      </c>
      <c r="G85" s="21"/>
      <c r="H85" s="26"/>
      <c r="I85" s="98">
        <v>0.87185999999999997</v>
      </c>
      <c r="J85" s="51">
        <v>5.3999999999998494E-4</v>
      </c>
      <c r="K85" s="106">
        <f t="shared" si="18"/>
        <v>0.87131999999999998</v>
      </c>
      <c r="L85" s="106">
        <f t="shared" si="19"/>
        <v>0.87239999999999995</v>
      </c>
      <c r="M85" s="21">
        <v>34.574327767206825</v>
      </c>
      <c r="N85" s="22">
        <v>34.228072944660028</v>
      </c>
      <c r="O85" s="22">
        <f t="shared" si="31"/>
        <v>34.401200355933426</v>
      </c>
      <c r="P85" s="26">
        <f t="shared" si="32"/>
        <v>0.17312741127339848</v>
      </c>
      <c r="Q85" s="21">
        <v>34.227854364305685</v>
      </c>
      <c r="R85" s="22">
        <v>33.884243078471144</v>
      </c>
      <c r="S85" s="22">
        <f t="shared" si="33"/>
        <v>34.056048721388414</v>
      </c>
      <c r="T85" s="26">
        <f t="shared" si="34"/>
        <v>0.17180564291727052</v>
      </c>
      <c r="U85" s="23">
        <v>1141.2370100177145</v>
      </c>
      <c r="V85" s="24">
        <v>1141.0325730606482</v>
      </c>
      <c r="W85" s="25">
        <f t="shared" si="24"/>
        <v>1141.1347915391814</v>
      </c>
      <c r="X85" s="21">
        <v>34.845884562912417</v>
      </c>
      <c r="Y85" s="22">
        <v>34.498105197426568</v>
      </c>
      <c r="Z85" s="22">
        <f t="shared" si="35"/>
        <v>34.671994880169493</v>
      </c>
      <c r="AA85" s="26">
        <f t="shared" si="36"/>
        <v>0.17388968274292438</v>
      </c>
      <c r="AB85" s="21">
        <v>34.486238232756904</v>
      </c>
      <c r="AC85" s="22">
        <v>34.141277585290581</v>
      </c>
      <c r="AD85" s="22">
        <f t="shared" si="41"/>
        <v>34.313757909023742</v>
      </c>
      <c r="AE85" s="26">
        <f t="shared" si="42"/>
        <v>0.17248032373316136</v>
      </c>
      <c r="AF85" s="21">
        <f t="shared" si="43"/>
        <v>34.492876394596621</v>
      </c>
      <c r="AG85" s="26">
        <f t="shared" si="44"/>
        <v>0.28769653872019568</v>
      </c>
    </row>
    <row r="86" spans="1:33">
      <c r="A86" s="49" t="s">
        <v>397</v>
      </c>
      <c r="B86" s="113">
        <v>900</v>
      </c>
      <c r="C86" s="49"/>
      <c r="D86" s="50"/>
      <c r="E86" s="57">
        <v>0.90498965139567944</v>
      </c>
      <c r="F86" s="58">
        <v>3.7749776007625424E-4</v>
      </c>
      <c r="G86" s="21"/>
      <c r="H86" s="26"/>
      <c r="I86" s="98">
        <v>0.86943999999999999</v>
      </c>
      <c r="J86" s="51">
        <v>5.3000000000003045E-4</v>
      </c>
      <c r="K86" s="106">
        <f t="shared" si="18"/>
        <v>0.86890999999999996</v>
      </c>
      <c r="L86" s="106">
        <f t="shared" si="19"/>
        <v>0.86997000000000002</v>
      </c>
      <c r="M86" s="21">
        <v>34.047062288294306</v>
      </c>
      <c r="N86" s="22">
        <v>33.703572955367484</v>
      </c>
      <c r="O86" s="22">
        <f t="shared" si="31"/>
        <v>33.875317621830895</v>
      </c>
      <c r="P86" s="26">
        <f t="shared" si="32"/>
        <v>0.17174466646341102</v>
      </c>
      <c r="Q86" s="21">
        <v>33.759196433809059</v>
      </c>
      <c r="R86" s="22">
        <v>33.41770991637695</v>
      </c>
      <c r="S86" s="22">
        <f t="shared" si="33"/>
        <v>33.588453175093008</v>
      </c>
      <c r="T86" s="26">
        <f t="shared" si="34"/>
        <v>0.17074325871605467</v>
      </c>
      <c r="U86" s="23">
        <v>929.78249338071214</v>
      </c>
      <c r="V86" s="24">
        <v>929.63308764719704</v>
      </c>
      <c r="W86" s="25">
        <f t="shared" si="24"/>
        <v>929.70779051395459</v>
      </c>
      <c r="X86" s="21">
        <v>34.240218935533278</v>
      </c>
      <c r="Y86" s="22">
        <v>33.895644561798314</v>
      </c>
      <c r="Z86" s="22">
        <f t="shared" si="35"/>
        <v>34.067931748665799</v>
      </c>
      <c r="AA86" s="26">
        <f t="shared" si="36"/>
        <v>0.17228718686748223</v>
      </c>
      <c r="AB86" s="21">
        <v>33.942854175410972</v>
      </c>
      <c r="AC86" s="22">
        <v>33.600406150737626</v>
      </c>
      <c r="AD86" s="22">
        <f t="shared" si="41"/>
        <v>33.771630163074299</v>
      </c>
      <c r="AE86" s="26">
        <f t="shared" si="42"/>
        <v>0.17122401233667262</v>
      </c>
      <c r="AF86" s="21">
        <f t="shared" si="43"/>
        <v>33.919780955870053</v>
      </c>
      <c r="AG86" s="26">
        <f t="shared" si="44"/>
        <v>0.26191328332280428</v>
      </c>
    </row>
    <row r="87" spans="1:33">
      <c r="A87" s="49" t="s">
        <v>398</v>
      </c>
      <c r="B87" s="113">
        <v>700</v>
      </c>
      <c r="C87" s="49"/>
      <c r="D87" s="50"/>
      <c r="E87" s="57">
        <v>0.90255810290095795</v>
      </c>
      <c r="F87" s="58">
        <v>3.6461218162441744E-4</v>
      </c>
      <c r="G87" s="21"/>
      <c r="H87" s="26"/>
      <c r="I87" s="98">
        <v>0.86709000000000003</v>
      </c>
      <c r="J87" s="51">
        <v>5.2999999999997494E-4</v>
      </c>
      <c r="K87" s="106">
        <f t="shared" si="18"/>
        <v>0.86656</v>
      </c>
      <c r="L87" s="106">
        <f t="shared" si="19"/>
        <v>0.86762000000000006</v>
      </c>
      <c r="M87" s="21">
        <v>33.537880499061849</v>
      </c>
      <c r="N87" s="22">
        <v>33.190718758919658</v>
      </c>
      <c r="O87" s="22">
        <f t="shared" si="31"/>
        <v>33.36429962899075</v>
      </c>
      <c r="P87" s="26">
        <f t="shared" si="32"/>
        <v>0.17358087007109546</v>
      </c>
      <c r="Q87" s="21">
        <v>33.309354726421041</v>
      </c>
      <c r="R87" s="22">
        <v>32.963618893309942</v>
      </c>
      <c r="S87" s="22">
        <f t="shared" si="33"/>
        <v>33.136486809865488</v>
      </c>
      <c r="T87" s="26">
        <f t="shared" si="34"/>
        <v>0.17286791655554978</v>
      </c>
      <c r="U87" s="23">
        <v>720.26796095541272</v>
      </c>
      <c r="V87" s="24">
        <v>720.16318154084286</v>
      </c>
      <c r="W87" s="25">
        <f t="shared" si="24"/>
        <v>720.21557124812784</v>
      </c>
      <c r="X87" s="21">
        <v>33.665237109987899</v>
      </c>
      <c r="Y87" s="22">
        <v>33.317352295962941</v>
      </c>
      <c r="Z87" s="22">
        <f t="shared" si="35"/>
        <v>33.491294702975424</v>
      </c>
      <c r="AA87" s="26">
        <f t="shared" si="36"/>
        <v>0.17394240701247909</v>
      </c>
      <c r="AB87" s="21">
        <v>33.430388330401534</v>
      </c>
      <c r="AC87" s="22">
        <v>33.084010882346547</v>
      </c>
      <c r="AD87" s="22">
        <f t="shared" si="41"/>
        <v>33.257199606374044</v>
      </c>
      <c r="AE87" s="26">
        <f t="shared" si="42"/>
        <v>0.17318872402749363</v>
      </c>
      <c r="AF87" s="21">
        <f t="shared" si="43"/>
        <v>33.374247154674734</v>
      </c>
      <c r="AG87" s="26">
        <f t="shared" si="44"/>
        <v>0.24173063826495092</v>
      </c>
    </row>
    <row r="88" spans="1:33">
      <c r="A88" s="49" t="s">
        <v>399</v>
      </c>
      <c r="B88" s="113">
        <v>1700</v>
      </c>
      <c r="C88" s="49"/>
      <c r="D88" s="50"/>
      <c r="E88" s="57">
        <v>0.95127414169278179</v>
      </c>
      <c r="F88" s="58">
        <v>3.9814142147426935E-4</v>
      </c>
      <c r="G88" s="21"/>
      <c r="H88" s="26"/>
      <c r="I88" s="98">
        <v>0.92108999999999996</v>
      </c>
      <c r="J88" s="51">
        <v>3.7999999999999146E-4</v>
      </c>
      <c r="K88" s="106">
        <f t="shared" si="18"/>
        <v>0.92070999999999992</v>
      </c>
      <c r="L88" s="106">
        <f t="shared" si="19"/>
        <v>0.92147000000000001</v>
      </c>
      <c r="M88" s="21">
        <v>24.511985442751062</v>
      </c>
      <c r="N88" s="22">
        <v>24.323520132719906</v>
      </c>
      <c r="O88" s="22">
        <f t="shared" si="31"/>
        <v>24.417752787735484</v>
      </c>
      <c r="P88" s="26">
        <f t="shared" si="32"/>
        <v>9.4232655015577649E-2</v>
      </c>
      <c r="Q88" s="21">
        <v>24.17963445402598</v>
      </c>
      <c r="R88" s="22">
        <v>23.994355126863674</v>
      </c>
      <c r="S88" s="22">
        <f t="shared" si="33"/>
        <v>24.086994790444827</v>
      </c>
      <c r="T88" s="26">
        <f t="shared" si="34"/>
        <v>9.2639663581152831E-2</v>
      </c>
      <c r="U88" s="23">
        <v>1771.6864892427714</v>
      </c>
      <c r="V88" s="24">
        <v>1771.3856318843941</v>
      </c>
      <c r="W88" s="25">
        <f t="shared" si="24"/>
        <v>1771.5360605635829</v>
      </c>
      <c r="X88" s="21">
        <v>24.979615206469695</v>
      </c>
      <c r="Y88" s="22">
        <v>24.789008122312911</v>
      </c>
      <c r="Z88" s="22">
        <f t="shared" si="35"/>
        <v>24.884311664391305</v>
      </c>
      <c r="AA88" s="26">
        <f t="shared" si="36"/>
        <v>9.5303542078392312E-2</v>
      </c>
      <c r="AB88" s="21">
        <v>24.632415567090362</v>
      </c>
      <c r="AC88" s="22">
        <v>24.445180230257655</v>
      </c>
      <c r="AD88" s="22">
        <f t="shared" si="41"/>
        <v>24.538797898674009</v>
      </c>
      <c r="AE88" s="26">
        <f t="shared" si="42"/>
        <v>9.3617668416353439E-2</v>
      </c>
      <c r="AF88" s="21">
        <f t="shared" si="43"/>
        <v>24.711554781532655</v>
      </c>
      <c r="AG88" s="26">
        <f t="shared" si="44"/>
        <v>0.22735715533417886</v>
      </c>
    </row>
    <row r="89" spans="1:33">
      <c r="A89" s="49" t="s">
        <v>400</v>
      </c>
      <c r="B89" s="113">
        <v>1700</v>
      </c>
      <c r="C89" s="49"/>
      <c r="D89" s="50"/>
      <c r="E89" s="57">
        <v>0.94965050600782186</v>
      </c>
      <c r="F89" s="58">
        <v>2.8941419388606399E-4</v>
      </c>
      <c r="G89" s="21"/>
      <c r="H89" s="26"/>
      <c r="I89" s="98">
        <v>0.91910000000000003</v>
      </c>
      <c r="J89" s="51">
        <v>2.5999999999998247E-4</v>
      </c>
      <c r="K89" s="106">
        <f t="shared" si="18"/>
        <v>0.9188400000000001</v>
      </c>
      <c r="L89" s="106">
        <f t="shared" si="19"/>
        <v>0.91935999999999996</v>
      </c>
      <c r="M89" s="21">
        <v>24.979003968610186</v>
      </c>
      <c r="N89" s="22">
        <v>24.848665827126737</v>
      </c>
      <c r="O89" s="22">
        <f t="shared" si="31"/>
        <v>24.913834897868462</v>
      </c>
      <c r="P89" s="26">
        <f t="shared" si="32"/>
        <v>6.5169070741724511E-2</v>
      </c>
      <c r="Q89" s="21">
        <v>24.638787860634636</v>
      </c>
      <c r="R89" s="22">
        <v>24.510640387824726</v>
      </c>
      <c r="S89" s="22">
        <f t="shared" si="33"/>
        <v>24.574714124229679</v>
      </c>
      <c r="T89" s="26">
        <f t="shared" si="34"/>
        <v>6.4073736404955284E-2</v>
      </c>
      <c r="U89" s="23">
        <v>1772.4246883553435</v>
      </c>
      <c r="V89" s="24">
        <v>1772.2197069167112</v>
      </c>
      <c r="W89" s="25">
        <f t="shared" si="24"/>
        <v>1772.3221976360273</v>
      </c>
      <c r="X89" s="21">
        <v>25.451900766044307</v>
      </c>
      <c r="Y89" s="22">
        <v>25.32009838437331</v>
      </c>
      <c r="Z89" s="22">
        <f t="shared" si="35"/>
        <v>25.385999575208807</v>
      </c>
      <c r="AA89" s="26">
        <f t="shared" si="36"/>
        <v>6.5901190835498724E-2</v>
      </c>
      <c r="AB89" s="21">
        <v>25.096373796987368</v>
      </c>
      <c r="AC89" s="22">
        <v>24.96689134618439</v>
      </c>
      <c r="AD89" s="22">
        <f t="shared" si="41"/>
        <v>25.031632571585881</v>
      </c>
      <c r="AE89" s="26">
        <f t="shared" si="42"/>
        <v>6.4741225401489189E-2</v>
      </c>
      <c r="AF89" s="21">
        <f t="shared" si="43"/>
        <v>25.208816073397344</v>
      </c>
      <c r="AG89" s="26">
        <f t="shared" si="44"/>
        <v>0.21805561958419364</v>
      </c>
    </row>
    <row r="90" spans="1:33">
      <c r="A90" s="49" t="s">
        <v>401</v>
      </c>
      <c r="B90" s="113">
        <v>1500</v>
      </c>
      <c r="C90" s="49"/>
      <c r="D90" s="50"/>
      <c r="E90" s="57">
        <v>0.94571922612040948</v>
      </c>
      <c r="F90" s="58">
        <v>4.0826083949263629E-4</v>
      </c>
      <c r="G90" s="21"/>
      <c r="H90" s="26"/>
      <c r="I90" s="98">
        <v>0.91498999999999997</v>
      </c>
      <c r="J90" s="51">
        <v>3.6999999999998145E-4</v>
      </c>
      <c r="K90" s="106">
        <f t="shared" si="18"/>
        <v>0.91461999999999999</v>
      </c>
      <c r="L90" s="106">
        <f t="shared" si="19"/>
        <v>0.91535999999999995</v>
      </c>
      <c r="M90" s="21">
        <v>24.744497091472976</v>
      </c>
      <c r="N90" s="22">
        <v>24.555369174002017</v>
      </c>
      <c r="O90" s="22">
        <f t="shared" si="31"/>
        <v>24.649933132737495</v>
      </c>
      <c r="P90" s="26">
        <f t="shared" si="32"/>
        <v>9.4563958735479403E-2</v>
      </c>
      <c r="Q90" s="21">
        <v>24.430522829887568</v>
      </c>
      <c r="R90" s="22">
        <v>24.244198151144957</v>
      </c>
      <c r="S90" s="22">
        <f t="shared" si="33"/>
        <v>24.337360490516261</v>
      </c>
      <c r="T90" s="26">
        <f t="shared" si="34"/>
        <v>9.3162339371305691E-2</v>
      </c>
      <c r="U90" s="23">
        <v>1558.0871851087516</v>
      </c>
      <c r="V90" s="24">
        <v>1557.845391786597</v>
      </c>
      <c r="W90" s="25">
        <f t="shared" si="24"/>
        <v>1557.9662884476743</v>
      </c>
      <c r="X90" s="21">
        <v>25.123261319874914</v>
      </c>
      <c r="Y90" s="22">
        <v>24.932412485368719</v>
      </c>
      <c r="Z90" s="22">
        <f t="shared" si="35"/>
        <v>25.027836902621814</v>
      </c>
      <c r="AA90" s="26">
        <f t="shared" si="36"/>
        <v>9.542441725309736E-2</v>
      </c>
      <c r="AB90" s="21">
        <v>24.796494855880521</v>
      </c>
      <c r="AC90" s="22">
        <v>24.608601012378596</v>
      </c>
      <c r="AD90" s="22">
        <f t="shared" si="41"/>
        <v>24.702547934129559</v>
      </c>
      <c r="AE90" s="26">
        <f t="shared" si="42"/>
        <v>9.3946921750962531E-2</v>
      </c>
      <c r="AF90" s="21">
        <f t="shared" si="43"/>
        <v>24.865192418375688</v>
      </c>
      <c r="AG90" s="26">
        <f t="shared" si="44"/>
        <v>0.21731436526524295</v>
      </c>
    </row>
    <row r="91" spans="1:33">
      <c r="A91" s="49" t="s">
        <v>402</v>
      </c>
      <c r="B91" s="113">
        <v>1300</v>
      </c>
      <c r="C91" s="49"/>
      <c r="D91" s="50"/>
      <c r="E91" s="57">
        <v>0.9435044979885947</v>
      </c>
      <c r="F91" s="58">
        <v>4.4266838286275746E-4</v>
      </c>
      <c r="G91" s="21"/>
      <c r="H91" s="26"/>
      <c r="I91" s="98">
        <v>0.91164000000000001</v>
      </c>
      <c r="J91" s="51">
        <v>4.6000000000001595E-4</v>
      </c>
      <c r="K91" s="106">
        <f t="shared" si="18"/>
        <v>0.91117999999999999</v>
      </c>
      <c r="L91" s="106">
        <f t="shared" si="19"/>
        <v>0.91210000000000002</v>
      </c>
      <c r="M91" s="21">
        <v>24.331300518149234</v>
      </c>
      <c r="N91" s="22">
        <v>24.092514011044397</v>
      </c>
      <c r="O91" s="22">
        <f t="shared" si="31"/>
        <v>24.211907264596817</v>
      </c>
      <c r="P91" s="26">
        <f t="shared" si="32"/>
        <v>0.1193932535524187</v>
      </c>
      <c r="Q91" s="21">
        <v>24.049723584733588</v>
      </c>
      <c r="R91" s="22">
        <v>23.814014612927327</v>
      </c>
      <c r="S91" s="22">
        <f t="shared" si="33"/>
        <v>23.931869098830457</v>
      </c>
      <c r="T91" s="26">
        <f t="shared" si="34"/>
        <v>0.11785448590313052</v>
      </c>
      <c r="U91" s="23">
        <v>1345.2118805102807</v>
      </c>
      <c r="V91" s="24">
        <v>1344.9687930816231</v>
      </c>
      <c r="W91" s="25">
        <f t="shared" si="24"/>
        <v>1345.0903367959518</v>
      </c>
      <c r="X91" s="21">
        <v>24.625057068409845</v>
      </c>
      <c r="Y91" s="22">
        <v>24.384553284728121</v>
      </c>
      <c r="Z91" s="22">
        <f t="shared" si="35"/>
        <v>24.504805176568983</v>
      </c>
      <c r="AA91" s="26">
        <f t="shared" si="36"/>
        <v>0.12025189184086216</v>
      </c>
      <c r="AB91" s="21">
        <v>24.33322704489461</v>
      </c>
      <c r="AC91" s="22">
        <v>24.09595115772337</v>
      </c>
      <c r="AD91" s="22">
        <f t="shared" si="41"/>
        <v>24.214589101308988</v>
      </c>
      <c r="AE91" s="26">
        <f t="shared" si="42"/>
        <v>0.11863794358561996</v>
      </c>
      <c r="AF91" s="21">
        <f t="shared" si="43"/>
        <v>24.359697138938984</v>
      </c>
      <c r="AG91" s="26">
        <f t="shared" si="44"/>
        <v>0.21702252466689276</v>
      </c>
    </row>
    <row r="92" spans="1:33">
      <c r="A92" s="49" t="s">
        <v>403</v>
      </c>
      <c r="B92" s="113">
        <v>1100</v>
      </c>
      <c r="C92" s="49"/>
      <c r="D92" s="50"/>
      <c r="E92" s="57">
        <v>0.93976580910813312</v>
      </c>
      <c r="F92" s="58">
        <v>4.1626545059705514E-4</v>
      </c>
      <c r="G92" s="21"/>
      <c r="H92" s="26"/>
      <c r="I92" s="98">
        <v>0.90854000000000001</v>
      </c>
      <c r="J92" s="51">
        <v>4.2999999999998595E-4</v>
      </c>
      <c r="K92" s="106">
        <f t="shared" si="18"/>
        <v>0.90810999999999997</v>
      </c>
      <c r="L92" s="106">
        <f t="shared" si="19"/>
        <v>0.90897000000000006</v>
      </c>
      <c r="M92" s="21">
        <v>23.841399296062399</v>
      </c>
      <c r="N92" s="22">
        <v>23.615000773752946</v>
      </c>
      <c r="O92" s="22">
        <f t="shared" si="31"/>
        <v>23.728200034907672</v>
      </c>
      <c r="P92" s="26">
        <f t="shared" si="32"/>
        <v>0.11319926115472612</v>
      </c>
      <c r="Q92" s="21">
        <v>23.596053974287575</v>
      </c>
      <c r="R92" s="22">
        <v>23.372143452379792</v>
      </c>
      <c r="S92" s="22">
        <f t="shared" si="33"/>
        <v>23.484098713333683</v>
      </c>
      <c r="T92" s="26">
        <f t="shared" si="34"/>
        <v>0.11195526095389141</v>
      </c>
      <c r="U92" s="23">
        <v>1133.9810054009204</v>
      </c>
      <c r="V92" s="24">
        <v>1133.8031786207991</v>
      </c>
      <c r="W92" s="25">
        <f t="shared" si="24"/>
        <v>1133.8920920108599</v>
      </c>
      <c r="X92" s="21">
        <v>24.060635264081753</v>
      </c>
      <c r="Y92" s="22">
        <v>23.832995934718223</v>
      </c>
      <c r="Z92" s="22">
        <f t="shared" si="35"/>
        <v>23.94681559939999</v>
      </c>
      <c r="AA92" s="26">
        <f t="shared" si="36"/>
        <v>0.11381966468176508</v>
      </c>
      <c r="AB92" s="21">
        <v>23.807421147496136</v>
      </c>
      <c r="AC92" s="22">
        <v>23.582377515373267</v>
      </c>
      <c r="AD92" s="22">
        <f t="shared" si="41"/>
        <v>23.694899331434701</v>
      </c>
      <c r="AE92" s="26">
        <f t="shared" si="42"/>
        <v>0.11252181606143452</v>
      </c>
      <c r="AF92" s="21">
        <f t="shared" si="43"/>
        <v>23.820857465417344</v>
      </c>
      <c r="AG92" s="26">
        <f t="shared" si="44"/>
        <v>0.19552830688643158</v>
      </c>
    </row>
    <row r="93" spans="1:33">
      <c r="A93" s="49" t="s">
        <v>404</v>
      </c>
      <c r="B93" s="113">
        <v>900</v>
      </c>
      <c r="C93" s="49"/>
      <c r="D93" s="50"/>
      <c r="E93" s="57">
        <v>0.93682834484402377</v>
      </c>
      <c r="F93" s="58">
        <v>3.9551124843185379E-4</v>
      </c>
      <c r="G93" s="21"/>
      <c r="H93" s="26"/>
      <c r="I93" s="98">
        <v>0.90552999999999995</v>
      </c>
      <c r="J93" s="51">
        <v>4.2000000000003146E-4</v>
      </c>
      <c r="K93" s="106">
        <f t="shared" si="18"/>
        <v>0.90510999999999986</v>
      </c>
      <c r="L93" s="106">
        <f t="shared" si="19"/>
        <v>0.90595000000000003</v>
      </c>
      <c r="M93" s="21">
        <v>23.357219830853712</v>
      </c>
      <c r="N93" s="22">
        <v>23.133001444737079</v>
      </c>
      <c r="O93" s="22">
        <f t="shared" si="31"/>
        <v>23.245110637795396</v>
      </c>
      <c r="P93" s="26">
        <f t="shared" si="32"/>
        <v>0.11210919305831624</v>
      </c>
      <c r="Q93" s="21">
        <v>23.150456439863135</v>
      </c>
      <c r="R93" s="22">
        <v>22.92828542523652</v>
      </c>
      <c r="S93" s="22">
        <f t="shared" si="33"/>
        <v>23.039370932549829</v>
      </c>
      <c r="T93" s="26">
        <f t="shared" si="34"/>
        <v>0.11108550731330702</v>
      </c>
      <c r="U93" s="23">
        <v>924.45114130989032</v>
      </c>
      <c r="V93" s="24">
        <v>924.32101847510785</v>
      </c>
      <c r="W93" s="25">
        <f t="shared" si="24"/>
        <v>924.38607989249908</v>
      </c>
      <c r="X93" s="21">
        <v>23.512843811918994</v>
      </c>
      <c r="Y93" s="22">
        <v>23.287736687681647</v>
      </c>
      <c r="Z93" s="22">
        <f t="shared" si="35"/>
        <v>23.400290249800321</v>
      </c>
      <c r="AA93" s="26">
        <f t="shared" si="36"/>
        <v>0.11255356211867351</v>
      </c>
      <c r="AB93" s="21">
        <v>23.300350641937655</v>
      </c>
      <c r="AC93" s="22">
        <v>23.077367326225779</v>
      </c>
      <c r="AD93" s="22">
        <f t="shared" si="41"/>
        <v>23.188858984081719</v>
      </c>
      <c r="AE93" s="26">
        <f t="shared" si="42"/>
        <v>0.11149165785593773</v>
      </c>
      <c r="AF93" s="21">
        <f t="shared" si="43"/>
        <v>23.29457461694102</v>
      </c>
      <c r="AG93" s="26">
        <f t="shared" si="44"/>
        <v>0.17785815355455403</v>
      </c>
    </row>
    <row r="94" spans="1:33">
      <c r="A94" s="49" t="s">
        <v>405</v>
      </c>
      <c r="B94" s="113">
        <v>700</v>
      </c>
      <c r="C94" s="49"/>
      <c r="D94" s="50"/>
      <c r="E94" s="57">
        <v>0.93420516495381634</v>
      </c>
      <c r="F94" s="58">
        <v>3.731999366921789E-4</v>
      </c>
      <c r="G94" s="21"/>
      <c r="H94" s="26"/>
      <c r="I94" s="98">
        <v>0.90297000000000005</v>
      </c>
      <c r="J94" s="51">
        <v>4.2000000000003146E-4</v>
      </c>
      <c r="K94" s="106">
        <f t="shared" si="18"/>
        <v>0.90254999999999996</v>
      </c>
      <c r="L94" s="106">
        <f t="shared" si="19"/>
        <v>0.90339000000000014</v>
      </c>
      <c r="M94" s="21">
        <v>22.790689615265986</v>
      </c>
      <c r="N94" s="22">
        <v>22.563817642090449</v>
      </c>
      <c r="O94" s="22">
        <f t="shared" si="31"/>
        <v>22.677253628678216</v>
      </c>
      <c r="P94" s="26">
        <f t="shared" si="32"/>
        <v>0.11343598658776877</v>
      </c>
      <c r="Q94" s="21">
        <v>22.624922254054688</v>
      </c>
      <c r="R94" s="22">
        <v>22.399720522940857</v>
      </c>
      <c r="S94" s="22">
        <f t="shared" si="33"/>
        <v>22.512321388497774</v>
      </c>
      <c r="T94" s="26">
        <f t="shared" si="34"/>
        <v>0.11260086555691551</v>
      </c>
      <c r="U94" s="23">
        <v>716.53839029368601</v>
      </c>
      <c r="V94" s="24">
        <v>716.44647576851798</v>
      </c>
      <c r="W94" s="25">
        <f t="shared" si="24"/>
        <v>716.492433031102</v>
      </c>
      <c r="X94" s="21">
        <v>22.892986160754138</v>
      </c>
      <c r="Y94" s="22">
        <v>22.665512329928507</v>
      </c>
      <c r="Z94" s="22">
        <f t="shared" si="35"/>
        <v>22.779249245341322</v>
      </c>
      <c r="AA94" s="26">
        <f t="shared" si="36"/>
        <v>0.11373691541281516</v>
      </c>
      <c r="AB94" s="21">
        <v>22.723382347062977</v>
      </c>
      <c r="AC94" s="22">
        <v>22.497629833624796</v>
      </c>
      <c r="AD94" s="22">
        <f t="shared" si="41"/>
        <v>22.610506090343886</v>
      </c>
      <c r="AE94" s="26">
        <f t="shared" si="42"/>
        <v>0.11287625671909041</v>
      </c>
      <c r="AF94" s="21">
        <f t="shared" si="43"/>
        <v>22.694877667842604</v>
      </c>
      <c r="AG94" s="26">
        <f t="shared" si="44"/>
        <v>0.16312420919405818</v>
      </c>
    </row>
    <row r="95" spans="1:33">
      <c r="A95" s="49" t="s">
        <v>406</v>
      </c>
      <c r="B95" s="113">
        <v>500</v>
      </c>
      <c r="C95" s="49"/>
      <c r="D95" s="50"/>
      <c r="E95" s="57">
        <v>0.9315716589122548</v>
      </c>
      <c r="F95" s="58">
        <v>3.5825320612283777E-4</v>
      </c>
      <c r="G95" s="21"/>
      <c r="H95" s="26"/>
      <c r="I95" s="98">
        <v>0.90049000000000001</v>
      </c>
      <c r="J95" s="51">
        <v>4.1000000000002146E-4</v>
      </c>
      <c r="K95" s="106">
        <f t="shared" si="18"/>
        <v>0.90007999999999999</v>
      </c>
      <c r="L95" s="106">
        <f t="shared" si="19"/>
        <v>0.90090000000000003</v>
      </c>
      <c r="M95" s="21">
        <v>22.264415291808149</v>
      </c>
      <c r="N95" s="22">
        <v>22.040269451429147</v>
      </c>
      <c r="O95" s="22">
        <f t="shared" si="31"/>
        <v>22.152342371618648</v>
      </c>
      <c r="P95" s="26">
        <f t="shared" si="32"/>
        <v>0.11207292018950099</v>
      </c>
      <c r="Q95" s="21">
        <v>22.139494325511709</v>
      </c>
      <c r="R95" s="22">
        <v>21.916631828327045</v>
      </c>
      <c r="S95" s="22">
        <f t="shared" si="33"/>
        <v>22.028063076919377</v>
      </c>
      <c r="T95" s="26">
        <f t="shared" si="34"/>
        <v>0.11143124859233211</v>
      </c>
      <c r="U95" s="23">
        <v>510.26440589717851</v>
      </c>
      <c r="V95" s="24">
        <v>510.20633811154755</v>
      </c>
      <c r="W95" s="25">
        <f t="shared" si="24"/>
        <v>510.23537200436306</v>
      </c>
      <c r="X95" s="21">
        <v>22.323592568571282</v>
      </c>
      <c r="Y95" s="22">
        <v>22.09910225354967</v>
      </c>
      <c r="Z95" s="22">
        <f t="shared" si="35"/>
        <v>22.211347411060476</v>
      </c>
      <c r="AA95" s="26">
        <f t="shared" si="36"/>
        <v>0.11224515751080588</v>
      </c>
      <c r="AB95" s="21">
        <v>22.196429095148424</v>
      </c>
      <c r="AC95" s="22">
        <v>21.97325089781932</v>
      </c>
      <c r="AD95" s="22">
        <f t="shared" si="41"/>
        <v>22.084839996483872</v>
      </c>
      <c r="AE95" s="26">
        <f t="shared" si="42"/>
        <v>0.11158909866455247</v>
      </c>
      <c r="AF95" s="21">
        <f t="shared" si="43"/>
        <v>22.148093703772176</v>
      </c>
      <c r="AG95" s="26">
        <f t="shared" si="44"/>
        <v>0.14844340177729079</v>
      </c>
    </row>
    <row r="96" spans="1:33">
      <c r="A96" s="49" t="s">
        <v>407</v>
      </c>
      <c r="B96" s="113">
        <v>304</v>
      </c>
      <c r="C96" s="49"/>
      <c r="D96" s="50"/>
      <c r="E96" s="57">
        <v>0.92921242064825016</v>
      </c>
      <c r="F96" s="58">
        <v>3.2722666688615336E-4</v>
      </c>
      <c r="G96" s="21"/>
      <c r="H96" s="26"/>
      <c r="I96" s="98">
        <v>0.89793000000000001</v>
      </c>
      <c r="J96" s="51">
        <v>2.9000000000001247E-4</v>
      </c>
      <c r="K96" s="106">
        <f t="shared" si="18"/>
        <v>0.89763999999999999</v>
      </c>
      <c r="L96" s="106">
        <f t="shared" si="19"/>
        <v>0.89822000000000002</v>
      </c>
      <c r="M96" s="21">
        <v>21.90653446418154</v>
      </c>
      <c r="N96" s="22">
        <v>21.745765211108765</v>
      </c>
      <c r="O96" s="22">
        <f t="shared" si="31"/>
        <v>21.826149837645154</v>
      </c>
      <c r="P96" s="26">
        <f t="shared" si="32"/>
        <v>8.0384626536387671E-2</v>
      </c>
      <c r="Q96" s="21">
        <v>21.817137771419173</v>
      </c>
      <c r="R96" s="22">
        <v>21.65707749404574</v>
      </c>
      <c r="S96" s="22">
        <f t="shared" si="33"/>
        <v>21.737107632732457</v>
      </c>
      <c r="T96" s="26">
        <f t="shared" si="34"/>
        <v>8.0030138686716157E-2</v>
      </c>
      <c r="U96" s="23">
        <v>309.65710418953466</v>
      </c>
      <c r="V96" s="24">
        <v>309.6336973400409</v>
      </c>
      <c r="W96" s="25">
        <f t="shared" si="24"/>
        <v>309.64540076478778</v>
      </c>
      <c r="X96" s="21">
        <v>21.932361146855122</v>
      </c>
      <c r="Y96" s="22">
        <v>21.771490957144795</v>
      </c>
      <c r="Z96" s="22">
        <f t="shared" si="35"/>
        <v>21.851926051999961</v>
      </c>
      <c r="AA96" s="26">
        <f t="shared" si="36"/>
        <v>8.0435094855163314E-2</v>
      </c>
      <c r="AB96" s="21">
        <v>21.842001182016446</v>
      </c>
      <c r="AC96" s="22">
        <v>21.681848205384263</v>
      </c>
      <c r="AD96" s="22">
        <f t="shared" si="41"/>
        <v>21.761924693700355</v>
      </c>
      <c r="AE96" s="26">
        <f t="shared" si="42"/>
        <v>8.0076488316091599E-2</v>
      </c>
      <c r="AF96" s="21">
        <f t="shared" si="43"/>
        <v>21.806925372850159</v>
      </c>
      <c r="AG96" s="26">
        <f t="shared" si="44"/>
        <v>0.10624553547728689</v>
      </c>
    </row>
    <row r="97" spans="1:33">
      <c r="A97" s="49" t="s">
        <v>408</v>
      </c>
      <c r="B97" s="113">
        <v>1700</v>
      </c>
      <c r="C97" s="49"/>
      <c r="D97" s="50"/>
      <c r="E97" s="57">
        <v>0.94862980725463719</v>
      </c>
      <c r="F97" s="58">
        <v>3.5721686001163096E-4</v>
      </c>
      <c r="G97" s="21"/>
      <c r="H97" s="26"/>
      <c r="I97" s="98">
        <v>0.91759999999999997</v>
      </c>
      <c r="J97" s="51">
        <v>5.3999999999998494E-4</v>
      </c>
      <c r="K97" s="106">
        <f t="shared" si="18"/>
        <v>0.91705999999999999</v>
      </c>
      <c r="L97" s="106">
        <f t="shared" si="19"/>
        <v>0.91813999999999996</v>
      </c>
      <c r="M97" s="21">
        <v>25.427932071507822</v>
      </c>
      <c r="N97" s="22">
        <v>25.155036001584776</v>
      </c>
      <c r="O97" s="22">
        <f t="shared" si="31"/>
        <v>25.291484036546301</v>
      </c>
      <c r="P97" s="26">
        <f t="shared" si="32"/>
        <v>0.13644803496152313</v>
      </c>
      <c r="Q97" s="21">
        <v>25.080197545517642</v>
      </c>
      <c r="R97" s="22">
        <v>24.811866750974232</v>
      </c>
      <c r="S97" s="22">
        <f t="shared" si="33"/>
        <v>24.946032148245937</v>
      </c>
      <c r="T97" s="26">
        <f t="shared" si="34"/>
        <v>0.13416539727170473</v>
      </c>
      <c r="U97" s="23">
        <v>1773.1246661878745</v>
      </c>
      <c r="V97" s="24">
        <v>1772.700271252168</v>
      </c>
      <c r="W97" s="25">
        <f t="shared" si="24"/>
        <v>1772.9124687200213</v>
      </c>
      <c r="X97" s="21">
        <v>25.905838988294178</v>
      </c>
      <c r="Y97" s="22">
        <v>25.629903444837424</v>
      </c>
      <c r="Z97" s="22">
        <f t="shared" si="35"/>
        <v>25.767871216565801</v>
      </c>
      <c r="AA97" s="26">
        <f t="shared" si="36"/>
        <v>0.13796777172837693</v>
      </c>
      <c r="AB97" s="21">
        <v>25.54234684595826</v>
      </c>
      <c r="AC97" s="22">
        <v>25.271248433712586</v>
      </c>
      <c r="AD97" s="22">
        <f t="shared" si="41"/>
        <v>25.406797639835425</v>
      </c>
      <c r="AE97" s="26">
        <f t="shared" si="42"/>
        <v>0.13554920612283716</v>
      </c>
      <c r="AF97" s="21">
        <f t="shared" si="43"/>
        <v>25.587334428200613</v>
      </c>
      <c r="AG97" s="26">
        <f t="shared" si="44"/>
        <v>0.26152852900166124</v>
      </c>
    </row>
    <row r="98" spans="1:33">
      <c r="A98" s="49" t="s">
        <v>409</v>
      </c>
      <c r="B98" s="113">
        <v>1700</v>
      </c>
      <c r="C98" s="49"/>
      <c r="D98" s="50"/>
      <c r="E98" s="57">
        <v>0.94819026203741597</v>
      </c>
      <c r="F98" s="58">
        <v>3.879393088850817E-4</v>
      </c>
      <c r="G98" s="21"/>
      <c r="H98" s="26"/>
      <c r="I98" s="98">
        <v>0.91722000000000004</v>
      </c>
      <c r="J98" s="51">
        <v>4.8999999999999044E-4</v>
      </c>
      <c r="K98" s="106">
        <f t="shared" ref="K98:K123" si="45">I98-J98</f>
        <v>0.91673000000000004</v>
      </c>
      <c r="L98" s="106">
        <f t="shared" ref="L98:L123" si="46">I98+J98</f>
        <v>0.91771000000000003</v>
      </c>
      <c r="M98" s="21">
        <v>25.511633731414641</v>
      </c>
      <c r="N98" s="22">
        <v>25.263499128230038</v>
      </c>
      <c r="O98" s="22">
        <f t="shared" si="31"/>
        <v>25.387566429822339</v>
      </c>
      <c r="P98" s="26">
        <f t="shared" si="32"/>
        <v>0.1240673015923015</v>
      </c>
      <c r="Q98" s="21">
        <v>25.162502167143426</v>
      </c>
      <c r="R98" s="22">
        <v>24.918513502719648</v>
      </c>
      <c r="S98" s="22">
        <f t="shared" si="33"/>
        <v>25.040507834931539</v>
      </c>
      <c r="T98" s="26">
        <f t="shared" si="34"/>
        <v>0.12199433221188904</v>
      </c>
      <c r="U98" s="23">
        <v>1773.2541525004276</v>
      </c>
      <c r="V98" s="24">
        <v>1772.8693577582944</v>
      </c>
      <c r="W98" s="25">
        <f t="shared" ref="W98:W157" si="47">(U98+V98)/2</f>
        <v>1773.061755129361</v>
      </c>
      <c r="X98" s="21">
        <v>25.990469157906229</v>
      </c>
      <c r="Y98" s="22">
        <v>25.739576866714728</v>
      </c>
      <c r="Z98" s="22">
        <f t="shared" si="35"/>
        <v>25.865023012310481</v>
      </c>
      <c r="AA98" s="26">
        <f t="shared" si="36"/>
        <v>0.12544614559575074</v>
      </c>
      <c r="AB98" s="21">
        <v>25.62549642312549</v>
      </c>
      <c r="AC98" s="22">
        <v>25.378997534290939</v>
      </c>
      <c r="AD98" s="22">
        <f t="shared" si="41"/>
        <v>25.502246978708214</v>
      </c>
      <c r="AE98" s="26">
        <f t="shared" si="42"/>
        <v>0.12324944441727581</v>
      </c>
      <c r="AF98" s="21">
        <f t="shared" si="43"/>
        <v>25.683634995509344</v>
      </c>
      <c r="AG98" s="26">
        <f t="shared" si="44"/>
        <v>0.2539427576864427</v>
      </c>
    </row>
    <row r="99" spans="1:33">
      <c r="A99" s="49" t="s">
        <v>410</v>
      </c>
      <c r="B99" s="113">
        <v>1800</v>
      </c>
      <c r="C99" s="49"/>
      <c r="D99" s="50"/>
      <c r="E99" s="57">
        <v>0.94901584295167551</v>
      </c>
      <c r="F99" s="58">
        <v>3.7366689076675212E-4</v>
      </c>
      <c r="G99" s="21"/>
      <c r="H99" s="26"/>
      <c r="I99" s="98">
        <v>0.91883000000000004</v>
      </c>
      <c r="J99" s="51">
        <v>4.7000000000002595E-4</v>
      </c>
      <c r="K99" s="106">
        <f t="shared" si="45"/>
        <v>0.91836000000000007</v>
      </c>
      <c r="L99" s="106">
        <f t="shared" si="46"/>
        <v>0.91930000000000001</v>
      </c>
      <c r="M99" s="21">
        <v>25.752871956231843</v>
      </c>
      <c r="N99" s="22">
        <v>25.516603738017967</v>
      </c>
      <c r="O99" s="22">
        <f t="shared" si="31"/>
        <v>25.634737847124903</v>
      </c>
      <c r="P99" s="26">
        <f t="shared" si="32"/>
        <v>0.11813410910693811</v>
      </c>
      <c r="Q99" s="21">
        <v>25.389376497586248</v>
      </c>
      <c r="R99" s="22">
        <v>25.157286068248347</v>
      </c>
      <c r="S99" s="22">
        <f t="shared" si="33"/>
        <v>25.273331282917297</v>
      </c>
      <c r="T99" s="26">
        <f t="shared" si="34"/>
        <v>0.11604521466895079</v>
      </c>
      <c r="U99" s="23">
        <v>1881.3400668325075</v>
      </c>
      <c r="V99" s="24">
        <v>1880.9383123273201</v>
      </c>
      <c r="W99" s="25">
        <f t="shared" si="47"/>
        <v>1881.1391895799138</v>
      </c>
      <c r="X99" s="21">
        <v>26.284823808743074</v>
      </c>
      <c r="Y99" s="22">
        <v>26.045670605444904</v>
      </c>
      <c r="Z99" s="22">
        <f t="shared" si="35"/>
        <v>26.165247207093991</v>
      </c>
      <c r="AA99" s="26">
        <f t="shared" si="36"/>
        <v>0.11957660164908468</v>
      </c>
      <c r="AB99" s="21">
        <v>25.904016930747879</v>
      </c>
      <c r="AC99" s="22">
        <v>25.669301599043912</v>
      </c>
      <c r="AD99" s="22">
        <f t="shared" si="41"/>
        <v>25.786659264895896</v>
      </c>
      <c r="AE99" s="26">
        <f t="shared" si="42"/>
        <v>0.11735766585198348</v>
      </c>
      <c r="AF99" s="21">
        <f t="shared" si="43"/>
        <v>25.975953235994943</v>
      </c>
      <c r="AG99" s="26">
        <f t="shared" si="44"/>
        <v>0.25785758392966085</v>
      </c>
    </row>
    <row r="100" spans="1:33">
      <c r="A100" s="49" t="s">
        <v>411</v>
      </c>
      <c r="B100" s="113">
        <v>1800</v>
      </c>
      <c r="C100" s="49"/>
      <c r="D100" s="50"/>
      <c r="E100" s="57">
        <v>0.95015373930836855</v>
      </c>
      <c r="F100" s="58">
        <v>4.8014696559512077E-4</v>
      </c>
      <c r="G100" s="21"/>
      <c r="H100" s="26"/>
      <c r="I100" s="98">
        <v>0.91888000000000003</v>
      </c>
      <c r="J100" s="51">
        <v>4.8999999999999044E-4</v>
      </c>
      <c r="K100" s="106">
        <f t="shared" si="45"/>
        <v>0.91839000000000004</v>
      </c>
      <c r="L100" s="106">
        <f t="shared" si="46"/>
        <v>0.91937000000000002</v>
      </c>
      <c r="M100" s="21">
        <v>25.745312999432343</v>
      </c>
      <c r="N100" s="22">
        <v>25.499057076625569</v>
      </c>
      <c r="O100" s="22">
        <f t="shared" si="31"/>
        <v>25.622185038028956</v>
      </c>
      <c r="P100" s="26">
        <f t="shared" si="32"/>
        <v>0.12312796140338733</v>
      </c>
      <c r="Q100" s="21">
        <v>25.381951015636425</v>
      </c>
      <c r="R100" s="22">
        <v>25.140050147305963</v>
      </c>
      <c r="S100" s="22">
        <f t="shared" si="33"/>
        <v>25.261000581471194</v>
      </c>
      <c r="T100" s="26">
        <f t="shared" si="34"/>
        <v>0.12095043416523055</v>
      </c>
      <c r="U100" s="23">
        <v>1881.3272563195435</v>
      </c>
      <c r="V100" s="24">
        <v>1880.9083647208233</v>
      </c>
      <c r="W100" s="25">
        <f t="shared" si="47"/>
        <v>1881.1178105201834</v>
      </c>
      <c r="X100" s="21">
        <v>26.277172786798804</v>
      </c>
      <c r="Y100" s="22">
        <v>26.027909080952849</v>
      </c>
      <c r="Z100" s="22">
        <f t="shared" si="35"/>
        <v>26.152540933875827</v>
      </c>
      <c r="AA100" s="26">
        <f t="shared" si="36"/>
        <v>0.12463185292297752</v>
      </c>
      <c r="AB100" s="21">
        <v>25.896507715619762</v>
      </c>
      <c r="AC100" s="22">
        <v>25.651870101436206</v>
      </c>
      <c r="AD100" s="22">
        <f t="shared" si="41"/>
        <v>25.774188908527982</v>
      </c>
      <c r="AE100" s="26">
        <f t="shared" si="42"/>
        <v>0.12231880709177823</v>
      </c>
      <c r="AF100" s="21">
        <f t="shared" si="43"/>
        <v>25.963364921201904</v>
      </c>
      <c r="AG100" s="26">
        <f t="shared" si="44"/>
        <v>0.26085770945578435</v>
      </c>
    </row>
    <row r="101" spans="1:33">
      <c r="A101" s="49" t="s">
        <v>412</v>
      </c>
      <c r="B101" s="113">
        <v>1900</v>
      </c>
      <c r="C101" s="49"/>
      <c r="D101" s="50"/>
      <c r="E101" s="57">
        <v>0.95147249069838535</v>
      </c>
      <c r="F101" s="58">
        <v>3.2938819360836286E-4</v>
      </c>
      <c r="G101" s="21"/>
      <c r="H101" s="26"/>
      <c r="I101" s="98">
        <v>0.92195000000000005</v>
      </c>
      <c r="J101" s="51">
        <v>5.0999999999995493E-4</v>
      </c>
      <c r="K101" s="106">
        <f t="shared" si="45"/>
        <v>0.92144000000000004</v>
      </c>
      <c r="L101" s="106">
        <f t="shared" si="46"/>
        <v>0.92246000000000006</v>
      </c>
      <c r="M101" s="21">
        <v>25.636178531947991</v>
      </c>
      <c r="N101" s="22">
        <v>25.383736219897699</v>
      </c>
      <c r="O101" s="22">
        <f t="shared" si="31"/>
        <v>25.509957375922845</v>
      </c>
      <c r="P101" s="26">
        <f t="shared" si="32"/>
        <v>0.12622115602514583</v>
      </c>
      <c r="Q101" s="21">
        <v>25.265755431433313</v>
      </c>
      <c r="R101" s="22">
        <v>25.018042789114538</v>
      </c>
      <c r="S101" s="22">
        <f t="shared" si="33"/>
        <v>25.141899110273926</v>
      </c>
      <c r="T101" s="26">
        <f t="shared" si="34"/>
        <v>0.12385632115938705</v>
      </c>
      <c r="U101" s="23">
        <v>1989.2227155003407</v>
      </c>
      <c r="V101" s="24">
        <v>1988.7491196549456</v>
      </c>
      <c r="W101" s="25">
        <f t="shared" si="47"/>
        <v>1988.9859175776432</v>
      </c>
      <c r="X101" s="21">
        <v>26.219412052981859</v>
      </c>
      <c r="Y101" s="22">
        <v>25.96357201299449</v>
      </c>
      <c r="Z101" s="22">
        <f t="shared" si="35"/>
        <v>26.091492032988175</v>
      </c>
      <c r="AA101" s="26">
        <f t="shared" si="36"/>
        <v>0.12792001999368452</v>
      </c>
      <c r="AB101" s="21">
        <v>25.830605183778285</v>
      </c>
      <c r="AC101" s="22">
        <v>25.579798649128865</v>
      </c>
      <c r="AD101" s="22">
        <f t="shared" si="41"/>
        <v>25.705201916453575</v>
      </c>
      <c r="AE101" s="26">
        <f t="shared" si="42"/>
        <v>0.1254032673247103</v>
      </c>
      <c r="AF101" s="21">
        <f t="shared" si="43"/>
        <v>25.898346974720873</v>
      </c>
      <c r="AG101" s="26">
        <f t="shared" si="44"/>
        <v>0.2667077527145329</v>
      </c>
    </row>
    <row r="102" spans="1:33">
      <c r="A102" s="49" t="s">
        <v>413</v>
      </c>
      <c r="B102" s="113">
        <v>1900</v>
      </c>
      <c r="C102" s="49"/>
      <c r="D102" s="50"/>
      <c r="E102" s="57">
        <v>0.90868792676511478</v>
      </c>
      <c r="F102" s="58">
        <v>4.6855386144750477E-4</v>
      </c>
      <c r="G102" s="21"/>
      <c r="H102" s="26"/>
      <c r="I102" s="98">
        <v>0.86851</v>
      </c>
      <c r="J102" s="51">
        <v>5.1999999999996493E-4</v>
      </c>
      <c r="K102" s="106">
        <f t="shared" si="45"/>
        <v>0.86799000000000004</v>
      </c>
      <c r="L102" s="106">
        <f t="shared" si="46"/>
        <v>0.86902999999999997</v>
      </c>
      <c r="M102" s="21">
        <v>41.005464715336387</v>
      </c>
      <c r="N102" s="22">
        <v>40.662311299332217</v>
      </c>
      <c r="O102" s="22">
        <f t="shared" si="31"/>
        <v>40.833888007334302</v>
      </c>
      <c r="P102" s="26">
        <f t="shared" si="32"/>
        <v>0.17157670800208535</v>
      </c>
      <c r="Q102" s="21">
        <v>40.384556123404479</v>
      </c>
      <c r="R102" s="22">
        <v>40.045974926231708</v>
      </c>
      <c r="S102" s="22">
        <f t="shared" si="33"/>
        <v>40.215265524818093</v>
      </c>
      <c r="T102" s="26">
        <f t="shared" si="34"/>
        <v>0.16929059858638595</v>
      </c>
      <c r="U102" s="23">
        <v>2012.9609885087089</v>
      </c>
      <c r="V102" s="24">
        <v>2012.5162655124975</v>
      </c>
      <c r="W102" s="25">
        <f t="shared" si="47"/>
        <v>2012.7386270106031</v>
      </c>
      <c r="X102" s="21">
        <v>41.767984565722038</v>
      </c>
      <c r="Y102" s="22">
        <v>41.421286701973195</v>
      </c>
      <c r="Z102" s="22">
        <f t="shared" si="35"/>
        <v>41.594635633847616</v>
      </c>
      <c r="AA102" s="26">
        <f t="shared" si="36"/>
        <v>0.17334893187442191</v>
      </c>
      <c r="AB102" s="21">
        <v>41.109026447454269</v>
      </c>
      <c r="AC102" s="22">
        <v>40.767355022976176</v>
      </c>
      <c r="AD102" s="22">
        <f t="shared" si="41"/>
        <v>40.938190735215223</v>
      </c>
      <c r="AE102" s="26">
        <f t="shared" si="42"/>
        <v>0.1708357122390467</v>
      </c>
      <c r="AF102" s="21">
        <f t="shared" si="43"/>
        <v>41.266413184531416</v>
      </c>
      <c r="AG102" s="26">
        <f t="shared" si="44"/>
        <v>0.42793663489545758</v>
      </c>
    </row>
    <row r="103" spans="1:33">
      <c r="A103" s="49" t="s">
        <v>414</v>
      </c>
      <c r="B103" s="113">
        <v>1700</v>
      </c>
      <c r="C103" s="49"/>
      <c r="D103" s="50"/>
      <c r="E103" s="57">
        <v>0.90646147401634158</v>
      </c>
      <c r="F103" s="58">
        <v>4.1422784863590995E-4</v>
      </c>
      <c r="G103" s="21"/>
      <c r="H103" s="26"/>
      <c r="I103" s="98">
        <v>0.86582999999999999</v>
      </c>
      <c r="J103" s="51">
        <v>5.1000000000001044E-4</v>
      </c>
      <c r="K103" s="106">
        <f t="shared" si="45"/>
        <v>0.86531999999999998</v>
      </c>
      <c r="L103" s="106">
        <f t="shared" si="46"/>
        <v>0.86634</v>
      </c>
      <c r="M103" s="21">
        <v>40.54554341746789</v>
      </c>
      <c r="N103" s="22">
        <v>40.20503943399784</v>
      </c>
      <c r="O103" s="22">
        <f t="shared" si="31"/>
        <v>40.375291425732868</v>
      </c>
      <c r="P103" s="26">
        <f t="shared" si="32"/>
        <v>0.17025199173502514</v>
      </c>
      <c r="Q103" s="21">
        <v>39.981622181163971</v>
      </c>
      <c r="R103" s="22">
        <v>39.644995236898431</v>
      </c>
      <c r="S103" s="22">
        <f t="shared" si="33"/>
        <v>39.813308709031205</v>
      </c>
      <c r="T103" s="26">
        <f t="shared" si="34"/>
        <v>0.1683134721327697</v>
      </c>
      <c r="U103" s="23">
        <v>1792.5045056577571</v>
      </c>
      <c r="V103" s="24">
        <v>1792.1377351558251</v>
      </c>
      <c r="W103" s="25">
        <f t="shared" si="47"/>
        <v>1792.3211204067911</v>
      </c>
      <c r="X103" s="21">
        <v>41.169338775834234</v>
      </c>
      <c r="Y103" s="22">
        <v>40.825926149421115</v>
      </c>
      <c r="Z103" s="22">
        <f t="shared" si="35"/>
        <v>40.997632462627678</v>
      </c>
      <c r="AA103" s="26">
        <f t="shared" si="36"/>
        <v>0.17170631320655971</v>
      </c>
      <c r="AB103" s="21">
        <v>40.573723831828048</v>
      </c>
      <c r="AC103" s="22">
        <v>40.234558508159083</v>
      </c>
      <c r="AD103" s="22">
        <f t="shared" si="41"/>
        <v>40.404141169993565</v>
      </c>
      <c r="AE103" s="26">
        <f t="shared" si="42"/>
        <v>0.16958266183448245</v>
      </c>
      <c r="AF103" s="21">
        <f t="shared" si="43"/>
        <v>40.700886816310621</v>
      </c>
      <c r="AG103" s="26">
        <f t="shared" si="44"/>
        <v>0.3952697765713189</v>
      </c>
    </row>
    <row r="104" spans="1:33">
      <c r="A104" s="49" t="s">
        <v>408</v>
      </c>
      <c r="B104" s="113">
        <v>1500</v>
      </c>
      <c r="C104" s="49"/>
      <c r="D104" s="50"/>
      <c r="E104" s="57">
        <v>0.90425813873092298</v>
      </c>
      <c r="F104" s="58">
        <v>3.8805048732011295E-4</v>
      </c>
      <c r="G104" s="21"/>
      <c r="H104" s="26"/>
      <c r="I104" s="98">
        <v>0.86382000000000003</v>
      </c>
      <c r="J104" s="51">
        <v>4.7000000000002595E-4</v>
      </c>
      <c r="K104" s="106">
        <f t="shared" si="45"/>
        <v>0.86335000000000006</v>
      </c>
      <c r="L104" s="106">
        <f t="shared" si="46"/>
        <v>0.86429</v>
      </c>
      <c r="M104" s="21">
        <v>39.861717631213565</v>
      </c>
      <c r="N104" s="22">
        <v>39.545365359035273</v>
      </c>
      <c r="O104" s="22">
        <f t="shared" si="31"/>
        <v>39.703541495124419</v>
      </c>
      <c r="P104" s="26">
        <f t="shared" si="32"/>
        <v>0.15817613608914627</v>
      </c>
      <c r="Q104" s="21">
        <v>39.35971900413459</v>
      </c>
      <c r="R104" s="22">
        <v>39.046392009982874</v>
      </c>
      <c r="S104" s="22">
        <f t="shared" si="33"/>
        <v>39.203055507058735</v>
      </c>
      <c r="T104" s="26">
        <f t="shared" si="34"/>
        <v>0.1566634970758578</v>
      </c>
      <c r="U104" s="23">
        <v>1573.9819933613073</v>
      </c>
      <c r="V104" s="24">
        <v>1573.7034229397652</v>
      </c>
      <c r="W104" s="25">
        <f t="shared" si="47"/>
        <v>1573.8427081505363</v>
      </c>
      <c r="X104" s="21">
        <v>40.359233348698012</v>
      </c>
      <c r="Y104" s="22">
        <v>40.040690311806294</v>
      </c>
      <c r="Z104" s="22">
        <f t="shared" si="35"/>
        <v>40.19996183025215</v>
      </c>
      <c r="AA104" s="26">
        <f t="shared" si="36"/>
        <v>0.15927151844585907</v>
      </c>
      <c r="AB104" s="21">
        <v>39.831635058414719</v>
      </c>
      <c r="AC104" s="22">
        <v>39.516393384879635</v>
      </c>
      <c r="AD104" s="22">
        <f t="shared" si="41"/>
        <v>39.674014221647177</v>
      </c>
      <c r="AE104" s="26">
        <f t="shared" si="42"/>
        <v>0.15762083676754202</v>
      </c>
      <c r="AF104" s="21">
        <f t="shared" si="43"/>
        <v>39.93698802594966</v>
      </c>
      <c r="AG104" s="26">
        <f t="shared" si="44"/>
        <v>0.35451580902219915</v>
      </c>
    </row>
    <row r="105" spans="1:33">
      <c r="A105" s="49" t="s">
        <v>415</v>
      </c>
      <c r="B105" s="113">
        <v>1700</v>
      </c>
      <c r="C105" s="49"/>
      <c r="D105" s="50"/>
      <c r="E105" s="57">
        <v>0.87780403527938577</v>
      </c>
      <c r="F105" s="58">
        <v>4.9138395361377201E-4</v>
      </c>
      <c r="G105" s="21"/>
      <c r="H105" s="26"/>
      <c r="I105" s="98">
        <v>0.83021</v>
      </c>
      <c r="J105" s="51">
        <v>4.5999999999996044E-4</v>
      </c>
      <c r="K105" s="106">
        <f t="shared" si="45"/>
        <v>0.82974999999999999</v>
      </c>
      <c r="L105" s="106">
        <f t="shared" si="46"/>
        <v>0.83067000000000002</v>
      </c>
      <c r="M105" s="21">
        <v>53.672994337296842</v>
      </c>
      <c r="N105" s="22">
        <v>53.300649918649313</v>
      </c>
      <c r="O105" s="22">
        <f t="shared" si="31"/>
        <v>53.486822127973078</v>
      </c>
      <c r="P105" s="26">
        <f t="shared" si="32"/>
        <v>0.18617220932376455</v>
      </c>
      <c r="Q105" s="21">
        <v>53.002864906690291</v>
      </c>
      <c r="R105" s="22">
        <v>52.632303746464004</v>
      </c>
      <c r="S105" s="22">
        <f t="shared" si="33"/>
        <v>52.817584326577148</v>
      </c>
      <c r="T105" s="26">
        <f t="shared" si="34"/>
        <v>0.18528058011314386</v>
      </c>
      <c r="U105" s="23">
        <v>1805.003960563922</v>
      </c>
      <c r="V105" s="24">
        <v>1804.6870214072803</v>
      </c>
      <c r="W105" s="25">
        <f t="shared" si="47"/>
        <v>1804.8454909856011</v>
      </c>
      <c r="X105" s="21">
        <v>54.400078484293424</v>
      </c>
      <c r="Y105" s="22">
        <v>54.025007548077674</v>
      </c>
      <c r="Z105" s="22">
        <f t="shared" si="35"/>
        <v>54.212543016185549</v>
      </c>
      <c r="AA105" s="26">
        <f t="shared" si="36"/>
        <v>0.18753546810787469</v>
      </c>
      <c r="AB105" s="21">
        <v>53.683890521687211</v>
      </c>
      <c r="AC105" s="22">
        <v>53.311010389801588</v>
      </c>
      <c r="AD105" s="22">
        <f t="shared" si="41"/>
        <v>53.497450455744399</v>
      </c>
      <c r="AE105" s="26">
        <f t="shared" si="42"/>
        <v>0.18644006594281137</v>
      </c>
      <c r="AF105" s="21">
        <f t="shared" si="43"/>
        <v>53.854996735964974</v>
      </c>
      <c r="AG105" s="26">
        <f t="shared" si="44"/>
        <v>0.46590995910249955</v>
      </c>
    </row>
    <row r="106" spans="1:33">
      <c r="A106" s="49" t="s">
        <v>416</v>
      </c>
      <c r="B106" s="113">
        <v>1500</v>
      </c>
      <c r="C106" s="49"/>
      <c r="D106" s="50"/>
      <c r="E106" s="57">
        <v>0.87357695864728135</v>
      </c>
      <c r="F106" s="58">
        <v>4.8436779339062965E-4</v>
      </c>
      <c r="G106" s="21"/>
      <c r="H106" s="26"/>
      <c r="I106" s="98">
        <v>0.82701999999999998</v>
      </c>
      <c r="J106" s="51">
        <v>4.2999999999998595E-4</v>
      </c>
      <c r="K106" s="106">
        <f t="shared" si="45"/>
        <v>0.82658999999999994</v>
      </c>
      <c r="L106" s="106">
        <f t="shared" si="46"/>
        <v>0.82745000000000002</v>
      </c>
      <c r="M106" s="21">
        <v>53.582240914869011</v>
      </c>
      <c r="N106" s="22">
        <v>53.229043212942756</v>
      </c>
      <c r="O106" s="22">
        <f t="shared" si="31"/>
        <v>53.405642063905887</v>
      </c>
      <c r="P106" s="26">
        <f t="shared" si="32"/>
        <v>0.17659885096312777</v>
      </c>
      <c r="Q106" s="21">
        <v>52.995635250990304</v>
      </c>
      <c r="R106" s="22">
        <v>52.643404331092768</v>
      </c>
      <c r="S106" s="22">
        <f t="shared" si="33"/>
        <v>52.819519791041536</v>
      </c>
      <c r="T106" s="26">
        <f t="shared" si="34"/>
        <v>0.1761154599487682</v>
      </c>
      <c r="U106" s="23">
        <v>1584.5941797337284</v>
      </c>
      <c r="V106" s="24">
        <v>1584.3514726469477</v>
      </c>
      <c r="W106" s="25">
        <f t="shared" si="47"/>
        <v>1584.4728261903381</v>
      </c>
      <c r="X106" s="21">
        <v>54.166796499057448</v>
      </c>
      <c r="Y106" s="22">
        <v>53.811523926996784</v>
      </c>
      <c r="Z106" s="22">
        <f t="shared" si="35"/>
        <v>53.98916021302712</v>
      </c>
      <c r="AA106" s="26">
        <f t="shared" si="36"/>
        <v>0.17763628603033155</v>
      </c>
      <c r="AB106" s="21">
        <v>53.542556098135996</v>
      </c>
      <c r="AC106" s="22">
        <v>53.188559736950353</v>
      </c>
      <c r="AD106" s="22">
        <f t="shared" si="41"/>
        <v>53.365557917543171</v>
      </c>
      <c r="AE106" s="26">
        <f t="shared" si="42"/>
        <v>0.1769981805928218</v>
      </c>
      <c r="AF106" s="21">
        <f t="shared" si="43"/>
        <v>53.677359065285145</v>
      </c>
      <c r="AG106" s="26">
        <f t="shared" si="44"/>
        <v>0.41418427260841223</v>
      </c>
    </row>
    <row r="107" spans="1:33">
      <c r="A107" s="49" t="s">
        <v>417</v>
      </c>
      <c r="B107" s="113">
        <v>1300</v>
      </c>
      <c r="C107" s="49"/>
      <c r="D107" s="50"/>
      <c r="E107" s="57">
        <v>0.87190169190679978</v>
      </c>
      <c r="F107" s="58">
        <v>4.4219430539435447E-4</v>
      </c>
      <c r="G107" s="21"/>
      <c r="H107" s="26"/>
      <c r="I107" s="98">
        <v>0.82498000000000005</v>
      </c>
      <c r="J107" s="51">
        <v>4.049999999999887E-4</v>
      </c>
      <c r="K107" s="106">
        <f t="shared" si="45"/>
        <v>0.82457500000000006</v>
      </c>
      <c r="L107" s="106">
        <f t="shared" si="46"/>
        <v>0.82538500000000004</v>
      </c>
      <c r="M107" s="21">
        <v>53.038231497128699</v>
      </c>
      <c r="N107" s="22">
        <v>52.702731221840288</v>
      </c>
      <c r="O107" s="22">
        <f t="shared" si="31"/>
        <v>52.870481359484494</v>
      </c>
      <c r="P107" s="26">
        <f t="shared" si="32"/>
        <v>0.16775013764420521</v>
      </c>
      <c r="Q107" s="21">
        <v>52.539198439636358</v>
      </c>
      <c r="R107" s="22">
        <v>52.204019483379724</v>
      </c>
      <c r="S107" s="22">
        <f t="shared" si="33"/>
        <v>52.371608961508045</v>
      </c>
      <c r="T107" s="26">
        <f t="shared" si="34"/>
        <v>0.16758947812831693</v>
      </c>
      <c r="U107" s="23">
        <v>1366.1595003986736</v>
      </c>
      <c r="V107" s="24">
        <v>1365.9768347753254</v>
      </c>
      <c r="W107" s="25">
        <f t="shared" si="47"/>
        <v>1366.0681675869996</v>
      </c>
      <c r="X107" s="21">
        <v>53.492977045780563</v>
      </c>
      <c r="Y107" s="22">
        <v>53.155935218918934</v>
      </c>
      <c r="Z107" s="22">
        <f t="shared" si="35"/>
        <v>53.324456132349752</v>
      </c>
      <c r="AA107" s="26">
        <f t="shared" si="36"/>
        <v>0.16852091343081455</v>
      </c>
      <c r="AB107" s="21">
        <v>52.964399615797802</v>
      </c>
      <c r="AC107" s="22">
        <v>52.627907444157472</v>
      </c>
      <c r="AD107" s="22">
        <f t="shared" si="41"/>
        <v>52.796153529977637</v>
      </c>
      <c r="AE107" s="26">
        <f t="shared" si="42"/>
        <v>0.16824608582016509</v>
      </c>
      <c r="AF107" s="21">
        <f t="shared" si="43"/>
        <v>53.060304831163691</v>
      </c>
      <c r="AG107" s="26">
        <f t="shared" si="44"/>
        <v>0.36171615344441471</v>
      </c>
    </row>
    <row r="108" spans="1:33">
      <c r="A108" s="49" t="s">
        <v>418</v>
      </c>
      <c r="B108" s="113">
        <v>1100</v>
      </c>
      <c r="C108" s="49"/>
      <c r="D108" s="50"/>
      <c r="E108" s="57">
        <v>0.87037611539177195</v>
      </c>
      <c r="F108" s="58">
        <v>4.037340466169515E-4</v>
      </c>
      <c r="G108" s="21"/>
      <c r="H108" s="26"/>
      <c r="I108" s="98">
        <v>0.82333999999999996</v>
      </c>
      <c r="J108" s="51">
        <v>4.0999999999996595E-4</v>
      </c>
      <c r="K108" s="106">
        <f t="shared" si="45"/>
        <v>0.82292999999999994</v>
      </c>
      <c r="L108" s="106">
        <f t="shared" si="46"/>
        <v>0.82374999999999998</v>
      </c>
      <c r="M108" s="21">
        <v>52.356795773638289</v>
      </c>
      <c r="N108" s="22">
        <v>52.014958545569193</v>
      </c>
      <c r="O108" s="22">
        <f t="shared" si="31"/>
        <v>52.185877159603741</v>
      </c>
      <c r="P108" s="26">
        <f t="shared" si="32"/>
        <v>0.170918614034548</v>
      </c>
      <c r="Q108" s="21">
        <v>51.94675415106763</v>
      </c>
      <c r="R108" s="22">
        <v>51.604675914230349</v>
      </c>
      <c r="S108" s="22">
        <f t="shared" si="33"/>
        <v>51.775715032648989</v>
      </c>
      <c r="T108" s="26">
        <f t="shared" si="34"/>
        <v>0.17103911841864061</v>
      </c>
      <c r="U108" s="23">
        <v>1150.0002504132631</v>
      </c>
      <c r="V108" s="24">
        <v>1149.8572295338065</v>
      </c>
      <c r="W108" s="25">
        <f t="shared" si="47"/>
        <v>1149.9287399735349</v>
      </c>
      <c r="X108" s="21">
        <v>52.697122969005811</v>
      </c>
      <c r="Y108" s="22">
        <v>52.354103599496646</v>
      </c>
      <c r="Z108" s="22">
        <f t="shared" si="35"/>
        <v>52.525613284251229</v>
      </c>
      <c r="AA108" s="26">
        <f t="shared" si="36"/>
        <v>0.17150968475458228</v>
      </c>
      <c r="AB108" s="21">
        <v>52.264841296490673</v>
      </c>
      <c r="AC108" s="22">
        <v>51.921754488173811</v>
      </c>
      <c r="AD108" s="22">
        <f t="shared" si="41"/>
        <v>52.093297892332245</v>
      </c>
      <c r="AE108" s="26">
        <f t="shared" si="42"/>
        <v>0.17154340415843095</v>
      </c>
      <c r="AF108" s="21">
        <f t="shared" si="43"/>
        <v>52.309455588291733</v>
      </c>
      <c r="AG108" s="26">
        <f t="shared" si="44"/>
        <v>0.31863355182185132</v>
      </c>
    </row>
    <row r="109" spans="1:33">
      <c r="A109" s="49" t="s">
        <v>419</v>
      </c>
      <c r="B109" s="113">
        <v>900</v>
      </c>
      <c r="C109" s="49"/>
      <c r="D109" s="50"/>
      <c r="E109" s="57">
        <v>0.86918219334593816</v>
      </c>
      <c r="F109" s="58">
        <v>3.6568388707753551E-4</v>
      </c>
      <c r="G109" s="21"/>
      <c r="H109" s="26"/>
      <c r="I109" s="98">
        <v>0.82208000000000003</v>
      </c>
      <c r="J109" s="51">
        <v>4.1000000000002146E-4</v>
      </c>
      <c r="K109" s="106">
        <f t="shared" si="45"/>
        <v>0.82167000000000001</v>
      </c>
      <c r="L109" s="106">
        <f t="shared" si="46"/>
        <v>0.82249000000000005</v>
      </c>
      <c r="M109" s="21">
        <v>51.536901281869753</v>
      </c>
      <c r="N109" s="22">
        <v>51.193499483020673</v>
      </c>
      <c r="O109" s="22">
        <f t="shared" si="31"/>
        <v>51.365200382445209</v>
      </c>
      <c r="P109" s="26">
        <f t="shared" si="32"/>
        <v>0.1717008994245397</v>
      </c>
      <c r="Q109" s="21">
        <v>51.215786975361162</v>
      </c>
      <c r="R109" s="22">
        <v>50.871615960080121</v>
      </c>
      <c r="S109" s="22">
        <f t="shared" si="33"/>
        <v>51.043701467720638</v>
      </c>
      <c r="T109" s="26">
        <f t="shared" si="34"/>
        <v>0.17208550764052077</v>
      </c>
      <c r="U109" s="23">
        <v>936.13555736899673</v>
      </c>
      <c r="V109" s="24">
        <v>936.02959757562326</v>
      </c>
      <c r="W109" s="25">
        <f t="shared" si="47"/>
        <v>936.08257747231005</v>
      </c>
      <c r="X109" s="21">
        <v>51.77839845719631</v>
      </c>
      <c r="Y109" s="22">
        <v>51.434151215045318</v>
      </c>
      <c r="Z109" s="22">
        <f t="shared" si="35"/>
        <v>51.606274836120818</v>
      </c>
      <c r="AA109" s="26">
        <f t="shared" si="36"/>
        <v>0.17212362107549595</v>
      </c>
      <c r="AB109" s="21">
        <v>51.441479182681284</v>
      </c>
      <c r="AC109" s="22">
        <v>51.096585463854666</v>
      </c>
      <c r="AD109" s="22">
        <f t="shared" si="41"/>
        <v>51.269032323267979</v>
      </c>
      <c r="AE109" s="26">
        <f t="shared" si="42"/>
        <v>0.17244685941330928</v>
      </c>
      <c r="AF109" s="21">
        <f t="shared" si="43"/>
        <v>51.437653579694398</v>
      </c>
      <c r="AG109" s="26">
        <f t="shared" si="44"/>
        <v>0.27836512771454597</v>
      </c>
    </row>
    <row r="110" spans="1:33">
      <c r="A110" s="49" t="s">
        <v>420</v>
      </c>
      <c r="B110" s="113">
        <v>700</v>
      </c>
      <c r="C110" s="49"/>
      <c r="D110" s="50"/>
      <c r="E110" s="57">
        <v>0.8678870857118911</v>
      </c>
      <c r="F110" s="58">
        <v>3.7115681157534456E-4</v>
      </c>
      <c r="G110" s="21"/>
      <c r="H110" s="26"/>
      <c r="I110" s="98">
        <v>0.82065999999999995</v>
      </c>
      <c r="J110" s="51">
        <v>4.0000000000001146E-4</v>
      </c>
      <c r="K110" s="106">
        <f t="shared" si="45"/>
        <v>0.82025999999999999</v>
      </c>
      <c r="L110" s="106">
        <f t="shared" si="46"/>
        <v>0.8210599999999999</v>
      </c>
      <c r="M110" s="21">
        <v>50.818594521397053</v>
      </c>
      <c r="N110" s="22">
        <v>50.48162784394588</v>
      </c>
      <c r="O110" s="22">
        <f t="shared" si="31"/>
        <v>50.650111182671466</v>
      </c>
      <c r="P110" s="26">
        <f t="shared" si="32"/>
        <v>0.16848333872558641</v>
      </c>
      <c r="Q110" s="21">
        <v>50.585030155168958</v>
      </c>
      <c r="R110" s="22">
        <v>50.246806200652856</v>
      </c>
      <c r="S110" s="22">
        <f t="shared" si="33"/>
        <v>50.41591817791091</v>
      </c>
      <c r="T110" s="26">
        <f t="shared" si="34"/>
        <v>0.16911197725805138</v>
      </c>
      <c r="U110" s="23">
        <v>724.62277448649672</v>
      </c>
      <c r="V110" s="24">
        <v>724.55064888458719</v>
      </c>
      <c r="W110" s="25">
        <f t="shared" si="47"/>
        <v>724.58671168554201</v>
      </c>
      <c r="X110" s="21">
        <v>50.97720659099673</v>
      </c>
      <c r="Y110" s="22">
        <v>50.639701124984725</v>
      </c>
      <c r="Z110" s="22">
        <f t="shared" si="35"/>
        <v>50.808453857990727</v>
      </c>
      <c r="AA110" s="26">
        <f t="shared" si="36"/>
        <v>0.16875273300600213</v>
      </c>
      <c r="AB110" s="21">
        <v>50.733291312055506</v>
      </c>
      <c r="AC110" s="22">
        <v>50.394605771348026</v>
      </c>
      <c r="AD110" s="22">
        <f t="shared" si="41"/>
        <v>50.563948541701762</v>
      </c>
      <c r="AE110" s="26">
        <f t="shared" si="42"/>
        <v>0.16934277035374024</v>
      </c>
      <c r="AF110" s="21">
        <f t="shared" si="43"/>
        <v>50.686201199846252</v>
      </c>
      <c r="AG110" s="26">
        <f t="shared" si="44"/>
        <v>0.2408953903182281</v>
      </c>
    </row>
    <row r="111" spans="1:33">
      <c r="A111" s="49" t="s">
        <v>421</v>
      </c>
      <c r="B111" s="113">
        <v>500</v>
      </c>
      <c r="C111" s="49"/>
      <c r="D111" s="50"/>
      <c r="E111" s="57">
        <v>0.86642306626594678</v>
      </c>
      <c r="F111" s="58">
        <v>3.6299998241331885E-4</v>
      </c>
      <c r="G111" s="21"/>
      <c r="H111" s="26"/>
      <c r="I111" s="98">
        <v>0.81942999999999999</v>
      </c>
      <c r="J111" s="51">
        <v>3.8000000000004697E-4</v>
      </c>
      <c r="K111" s="106">
        <f t="shared" si="45"/>
        <v>0.81904999999999994</v>
      </c>
      <c r="L111" s="106">
        <f t="shared" si="46"/>
        <v>0.81981000000000004</v>
      </c>
      <c r="M111" s="21">
        <v>50.094295352650576</v>
      </c>
      <c r="N111" s="22">
        <v>49.77244652431871</v>
      </c>
      <c r="O111" s="22">
        <f t="shared" si="31"/>
        <v>49.933370938484643</v>
      </c>
      <c r="P111" s="26">
        <f t="shared" si="32"/>
        <v>0.16092441416593317</v>
      </c>
      <c r="Q111" s="21">
        <v>49.943065880726898</v>
      </c>
      <c r="R111" s="22">
        <v>49.619598822051273</v>
      </c>
      <c r="S111" s="22">
        <f t="shared" si="33"/>
        <v>49.781332351389082</v>
      </c>
      <c r="T111" s="26">
        <f t="shared" si="34"/>
        <v>0.1617335293378126</v>
      </c>
      <c r="U111" s="23">
        <v>515.38326173261839</v>
      </c>
      <c r="V111" s="24">
        <v>515.33943391197533</v>
      </c>
      <c r="W111" s="25">
        <f t="shared" si="47"/>
        <v>515.36134782229692</v>
      </c>
      <c r="X111" s="21">
        <v>50.184953407998442</v>
      </c>
      <c r="Y111" s="22">
        <v>49.862823773137947</v>
      </c>
      <c r="Z111" s="22">
        <f t="shared" si="35"/>
        <v>50.023888590568191</v>
      </c>
      <c r="AA111" s="26">
        <f t="shared" si="36"/>
        <v>0.16106481743024759</v>
      </c>
      <c r="AB111" s="21">
        <v>50.027913107001005</v>
      </c>
      <c r="AC111" s="22">
        <v>49.704204647144046</v>
      </c>
      <c r="AD111" s="22">
        <f t="shared" si="41"/>
        <v>49.866058877072525</v>
      </c>
      <c r="AE111" s="26">
        <f t="shared" si="42"/>
        <v>0.16185422992847975</v>
      </c>
      <c r="AF111" s="21">
        <f t="shared" si="43"/>
        <v>49.944973733820362</v>
      </c>
      <c r="AG111" s="26">
        <f t="shared" si="44"/>
        <v>0.20751510208599708</v>
      </c>
    </row>
    <row r="112" spans="1:33">
      <c r="A112" s="49" t="s">
        <v>422</v>
      </c>
      <c r="B112" s="113">
        <v>304</v>
      </c>
      <c r="C112" s="49"/>
      <c r="D112" s="50"/>
      <c r="E112" s="57">
        <v>0.86577751987790486</v>
      </c>
      <c r="F112" s="58">
        <v>3.3702537913288911E-4</v>
      </c>
      <c r="G112" s="21"/>
      <c r="H112" s="26"/>
      <c r="I112" s="98">
        <v>0.81842999999999999</v>
      </c>
      <c r="J112" s="51">
        <v>4.1000000000002146E-4</v>
      </c>
      <c r="K112" s="106">
        <f t="shared" si="45"/>
        <v>0.81801999999999997</v>
      </c>
      <c r="L112" s="106">
        <f t="shared" si="46"/>
        <v>0.81884000000000001</v>
      </c>
      <c r="M112" s="21">
        <v>49.50432660912513</v>
      </c>
      <c r="N112" s="22">
        <v>49.155155509835012</v>
      </c>
      <c r="O112" s="22">
        <f t="shared" si="31"/>
        <v>49.329741059480071</v>
      </c>
      <c r="P112" s="26">
        <f t="shared" si="32"/>
        <v>0.17458554964505879</v>
      </c>
      <c r="Q112" s="21">
        <v>49.419672275551463</v>
      </c>
      <c r="R112" s="22">
        <v>49.068430495135544</v>
      </c>
      <c r="S112" s="22">
        <f t="shared" si="33"/>
        <v>49.244051385343504</v>
      </c>
      <c r="T112" s="26">
        <f t="shared" si="34"/>
        <v>0.17562089020795923</v>
      </c>
      <c r="U112" s="23">
        <v>312.50994325073481</v>
      </c>
      <c r="V112" s="24">
        <v>312.48323577016896</v>
      </c>
      <c r="W112" s="25">
        <f t="shared" si="47"/>
        <v>312.49658951045188</v>
      </c>
      <c r="X112" s="21">
        <v>49.54192335036857</v>
      </c>
      <c r="Y112" s="22">
        <v>49.192647997496472</v>
      </c>
      <c r="Z112" s="22">
        <f t="shared" si="35"/>
        <v>49.367285673932521</v>
      </c>
      <c r="AA112" s="26">
        <f t="shared" si="36"/>
        <v>0.17463767643604911</v>
      </c>
      <c r="AB112" s="21">
        <v>49.45502453800944</v>
      </c>
      <c r="AC112" s="22">
        <v>49.103692468525274</v>
      </c>
      <c r="AD112" s="22">
        <f t="shared" si="41"/>
        <v>49.27935850326736</v>
      </c>
      <c r="AE112" s="26">
        <f t="shared" si="42"/>
        <v>0.17566603474208264</v>
      </c>
      <c r="AF112" s="21">
        <f t="shared" si="43"/>
        <v>49.323322088599944</v>
      </c>
      <c r="AG112" s="26">
        <f t="shared" si="44"/>
        <v>0.20852252870066459</v>
      </c>
    </row>
    <row r="113" spans="1:33">
      <c r="A113" s="49" t="s">
        <v>423</v>
      </c>
      <c r="B113" s="113">
        <v>1900</v>
      </c>
      <c r="C113" s="49"/>
      <c r="D113" s="50"/>
      <c r="E113" s="57">
        <v>0.87813465387475709</v>
      </c>
      <c r="F113" s="58">
        <v>3.1040295192029659E-4</v>
      </c>
      <c r="G113" s="21"/>
      <c r="H113" s="26"/>
      <c r="I113" s="98">
        <v>0.83030999999999999</v>
      </c>
      <c r="J113" s="51">
        <v>4.549999999999832E-4</v>
      </c>
      <c r="K113" s="106">
        <f t="shared" si="45"/>
        <v>0.82985500000000001</v>
      </c>
      <c r="L113" s="106">
        <f t="shared" si="46"/>
        <v>0.83076499999999998</v>
      </c>
      <c r="M113" s="21">
        <v>55.016241424225953</v>
      </c>
      <c r="N113" s="22">
        <v>54.647139249304146</v>
      </c>
      <c r="O113" s="22">
        <f t="shared" si="31"/>
        <v>54.83169033676505</v>
      </c>
      <c r="P113" s="26">
        <f t="shared" si="32"/>
        <v>0.18455108746090332</v>
      </c>
      <c r="Q113" s="21">
        <v>54.25855715687841</v>
      </c>
      <c r="R113" s="22">
        <v>53.891733823966291</v>
      </c>
      <c r="S113" s="22">
        <f t="shared" si="33"/>
        <v>54.075145490422351</v>
      </c>
      <c r="T113" s="26">
        <f t="shared" si="34"/>
        <v>0.18341166645605966</v>
      </c>
      <c r="U113" s="23">
        <v>2028.9142364115053</v>
      </c>
      <c r="V113" s="24">
        <v>2028.5406636721773</v>
      </c>
      <c r="W113" s="25">
        <f t="shared" si="47"/>
        <v>2028.7274500418412</v>
      </c>
      <c r="X113" s="21">
        <v>55.911664855371043</v>
      </c>
      <c r="Y113" s="22">
        <v>55.539312317716465</v>
      </c>
      <c r="Z113" s="22">
        <f t="shared" si="35"/>
        <v>55.725488586543754</v>
      </c>
      <c r="AA113" s="26">
        <f t="shared" si="36"/>
        <v>0.18617626882728899</v>
      </c>
      <c r="AB113" s="21">
        <v>55.097244509340754</v>
      </c>
      <c r="AC113" s="22">
        <v>54.727663446822419</v>
      </c>
      <c r="AD113" s="22">
        <f t="shared" si="41"/>
        <v>54.912453978081587</v>
      </c>
      <c r="AE113" s="26">
        <f t="shared" si="42"/>
        <v>0.18479053125916778</v>
      </c>
      <c r="AF113" s="21">
        <f t="shared" si="43"/>
        <v>55.318971282312674</v>
      </c>
      <c r="AG113" s="26">
        <f t="shared" si="44"/>
        <v>0.51595980515030537</v>
      </c>
    </row>
    <row r="114" spans="1:33">
      <c r="A114" s="49" t="s">
        <v>424</v>
      </c>
      <c r="B114" s="113">
        <v>1700</v>
      </c>
      <c r="C114" s="49"/>
      <c r="D114" s="50"/>
      <c r="E114" s="57">
        <v>0.8947006126304875</v>
      </c>
      <c r="F114" s="58">
        <v>2.7859539756554355E-4</v>
      </c>
      <c r="G114" s="21"/>
      <c r="H114" s="26"/>
      <c r="I114" s="98">
        <v>0.8508</v>
      </c>
      <c r="J114" s="51">
        <v>5.0000000000000044E-4</v>
      </c>
      <c r="K114" s="106">
        <f t="shared" si="45"/>
        <v>0.85030000000000006</v>
      </c>
      <c r="L114" s="106">
        <f t="shared" si="46"/>
        <v>0.85129999999999995</v>
      </c>
      <c r="M114" s="21">
        <v>45.782695529315525</v>
      </c>
      <c r="N114" s="22">
        <v>45.420669509057994</v>
      </c>
      <c r="O114" s="22">
        <f t="shared" si="31"/>
        <v>45.60168251918676</v>
      </c>
      <c r="P114" s="26">
        <f t="shared" si="32"/>
        <v>0.18101301012876547</v>
      </c>
      <c r="Q114" s="21">
        <v>45.166015246990902</v>
      </c>
      <c r="R114" s="22">
        <v>44.807208718313809</v>
      </c>
      <c r="S114" s="22">
        <f t="shared" si="33"/>
        <v>44.986611982652356</v>
      </c>
      <c r="T114" s="26">
        <f t="shared" si="34"/>
        <v>0.17940326433854636</v>
      </c>
      <c r="U114" s="23">
        <v>1797.8480727949254</v>
      </c>
      <c r="V114" s="24">
        <v>1797.495489140832</v>
      </c>
      <c r="W114" s="25">
        <f t="shared" si="47"/>
        <v>1797.6717809678787</v>
      </c>
      <c r="X114" s="21">
        <v>46.449623761775513</v>
      </c>
      <c r="Y114" s="22">
        <v>46.084706666742079</v>
      </c>
      <c r="Z114" s="22">
        <f t="shared" si="35"/>
        <v>46.267165214258796</v>
      </c>
      <c r="AA114" s="26">
        <f t="shared" si="36"/>
        <v>0.18245854751671686</v>
      </c>
      <c r="AB114" s="21">
        <v>45.795530365090031</v>
      </c>
      <c r="AC114" s="22">
        <v>45.434229168225968</v>
      </c>
      <c r="AD114" s="22">
        <f t="shared" si="41"/>
        <v>45.614879766657999</v>
      </c>
      <c r="AE114" s="26">
        <f t="shared" si="42"/>
        <v>0.18065059843203102</v>
      </c>
      <c r="AF114" s="21">
        <f t="shared" si="43"/>
        <v>45.941022490458394</v>
      </c>
      <c r="AG114" s="26">
        <f t="shared" si="44"/>
        <v>0.43101733364343681</v>
      </c>
    </row>
    <row r="115" spans="1:33">
      <c r="A115" s="49" t="s">
        <v>425</v>
      </c>
      <c r="B115" s="113">
        <v>1500</v>
      </c>
      <c r="C115" s="49"/>
      <c r="D115" s="50"/>
      <c r="E115" s="57">
        <v>0.89332260928841645</v>
      </c>
      <c r="F115" s="58">
        <v>2.9943646476372857E-4</v>
      </c>
      <c r="G115" s="21"/>
      <c r="H115" s="26"/>
      <c r="I115" s="98">
        <v>0.84860999999999998</v>
      </c>
      <c r="J115" s="51">
        <v>3.7999999999999146E-4</v>
      </c>
      <c r="K115" s="106">
        <f t="shared" si="45"/>
        <v>0.84823000000000004</v>
      </c>
      <c r="L115" s="106">
        <f t="shared" si="46"/>
        <v>0.84898999999999991</v>
      </c>
      <c r="M115" s="21">
        <v>45.177068268827547</v>
      </c>
      <c r="N115" s="22">
        <v>44.89940759027381</v>
      </c>
      <c r="O115" s="22">
        <f t="shared" si="31"/>
        <v>45.038237929550675</v>
      </c>
      <c r="P115" s="26">
        <f t="shared" si="32"/>
        <v>0.13883033927686839</v>
      </c>
      <c r="Q115" s="21">
        <v>44.631183507757363</v>
      </c>
      <c r="R115" s="22">
        <v>44.355480835340884</v>
      </c>
      <c r="S115" s="22">
        <f t="shared" si="33"/>
        <v>44.493332171549127</v>
      </c>
      <c r="T115" s="26">
        <f t="shared" si="34"/>
        <v>0.13785133620823942</v>
      </c>
      <c r="U115" s="23">
        <v>1578.4100328840875</v>
      </c>
      <c r="V115" s="24">
        <v>1578.1897174836058</v>
      </c>
      <c r="W115" s="25">
        <f t="shared" si="47"/>
        <v>1578.2998751838468</v>
      </c>
      <c r="X115" s="21">
        <v>45.710023921899896</v>
      </c>
      <c r="Y115" s="22">
        <v>45.430571581406952</v>
      </c>
      <c r="Z115" s="22">
        <f t="shared" si="35"/>
        <v>45.570297751653428</v>
      </c>
      <c r="AA115" s="26">
        <f t="shared" si="36"/>
        <v>0.13972617024647249</v>
      </c>
      <c r="AB115" s="21">
        <v>45.133882934143585</v>
      </c>
      <c r="AC115" s="22">
        <v>44.856632394912936</v>
      </c>
      <c r="AD115" s="22">
        <f t="shared" si="41"/>
        <v>44.99525766452826</v>
      </c>
      <c r="AE115" s="26">
        <f t="shared" si="42"/>
        <v>0.13862526961532495</v>
      </c>
      <c r="AF115" s="21">
        <f t="shared" si="43"/>
        <v>45.282777708090848</v>
      </c>
      <c r="AG115" s="26">
        <f t="shared" si="44"/>
        <v>0.36885039327449604</v>
      </c>
    </row>
    <row r="116" spans="1:33">
      <c r="A116" s="49" t="s">
        <v>426</v>
      </c>
      <c r="B116" s="113">
        <v>1300</v>
      </c>
      <c r="C116" s="49"/>
      <c r="D116" s="50"/>
      <c r="E116" s="57">
        <v>0.89071920410391225</v>
      </c>
      <c r="F116" s="58">
        <v>2.8982989397657345E-4</v>
      </c>
      <c r="G116" s="21"/>
      <c r="H116" s="26"/>
      <c r="I116" s="98">
        <v>0.84699000000000002</v>
      </c>
      <c r="J116" s="51">
        <v>4.0000000000001146E-4</v>
      </c>
      <c r="K116" s="106">
        <f t="shared" si="45"/>
        <v>0.84658999999999995</v>
      </c>
      <c r="L116" s="106">
        <f t="shared" si="46"/>
        <v>0.84739000000000009</v>
      </c>
      <c r="M116" s="21">
        <v>44.424672946065243</v>
      </c>
      <c r="N116" s="22">
        <v>44.130604688187276</v>
      </c>
      <c r="O116" s="22">
        <f t="shared" si="31"/>
        <v>44.27763881712626</v>
      </c>
      <c r="P116" s="26">
        <f t="shared" si="32"/>
        <v>0.1470341289389836</v>
      </c>
      <c r="Q116" s="21">
        <v>43.952323764219038</v>
      </c>
      <c r="R116" s="22">
        <v>43.659823213132597</v>
      </c>
      <c r="S116" s="22">
        <f t="shared" si="33"/>
        <v>43.806073488675821</v>
      </c>
      <c r="T116" s="26">
        <f t="shared" si="34"/>
        <v>0.14625027554322045</v>
      </c>
      <c r="U116" s="23">
        <v>1361.12449388308</v>
      </c>
      <c r="V116" s="24">
        <v>1360.9385680044804</v>
      </c>
      <c r="W116" s="25">
        <f t="shared" si="47"/>
        <v>1361.0315309437801</v>
      </c>
      <c r="X116" s="21">
        <v>44.837949578194419</v>
      </c>
      <c r="Y116" s="22">
        <v>44.542388870719769</v>
      </c>
      <c r="Z116" s="22">
        <f t="shared" si="35"/>
        <v>44.690169224457094</v>
      </c>
      <c r="AA116" s="26">
        <f t="shared" si="36"/>
        <v>0.14778035373732479</v>
      </c>
      <c r="AB116" s="21">
        <v>44.341936086526566</v>
      </c>
      <c r="AC116" s="22">
        <v>44.048144072871196</v>
      </c>
      <c r="AD116" s="22">
        <f t="shared" si="41"/>
        <v>44.195040079698884</v>
      </c>
      <c r="AE116" s="26">
        <f t="shared" si="42"/>
        <v>0.146896006827685</v>
      </c>
      <c r="AF116" s="21">
        <f t="shared" si="43"/>
        <v>44.442604652077989</v>
      </c>
      <c r="AG116" s="26">
        <f t="shared" si="44"/>
        <v>0.33265989114724748</v>
      </c>
    </row>
    <row r="117" spans="1:33">
      <c r="A117" s="49" t="s">
        <v>427</v>
      </c>
      <c r="B117" s="113">
        <v>1100</v>
      </c>
      <c r="C117" s="49"/>
      <c r="D117" s="50"/>
      <c r="E117" s="57">
        <v>0.88801505172513451</v>
      </c>
      <c r="F117" s="58">
        <v>2.5586716727793348E-4</v>
      </c>
      <c r="G117" s="21"/>
      <c r="H117" s="26"/>
      <c r="I117" s="98">
        <v>0.84438000000000002</v>
      </c>
      <c r="J117" s="51">
        <v>3.9000000000000146E-4</v>
      </c>
      <c r="K117" s="106">
        <f t="shared" si="45"/>
        <v>0.84399000000000002</v>
      </c>
      <c r="L117" s="106">
        <f t="shared" si="46"/>
        <v>0.84477000000000002</v>
      </c>
      <c r="M117" s="21">
        <v>44.042728214739569</v>
      </c>
      <c r="N117" s="22">
        <v>43.752667443580584</v>
      </c>
      <c r="O117" s="22">
        <f t="shared" si="31"/>
        <v>43.89769782916008</v>
      </c>
      <c r="P117" s="26">
        <f t="shared" si="32"/>
        <v>0.1450303855794921</v>
      </c>
      <c r="Q117" s="21">
        <v>43.6437462493138</v>
      </c>
      <c r="R117" s="22">
        <v>43.354689626401324</v>
      </c>
      <c r="S117" s="22">
        <f t="shared" si="33"/>
        <v>43.499217937857566</v>
      </c>
      <c r="T117" s="26">
        <f t="shared" si="34"/>
        <v>0.1445283114562379</v>
      </c>
      <c r="U117" s="23">
        <v>1146.2727964392068</v>
      </c>
      <c r="V117" s="24">
        <v>1146.1324137837194</v>
      </c>
      <c r="W117" s="25">
        <f t="shared" si="47"/>
        <v>1146.2026051114631</v>
      </c>
      <c r="X117" s="21">
        <v>44.352932104164651</v>
      </c>
      <c r="Y117" s="22">
        <v>44.061763551304267</v>
      </c>
      <c r="Z117" s="22">
        <f t="shared" si="35"/>
        <v>44.207347827734459</v>
      </c>
      <c r="AA117" s="26">
        <f t="shared" si="36"/>
        <v>0.14558427643019201</v>
      </c>
      <c r="AB117" s="21">
        <v>43.935949756284714</v>
      </c>
      <c r="AC117" s="22">
        <v>43.64593367132877</v>
      </c>
      <c r="AD117" s="22">
        <f t="shared" si="41"/>
        <v>43.790941713806745</v>
      </c>
      <c r="AE117" s="26">
        <f t="shared" si="42"/>
        <v>0.14500804247797205</v>
      </c>
      <c r="AF117" s="21">
        <f t="shared" si="43"/>
        <v>43.999144770770606</v>
      </c>
      <c r="AG117" s="26">
        <f t="shared" si="44"/>
        <v>0.29316564121691507</v>
      </c>
    </row>
    <row r="118" spans="1:33">
      <c r="A118" s="49" t="s">
        <v>428</v>
      </c>
      <c r="B118" s="113">
        <v>900</v>
      </c>
      <c r="C118" s="49"/>
      <c r="D118" s="50"/>
      <c r="E118" s="57">
        <v>0.88657397831172957</v>
      </c>
      <c r="F118" s="58">
        <v>2.5672983705800367E-4</v>
      </c>
      <c r="G118" s="21"/>
      <c r="H118" s="26"/>
      <c r="I118" s="98">
        <v>0.84319</v>
      </c>
      <c r="J118" s="51">
        <v>4.1999999999997595E-4</v>
      </c>
      <c r="K118" s="106">
        <f t="shared" si="45"/>
        <v>0.84277000000000002</v>
      </c>
      <c r="L118" s="106">
        <f t="shared" si="46"/>
        <v>0.84360999999999997</v>
      </c>
      <c r="M118" s="21">
        <v>43.170160627803597</v>
      </c>
      <c r="N118" s="22">
        <v>42.856502990661156</v>
      </c>
      <c r="O118" s="22">
        <f t="shared" si="31"/>
        <v>43.013331809232376</v>
      </c>
      <c r="P118" s="26">
        <f t="shared" si="32"/>
        <v>0.15682881857122055</v>
      </c>
      <c r="Q118" s="21">
        <v>42.847164818522288</v>
      </c>
      <c r="R118" s="22">
        <v>42.534099302756651</v>
      </c>
      <c r="S118" s="22">
        <f t="shared" si="33"/>
        <v>42.690632060639473</v>
      </c>
      <c r="T118" s="26">
        <f t="shared" si="34"/>
        <v>0.15653275788281817</v>
      </c>
      <c r="U118" s="23">
        <v>933.36493318892792</v>
      </c>
      <c r="V118" s="24">
        <v>933.25259041485174</v>
      </c>
      <c r="W118" s="25">
        <f t="shared" si="47"/>
        <v>933.30876180188989</v>
      </c>
      <c r="X118" s="21">
        <v>43.390012984689996</v>
      </c>
      <c r="Y118" s="22">
        <v>43.075497112679052</v>
      </c>
      <c r="Z118" s="22">
        <f t="shared" si="35"/>
        <v>43.232755048684524</v>
      </c>
      <c r="AA118" s="26">
        <f t="shared" si="36"/>
        <v>0.15725793600547178</v>
      </c>
      <c r="AB118" s="21">
        <v>43.054221790457127</v>
      </c>
      <c r="AC118" s="22">
        <v>42.740411426281419</v>
      </c>
      <c r="AD118" s="22">
        <f t="shared" si="41"/>
        <v>42.897316608369273</v>
      </c>
      <c r="AE118" s="26">
        <f t="shared" si="42"/>
        <v>0.1569051820878542</v>
      </c>
      <c r="AF118" s="21">
        <f t="shared" si="43"/>
        <v>43.065035828526895</v>
      </c>
      <c r="AG118" s="26">
        <f t="shared" si="44"/>
        <v>0.26534099849475179</v>
      </c>
    </row>
    <row r="119" spans="1:33">
      <c r="A119" s="49" t="s">
        <v>429</v>
      </c>
      <c r="B119" s="113">
        <v>700</v>
      </c>
      <c r="C119" s="49"/>
      <c r="D119" s="50"/>
      <c r="E119" s="57">
        <v>0.88495465962436803</v>
      </c>
      <c r="F119" s="58">
        <v>2.561274099196684E-4</v>
      </c>
      <c r="G119" s="21"/>
      <c r="H119" s="26"/>
      <c r="I119" s="98">
        <v>0.84172999999999998</v>
      </c>
      <c r="J119" s="51">
        <v>3.7999999999999146E-4</v>
      </c>
      <c r="K119" s="106">
        <f t="shared" si="45"/>
        <v>0.84135000000000004</v>
      </c>
      <c r="L119" s="106">
        <f t="shared" si="46"/>
        <v>0.84210999999999991</v>
      </c>
      <c r="M119" s="21">
        <v>42.407992432639332</v>
      </c>
      <c r="N119" s="22">
        <v>42.122527034218571</v>
      </c>
      <c r="O119" s="22">
        <f t="shared" si="31"/>
        <v>42.265259733428948</v>
      </c>
      <c r="P119" s="26">
        <f t="shared" si="32"/>
        <v>0.14273269921038079</v>
      </c>
      <c r="Q119" s="21">
        <v>42.159811097131168</v>
      </c>
      <c r="R119" s="22">
        <v>41.874442807174745</v>
      </c>
      <c r="S119" s="22">
        <f t="shared" si="33"/>
        <v>42.017126952152957</v>
      </c>
      <c r="T119" s="26">
        <f t="shared" si="34"/>
        <v>0.14268414497821169</v>
      </c>
      <c r="U119" s="23">
        <v>722.68800011798817</v>
      </c>
      <c r="V119" s="24">
        <v>722.61688417160747</v>
      </c>
      <c r="W119" s="25">
        <f t="shared" si="47"/>
        <v>722.65244214479776</v>
      </c>
      <c r="X119" s="21">
        <v>42.552410662181209</v>
      </c>
      <c r="Y119" s="22">
        <v>42.266433406556224</v>
      </c>
      <c r="Z119" s="22">
        <f t="shared" si="35"/>
        <v>42.409422034368717</v>
      </c>
      <c r="AA119" s="26">
        <f t="shared" si="36"/>
        <v>0.14298862781249255</v>
      </c>
      <c r="AB119" s="21">
        <v>42.295825560273869</v>
      </c>
      <c r="AC119" s="22">
        <v>42.010012116619173</v>
      </c>
      <c r="AD119" s="22">
        <f t="shared" si="41"/>
        <v>42.152918838446524</v>
      </c>
      <c r="AE119" s="26">
        <f t="shared" si="42"/>
        <v>0.14290672182734809</v>
      </c>
      <c r="AF119" s="21">
        <f t="shared" si="43"/>
        <v>42.281170436407621</v>
      </c>
      <c r="AG119" s="26">
        <f t="shared" si="44"/>
        <v>0.22175816194868506</v>
      </c>
    </row>
    <row r="120" spans="1:33">
      <c r="A120" s="49" t="s">
        <v>430</v>
      </c>
      <c r="B120" s="113">
        <v>500</v>
      </c>
      <c r="C120" s="49"/>
      <c r="D120" s="50"/>
      <c r="E120" s="57">
        <v>0.8833700970497439</v>
      </c>
      <c r="F120" s="58">
        <v>2.4856305967086166E-4</v>
      </c>
      <c r="G120" s="21"/>
      <c r="H120" s="26"/>
      <c r="I120" s="98">
        <v>0.84013000000000004</v>
      </c>
      <c r="J120" s="51">
        <v>3.7500000000001421E-4</v>
      </c>
      <c r="K120" s="106">
        <f t="shared" si="45"/>
        <v>0.83975500000000003</v>
      </c>
      <c r="L120" s="106">
        <f t="shared" si="46"/>
        <v>0.84050500000000006</v>
      </c>
      <c r="M120" s="21">
        <v>41.785291250605262</v>
      </c>
      <c r="N120" s="22">
        <v>41.501511799548211</v>
      </c>
      <c r="O120" s="22">
        <f t="shared" si="31"/>
        <v>41.64340152507674</v>
      </c>
      <c r="P120" s="26">
        <f t="shared" si="32"/>
        <v>0.14188972552852519</v>
      </c>
      <c r="Q120" s="21">
        <v>41.608344448350579</v>
      </c>
      <c r="R120" s="22">
        <v>41.324257338020146</v>
      </c>
      <c r="S120" s="22">
        <f t="shared" si="33"/>
        <v>41.466300893185362</v>
      </c>
      <c r="T120" s="26">
        <f t="shared" si="34"/>
        <v>0.14204355516521616</v>
      </c>
      <c r="U120" s="23">
        <v>514.16705321956135</v>
      </c>
      <c r="V120" s="24">
        <v>514.12206703213337</v>
      </c>
      <c r="W120" s="25">
        <f t="shared" si="47"/>
        <v>514.14456012584742</v>
      </c>
      <c r="X120" s="21">
        <v>41.868237361597394</v>
      </c>
      <c r="Y120" s="22">
        <v>41.584175771077796</v>
      </c>
      <c r="Z120" s="22">
        <f t="shared" si="35"/>
        <v>41.726206566337595</v>
      </c>
      <c r="AA120" s="26">
        <f t="shared" si="36"/>
        <v>0.14203079525979945</v>
      </c>
      <c r="AB120" s="21">
        <v>41.686517170729935</v>
      </c>
      <c r="AC120" s="22">
        <v>41.402184032864852</v>
      </c>
      <c r="AD120" s="22">
        <f t="shared" si="41"/>
        <v>41.54435060179739</v>
      </c>
      <c r="AE120" s="26">
        <f t="shared" si="42"/>
        <v>0.14216656893254154</v>
      </c>
      <c r="AF120" s="21">
        <f t="shared" si="43"/>
        <v>41.635278584067493</v>
      </c>
      <c r="AG120" s="26">
        <f t="shared" si="44"/>
        <v>0.19479882963988873</v>
      </c>
    </row>
    <row r="121" spans="1:33">
      <c r="A121" s="49" t="s">
        <v>431</v>
      </c>
      <c r="B121" s="113">
        <v>308</v>
      </c>
      <c r="C121" s="49"/>
      <c r="D121" s="50"/>
      <c r="E121" s="57">
        <v>0.88207317348886327</v>
      </c>
      <c r="F121" s="58">
        <v>2.3487932939983782E-4</v>
      </c>
      <c r="G121" s="21"/>
      <c r="H121" s="26"/>
      <c r="I121" s="98">
        <v>0.83884999999999998</v>
      </c>
      <c r="J121" s="51">
        <v>3.6999999999998145E-4</v>
      </c>
      <c r="K121" s="106">
        <f t="shared" si="45"/>
        <v>0.83848</v>
      </c>
      <c r="L121" s="106">
        <f t="shared" si="46"/>
        <v>0.83921999999999997</v>
      </c>
      <c r="M121" s="21">
        <v>41.259512413123581</v>
      </c>
      <c r="N121" s="22">
        <v>40.97755927543016</v>
      </c>
      <c r="O121" s="22">
        <f t="shared" si="31"/>
        <v>41.11853584427687</v>
      </c>
      <c r="P121" s="26">
        <f t="shared" si="32"/>
        <v>0.14097656884671039</v>
      </c>
      <c r="Q121" s="21">
        <v>41.140343013086188</v>
      </c>
      <c r="R121" s="22">
        <v>40.857797834001133</v>
      </c>
      <c r="S121" s="22">
        <f t="shared" si="33"/>
        <v>40.999070423543657</v>
      </c>
      <c r="T121" s="26">
        <f t="shared" si="34"/>
        <v>0.14127258954252753</v>
      </c>
      <c r="U121" s="23">
        <v>315.9409000955726</v>
      </c>
      <c r="V121" s="24">
        <v>315.91544053263931</v>
      </c>
      <c r="W121" s="25">
        <f t="shared" si="47"/>
        <v>315.92817031410596</v>
      </c>
      <c r="X121" s="21">
        <v>41.295284206902906</v>
      </c>
      <c r="Y121" s="22">
        <v>41.013226824888498</v>
      </c>
      <c r="Z121" s="22">
        <f t="shared" si="35"/>
        <v>41.154255515895699</v>
      </c>
      <c r="AA121" s="26">
        <f t="shared" si="36"/>
        <v>0.14102869100720383</v>
      </c>
      <c r="AB121" s="21">
        <v>41.174165807847096</v>
      </c>
      <c r="AC121" s="22">
        <v>40.891529257395398</v>
      </c>
      <c r="AD121" s="22">
        <f t="shared" si="41"/>
        <v>41.032847532621247</v>
      </c>
      <c r="AE121" s="26">
        <f t="shared" si="42"/>
        <v>0.14131827522584928</v>
      </c>
      <c r="AF121" s="21">
        <f t="shared" si="43"/>
        <v>41.093551524258473</v>
      </c>
      <c r="AG121" s="26">
        <f t="shared" si="44"/>
        <v>0.1774446313668942</v>
      </c>
    </row>
    <row r="122" spans="1:33">
      <c r="A122" s="49" t="s">
        <v>432</v>
      </c>
      <c r="B122" s="113">
        <v>1700</v>
      </c>
      <c r="C122" s="49"/>
      <c r="D122" s="50"/>
      <c r="E122" s="57">
        <v>0.89432168835272186</v>
      </c>
      <c r="F122" s="58">
        <v>2.9930816156129773E-4</v>
      </c>
      <c r="G122" s="21"/>
      <c r="H122" s="26"/>
      <c r="I122" s="98">
        <v>0.85011000000000003</v>
      </c>
      <c r="J122" s="51">
        <v>4.3500000000001871E-4</v>
      </c>
      <c r="K122" s="106">
        <f t="shared" si="45"/>
        <v>0.84967499999999996</v>
      </c>
      <c r="L122" s="106">
        <f t="shared" si="46"/>
        <v>0.85054500000000011</v>
      </c>
      <c r="M122" s="21">
        <v>46.009957066123427</v>
      </c>
      <c r="N122" s="22">
        <v>45.693818180001841</v>
      </c>
      <c r="O122" s="22">
        <f t="shared" si="31"/>
        <v>45.851887623062638</v>
      </c>
      <c r="P122" s="26">
        <f t="shared" si="32"/>
        <v>0.15806944306079274</v>
      </c>
      <c r="Q122" s="21">
        <v>45.391289093479969</v>
      </c>
      <c r="R122" s="22">
        <v>45.07792224703195</v>
      </c>
      <c r="S122" s="22">
        <f t="shared" si="33"/>
        <v>45.234605670255959</v>
      </c>
      <c r="T122" s="26">
        <f t="shared" si="34"/>
        <v>0.15668342322400974</v>
      </c>
      <c r="U122" s="23">
        <v>1798.0682185074729</v>
      </c>
      <c r="V122" s="24">
        <v>1797.7617298096059</v>
      </c>
      <c r="W122" s="25">
        <f t="shared" si="47"/>
        <v>1797.9149741585393</v>
      </c>
      <c r="X122" s="21">
        <v>46.678693759509258</v>
      </c>
      <c r="Y122" s="22">
        <v>46.36003782016445</v>
      </c>
      <c r="Z122" s="22">
        <f t="shared" si="35"/>
        <v>46.519365789836854</v>
      </c>
      <c r="AA122" s="26">
        <f t="shared" si="36"/>
        <v>0.15932796967240392</v>
      </c>
      <c r="AB122" s="21">
        <v>46.022363780957377</v>
      </c>
      <c r="AC122" s="22">
        <v>45.706826099547499</v>
      </c>
      <c r="AD122" s="22">
        <f t="shared" si="41"/>
        <v>45.864594940252438</v>
      </c>
      <c r="AE122" s="26">
        <f t="shared" si="42"/>
        <v>0.15776884070493935</v>
      </c>
      <c r="AF122" s="21">
        <f t="shared" si="43"/>
        <v>46.19198036504465</v>
      </c>
      <c r="AG122" s="26">
        <f t="shared" si="44"/>
        <v>0.42003082565454652</v>
      </c>
    </row>
    <row r="123" spans="1:33">
      <c r="A123" s="52" t="s">
        <v>433</v>
      </c>
      <c r="B123" s="114">
        <v>305</v>
      </c>
      <c r="C123" s="52"/>
      <c r="D123" s="53"/>
      <c r="E123" s="59">
        <v>0.91040184121318135</v>
      </c>
      <c r="F123" s="60">
        <v>2.3181643431087094E-4</v>
      </c>
      <c r="G123" s="28"/>
      <c r="H123" s="30"/>
      <c r="I123" s="107">
        <v>0.87241000000000002</v>
      </c>
      <c r="J123" s="54">
        <v>4.7999999999998044E-4</v>
      </c>
      <c r="K123" s="108">
        <f t="shared" si="45"/>
        <v>0.87193000000000009</v>
      </c>
      <c r="L123" s="108">
        <f t="shared" si="46"/>
        <v>0.87288999999999994</v>
      </c>
      <c r="M123" s="28">
        <v>29.564018269012852</v>
      </c>
      <c r="N123" s="29">
        <v>29.258868192486801</v>
      </c>
      <c r="O123" s="29">
        <f t="shared" si="31"/>
        <v>29.411443230749825</v>
      </c>
      <c r="P123" s="30">
        <f t="shared" si="32"/>
        <v>0.15257503826302532</v>
      </c>
      <c r="Q123" s="28">
        <v>29.447974763933889</v>
      </c>
      <c r="R123" s="29">
        <v>29.143560013051903</v>
      </c>
      <c r="S123" s="29">
        <f t="shared" si="33"/>
        <v>29.295767388492898</v>
      </c>
      <c r="T123" s="30">
        <f t="shared" si="34"/>
        <v>0.15220737544099272</v>
      </c>
      <c r="U123" s="31">
        <v>311.67176532271344</v>
      </c>
      <c r="V123" s="32">
        <v>311.63610507745534</v>
      </c>
      <c r="W123" s="33">
        <f t="shared" si="47"/>
        <v>311.65393520008439</v>
      </c>
      <c r="X123" s="28">
        <v>29.59424167999131</v>
      </c>
      <c r="Y123" s="29">
        <v>29.288941435042311</v>
      </c>
      <c r="Z123" s="29">
        <f t="shared" si="35"/>
        <v>29.441591557516809</v>
      </c>
      <c r="AA123" s="30">
        <f t="shared" si="36"/>
        <v>0.15265012247449938</v>
      </c>
      <c r="AB123" s="28">
        <v>29.4768400523328</v>
      </c>
      <c r="AC123" s="29">
        <v>29.172290318370184</v>
      </c>
      <c r="AD123" s="29">
        <f t="shared" si="41"/>
        <v>29.324565185351492</v>
      </c>
      <c r="AE123" s="30">
        <f t="shared" si="42"/>
        <v>0.15227486698130832</v>
      </c>
      <c r="AF123" s="28">
        <f t="shared" si="43"/>
        <v>29.383078371434152</v>
      </c>
      <c r="AG123" s="30">
        <f t="shared" si="44"/>
        <v>0.18856878655942785</v>
      </c>
    </row>
  </sheetData>
  <mergeCells count="10">
    <mergeCell ref="M3:T3"/>
    <mergeCell ref="U3:W3"/>
    <mergeCell ref="X3:AE3"/>
    <mergeCell ref="E4:F4"/>
    <mergeCell ref="G4:H4"/>
    <mergeCell ref="I4:L4"/>
    <mergeCell ref="M4:P4"/>
    <mergeCell ref="Q4:T4"/>
    <mergeCell ref="X4:AA4"/>
    <mergeCell ref="AB4:AE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Olivine</vt:lpstr>
      <vt:lpstr>Wadsleyite</vt:lpstr>
      <vt:lpstr>Ringwoodite</vt:lpstr>
      <vt:lpstr>Bridgmanite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Katsura</dc:creator>
  <cp:lastModifiedBy>Tomo Katsura</cp:lastModifiedBy>
  <dcterms:created xsi:type="dcterms:W3CDTF">2021-11-04T04:00:00Z</dcterms:created>
  <dcterms:modified xsi:type="dcterms:W3CDTF">2021-11-04T04:23:57Z</dcterms:modified>
</cp:coreProperties>
</file>